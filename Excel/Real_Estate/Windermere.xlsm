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6D7BE3D0-9255-6837-6703-DDC3ED590948}"/>
  <workbookPr codeName="ThisWorkbook" defaultThemeVersion="124226"/>
  <bookViews>
    <workbookView xWindow="360" yWindow="75" windowWidth="14235" windowHeight="8700" firstSheet="1" activeTab="1"/>
  </bookViews>
  <sheets>
    <sheet name="Tracking" sheetId="139" r:id="rId1"/>
    <sheet name="Configuration" sheetId="1" r:id="rId2"/>
    <sheet name="Anatomy (Windermere)" sheetId="98" r:id="rId3"/>
    <sheet name="Houses" sheetId="163" r:id="rId4"/>
    <sheet name="20080302_070819" sheetId="164" state="hidden" r:id="rId5"/>
  </sheets>
  <functionGroups/>
  <definedNames>
    <definedName name="_xlnm._FilterDatabase" localSheetId="4" hidden="1">'20080302_070819'!$A$1:$BK$548</definedName>
    <definedName name="_xlnm._FilterDatabase" localSheetId="0" hidden="1">Tracking!$A$1:$BK$548</definedName>
    <definedName name="cfgFilePath">Configuration!$B$1</definedName>
    <definedName name="cfgFileSpec">Configuration!$B$2</definedName>
    <definedName name="cfgQueryList">Configuration!$E$1</definedName>
    <definedName name="tmpHouseResults">Houses!#REF!</definedName>
    <definedName name="tmpTrackingResults" localSheetId="4">'20080302_070819'!$A$1:$BF$548</definedName>
    <definedName name="tmpTrackingResults">Tracking!$A$1:$BF$740</definedName>
  </definedNames>
  <calcPr calcId="125725"/>
</workbook>
</file>

<file path=xl/calcChain.xml><?xml version="1.0" encoding="utf-8"?>
<calcChain xmlns="http://schemas.openxmlformats.org/spreadsheetml/2006/main">
  <c r="O730" i="139"/>
  <c r="M730"/>
  <c r="B730"/>
  <c r="O729"/>
  <c r="M729"/>
  <c r="B729"/>
  <c r="O728"/>
  <c r="M728"/>
  <c r="B728"/>
  <c r="B668"/>
  <c r="B575"/>
  <c r="O727"/>
  <c r="M727"/>
  <c r="B727"/>
  <c r="O726"/>
  <c r="M726"/>
  <c r="B726"/>
  <c r="B658"/>
  <c r="O725"/>
  <c r="M725"/>
  <c r="B725"/>
  <c r="O724"/>
  <c r="M724"/>
  <c r="B724"/>
  <c r="B554"/>
  <c r="O248"/>
  <c r="M248"/>
  <c r="B248"/>
  <c r="B641"/>
  <c r="M723"/>
  <c r="B723"/>
  <c r="B137"/>
  <c r="B120"/>
  <c r="B99"/>
  <c r="B97"/>
  <c r="O722"/>
  <c r="M722"/>
  <c r="B722"/>
  <c r="B22"/>
  <c r="B12"/>
  <c r="B677"/>
  <c r="O721"/>
  <c r="M721"/>
  <c r="B721"/>
  <c r="O720"/>
  <c r="M720"/>
  <c r="B720"/>
  <c r="B388"/>
  <c r="O719"/>
  <c r="M719"/>
  <c r="B719"/>
  <c r="O718"/>
  <c r="M718"/>
  <c r="B718"/>
  <c r="B669"/>
  <c r="O717"/>
  <c r="M717"/>
  <c r="B717"/>
  <c r="O716"/>
  <c r="M716"/>
  <c r="B716"/>
  <c r="O715"/>
  <c r="M715"/>
  <c r="B715"/>
  <c r="M714"/>
  <c r="B714"/>
  <c r="O713"/>
  <c r="M713"/>
  <c r="B713"/>
  <c r="B650"/>
  <c r="B517"/>
  <c r="O712"/>
  <c r="M712"/>
  <c r="B712"/>
  <c r="B273"/>
  <c r="B697"/>
  <c r="O711"/>
  <c r="M711"/>
  <c r="B711"/>
  <c r="M638"/>
  <c r="B638"/>
  <c r="B633"/>
  <c r="B631"/>
  <c r="O710"/>
  <c r="M710"/>
  <c r="B710"/>
  <c r="O709"/>
  <c r="M709"/>
  <c r="B709"/>
  <c r="O708"/>
  <c r="M708"/>
  <c r="B708"/>
  <c r="B125"/>
  <c r="O707"/>
  <c r="M707"/>
  <c r="B707"/>
  <c r="O706"/>
  <c r="M706"/>
  <c r="B706"/>
  <c r="O705"/>
  <c r="M705"/>
  <c r="B705"/>
  <c r="O704"/>
  <c r="M704"/>
  <c r="B704"/>
  <c r="B579"/>
  <c r="O703"/>
  <c r="M703"/>
  <c r="B703"/>
  <c r="O661"/>
  <c r="O702"/>
  <c r="M702"/>
  <c r="B702"/>
  <c r="B354"/>
  <c r="O652"/>
  <c r="B326"/>
  <c r="O701"/>
  <c r="M701"/>
  <c r="B701"/>
  <c r="O700"/>
  <c r="M700"/>
  <c r="B700"/>
  <c r="O699"/>
  <c r="M699"/>
  <c r="B699"/>
  <c r="O698"/>
  <c r="M698"/>
  <c r="B698"/>
  <c r="O697"/>
  <c r="M697"/>
  <c r="O696"/>
  <c r="M696"/>
  <c r="B696"/>
  <c r="O695"/>
  <c r="M695"/>
  <c r="B695"/>
  <c r="O694"/>
  <c r="M694"/>
  <c r="B694"/>
  <c r="B632"/>
  <c r="O627"/>
  <c r="O693"/>
  <c r="M693"/>
  <c r="B693"/>
  <c r="O692"/>
  <c r="M692"/>
  <c r="B692"/>
  <c r="O691"/>
  <c r="M691"/>
  <c r="B691"/>
  <c r="O690"/>
  <c r="M690"/>
  <c r="B690"/>
  <c r="B616"/>
  <c r="O689"/>
  <c r="M689"/>
  <c r="B689"/>
  <c r="O688"/>
  <c r="M688"/>
  <c r="B688"/>
  <c r="O687"/>
  <c r="M687"/>
  <c r="B687"/>
  <c r="O686"/>
  <c r="M686"/>
  <c r="B686"/>
  <c r="B324"/>
  <c r="O685"/>
  <c r="M685"/>
  <c r="B685"/>
  <c r="B477"/>
  <c r="O650"/>
  <c r="B534"/>
  <c r="O684"/>
  <c r="M684"/>
  <c r="B684"/>
  <c r="B219"/>
  <c r="O683"/>
  <c r="M683"/>
  <c r="B683"/>
  <c r="B198"/>
  <c r="O682"/>
  <c r="M682"/>
  <c r="B682"/>
  <c r="O681"/>
  <c r="M681"/>
  <c r="B681"/>
  <c r="O680"/>
  <c r="M680"/>
  <c r="B680"/>
  <c r="O679"/>
  <c r="M679"/>
  <c r="B679"/>
  <c r="O513"/>
  <c r="O678"/>
  <c r="M678"/>
  <c r="B678"/>
  <c r="O677"/>
  <c r="M677"/>
  <c r="B598"/>
  <c r="O676"/>
  <c r="M676"/>
  <c r="B676"/>
  <c r="B580"/>
  <c r="O675"/>
  <c r="M675"/>
  <c r="B675"/>
  <c r="O405"/>
  <c r="O674"/>
  <c r="M674"/>
  <c r="B674"/>
  <c r="O673"/>
  <c r="M673"/>
  <c r="B673"/>
  <c r="O672"/>
  <c r="M672"/>
  <c r="B672"/>
  <c r="O671"/>
  <c r="M671"/>
  <c r="B671"/>
  <c r="O670"/>
  <c r="M670"/>
  <c r="B670"/>
  <c r="B468"/>
  <c r="B377"/>
  <c r="B375"/>
  <c r="B385"/>
  <c r="O669"/>
  <c r="M669"/>
  <c r="O668"/>
  <c r="M668"/>
  <c r="O667"/>
  <c r="M667"/>
  <c r="B667"/>
  <c r="O666"/>
  <c r="M666"/>
  <c r="B666"/>
  <c r="O665"/>
  <c r="M665"/>
  <c r="B665"/>
  <c r="B363"/>
  <c r="O664"/>
  <c r="M664"/>
  <c r="B664"/>
  <c r="B558"/>
  <c r="O663"/>
  <c r="M663"/>
  <c r="B663"/>
  <c r="O662"/>
  <c r="M662"/>
  <c r="B662"/>
  <c r="M661"/>
  <c r="B661"/>
  <c r="O660"/>
  <c r="M660"/>
  <c r="B660"/>
  <c r="O659"/>
  <c r="M659"/>
  <c r="B659"/>
  <c r="O658"/>
  <c r="M658"/>
  <c r="O657"/>
  <c r="M657"/>
  <c r="B657"/>
  <c r="O656"/>
  <c r="M656"/>
  <c r="B656"/>
  <c r="O655"/>
  <c r="M655"/>
  <c r="B655"/>
  <c r="B452"/>
  <c r="O654"/>
  <c r="M654"/>
  <c r="B654"/>
  <c r="O653"/>
  <c r="M653"/>
  <c r="B653"/>
  <c r="B573"/>
  <c r="M652"/>
  <c r="B652"/>
  <c r="B541"/>
  <c r="B314"/>
  <c r="B313"/>
  <c r="B338"/>
  <c r="O651"/>
  <c r="M651"/>
  <c r="B651"/>
  <c r="M650"/>
  <c r="O649"/>
  <c r="M649"/>
  <c r="B649"/>
  <c r="O648"/>
  <c r="M648"/>
  <c r="B648"/>
  <c r="B536"/>
  <c r="O647"/>
  <c r="M647"/>
  <c r="B647"/>
  <c r="O646"/>
  <c r="M646"/>
  <c r="B646"/>
  <c r="M645"/>
  <c r="B645"/>
  <c r="O644"/>
  <c r="M644"/>
  <c r="B644"/>
  <c r="O552"/>
  <c r="B296"/>
  <c r="B570"/>
  <c r="M643"/>
  <c r="B643"/>
  <c r="B474"/>
  <c r="O276"/>
  <c r="M276"/>
  <c r="B276"/>
  <c r="O642"/>
  <c r="M642"/>
  <c r="B642"/>
  <c r="O641"/>
  <c r="M641"/>
  <c r="O640"/>
  <c r="M640"/>
  <c r="B640"/>
  <c r="O639"/>
  <c r="M639"/>
  <c r="B639"/>
  <c r="B557"/>
  <c r="O638"/>
  <c r="O637"/>
  <c r="M637"/>
  <c r="B637"/>
  <c r="O636"/>
  <c r="M636"/>
  <c r="B636"/>
  <c r="O635"/>
  <c r="M635"/>
  <c r="B635"/>
  <c r="B285"/>
  <c r="O634"/>
  <c r="M634"/>
  <c r="B634"/>
  <c r="O633"/>
  <c r="M633"/>
  <c r="O632"/>
  <c r="M632"/>
  <c r="B527"/>
  <c r="B498"/>
  <c r="O631"/>
  <c r="M631"/>
  <c r="O630"/>
  <c r="M630"/>
  <c r="B630"/>
  <c r="O629"/>
  <c r="M629"/>
  <c r="B629"/>
  <c r="O628"/>
  <c r="M628"/>
  <c r="B628"/>
  <c r="M627"/>
  <c r="B627"/>
  <c r="B192"/>
  <c r="B151"/>
  <c r="B447"/>
  <c r="B147"/>
  <c r="B146"/>
  <c r="O626"/>
  <c r="M626"/>
  <c r="B626"/>
  <c r="O625"/>
  <c r="M625"/>
  <c r="B625"/>
  <c r="O624"/>
  <c r="M624"/>
  <c r="B624"/>
  <c r="O623"/>
  <c r="M623"/>
  <c r="B623"/>
  <c r="O622"/>
  <c r="M622"/>
  <c r="B622"/>
  <c r="B114"/>
  <c r="M621"/>
  <c r="B621"/>
  <c r="O620"/>
  <c r="M620"/>
  <c r="B620"/>
  <c r="B585"/>
  <c r="B189"/>
  <c r="O619"/>
  <c r="M619"/>
  <c r="B619"/>
  <c r="O618"/>
  <c r="M618"/>
  <c r="B618"/>
  <c r="B70"/>
  <c r="O617"/>
  <c r="M617"/>
  <c r="B617"/>
  <c r="O616"/>
  <c r="M616"/>
  <c r="O615"/>
  <c r="M615"/>
  <c r="B615"/>
  <c r="O614"/>
  <c r="M614"/>
  <c r="B614"/>
  <c r="O613"/>
  <c r="M613"/>
  <c r="B613"/>
  <c r="O612"/>
  <c r="M612"/>
  <c r="B612"/>
  <c r="O611"/>
  <c r="M611"/>
  <c r="B611"/>
  <c r="O610"/>
  <c r="M610"/>
  <c r="B610"/>
  <c r="M609"/>
  <c r="B609"/>
  <c r="O608"/>
  <c r="M608"/>
  <c r="B608"/>
  <c r="B19"/>
  <c r="O607"/>
  <c r="M607"/>
  <c r="B607"/>
  <c r="O441"/>
  <c r="O606"/>
  <c r="M606"/>
  <c r="B606"/>
  <c r="O605"/>
  <c r="M605"/>
  <c r="B605"/>
  <c r="O604"/>
  <c r="M604"/>
  <c r="B604"/>
  <c r="O603"/>
  <c r="M603"/>
  <c r="B603"/>
  <c r="O602"/>
  <c r="M602"/>
  <c r="B602"/>
  <c r="O601"/>
  <c r="M601"/>
  <c r="B601"/>
  <c r="O600"/>
  <c r="M600"/>
  <c r="B600"/>
  <c r="B537"/>
  <c r="B266"/>
  <c r="B135"/>
  <c r="B35"/>
  <c r="B453"/>
  <c r="B38"/>
  <c r="O599"/>
  <c r="M599"/>
  <c r="B599"/>
  <c r="O598"/>
  <c r="M598"/>
  <c r="O597"/>
  <c r="M597"/>
  <c r="B597"/>
  <c r="O596"/>
  <c r="M596"/>
  <c r="B596"/>
  <c r="M595"/>
  <c r="B595"/>
  <c r="O594"/>
  <c r="M594"/>
  <c r="B594"/>
  <c r="O593"/>
  <c r="M593"/>
  <c r="B593"/>
  <c r="O592"/>
  <c r="M592"/>
  <c r="B592"/>
  <c r="B543"/>
  <c r="B535"/>
  <c r="B291"/>
  <c r="B284"/>
  <c r="O530"/>
  <c r="O474"/>
  <c r="B502"/>
  <c r="M591"/>
  <c r="B591"/>
  <c r="B528"/>
  <c r="B222"/>
  <c r="O590"/>
  <c r="M590"/>
  <c r="B590"/>
  <c r="O589"/>
  <c r="M589"/>
  <c r="B589"/>
  <c r="B206"/>
  <c r="O588"/>
  <c r="M588"/>
  <c r="B588"/>
  <c r="B484"/>
  <c r="O587"/>
  <c r="M587"/>
  <c r="B587"/>
  <c r="O586"/>
  <c r="M586"/>
  <c r="B586"/>
  <c r="O585"/>
  <c r="M585"/>
  <c r="O584"/>
  <c r="M584"/>
  <c r="B584"/>
  <c r="O583"/>
  <c r="M583"/>
  <c r="B583"/>
  <c r="O582"/>
  <c r="M582"/>
  <c r="B582"/>
  <c r="O42"/>
  <c r="M42"/>
  <c r="B42"/>
  <c r="B513"/>
  <c r="O581"/>
  <c r="M581"/>
  <c r="B581"/>
  <c r="O580"/>
  <c r="M580"/>
  <c r="O579"/>
  <c r="M579"/>
  <c r="O403"/>
  <c r="M403"/>
  <c r="B403"/>
  <c r="O578"/>
  <c r="M578"/>
  <c r="B578"/>
  <c r="O577"/>
  <c r="M577"/>
  <c r="B577"/>
  <c r="O576"/>
  <c r="M576"/>
  <c r="B576"/>
  <c r="O575"/>
  <c r="M575"/>
  <c r="O574"/>
  <c r="M574"/>
  <c r="B574"/>
  <c r="O573"/>
  <c r="M573"/>
  <c r="O572"/>
  <c r="M572"/>
  <c r="B572"/>
  <c r="B295"/>
  <c r="O571"/>
  <c r="M571"/>
  <c r="B571"/>
  <c r="B503"/>
  <c r="O570"/>
  <c r="M570"/>
  <c r="B304"/>
  <c r="O569"/>
  <c r="M569"/>
  <c r="B569"/>
  <c r="B485"/>
  <c r="O557"/>
  <c r="O568"/>
  <c r="M568"/>
  <c r="B568"/>
  <c r="O567"/>
  <c r="M567"/>
  <c r="B567"/>
  <c r="B212"/>
  <c r="O566"/>
  <c r="M566"/>
  <c r="B566"/>
  <c r="B199"/>
  <c r="O565"/>
  <c r="M565"/>
  <c r="B565"/>
  <c r="O564"/>
  <c r="M564"/>
  <c r="B564"/>
  <c r="B194"/>
  <c r="B210"/>
  <c r="B140"/>
  <c r="M563"/>
  <c r="B563"/>
  <c r="M562"/>
  <c r="B562"/>
  <c r="B141"/>
  <c r="O561"/>
  <c r="M561"/>
  <c r="B561"/>
  <c r="B108"/>
  <c r="B80"/>
  <c r="B41"/>
  <c r="O560"/>
  <c r="M560"/>
  <c r="B560"/>
  <c r="O559"/>
  <c r="M559"/>
  <c r="B559"/>
  <c r="O558"/>
  <c r="M558"/>
  <c r="M557"/>
  <c r="O551"/>
  <c r="O522"/>
  <c r="M556"/>
  <c r="B556"/>
  <c r="B458"/>
  <c r="O555"/>
  <c r="M555"/>
  <c r="B555"/>
  <c r="B333"/>
  <c r="B331"/>
  <c r="B488"/>
  <c r="O536"/>
  <c r="O554"/>
  <c r="M554"/>
  <c r="O531"/>
  <c r="O553"/>
  <c r="M553"/>
  <c r="B553"/>
  <c r="M552"/>
  <c r="B552"/>
  <c r="B501"/>
  <c r="M551"/>
  <c r="B551"/>
  <c r="B497"/>
  <c r="O123"/>
  <c r="O550"/>
  <c r="M550"/>
  <c r="B550"/>
  <c r="O549"/>
  <c r="M549"/>
  <c r="B549"/>
  <c r="O548" i="164"/>
  <c r="M548"/>
  <c r="B548"/>
  <c r="O547"/>
  <c r="M547"/>
  <c r="B547"/>
  <c r="O546"/>
  <c r="M546"/>
  <c r="B546"/>
  <c r="O545"/>
  <c r="M545"/>
  <c r="B545"/>
  <c r="O544"/>
  <c r="M544"/>
  <c r="B544"/>
  <c r="O543"/>
  <c r="M543"/>
  <c r="B543"/>
  <c r="O542"/>
  <c r="M542"/>
  <c r="B542"/>
  <c r="O541"/>
  <c r="M541"/>
  <c r="B541"/>
  <c r="O540"/>
  <c r="M540"/>
  <c r="B540"/>
  <c r="O539"/>
  <c r="M539"/>
  <c r="B539"/>
  <c r="O538"/>
  <c r="M538"/>
  <c r="B538"/>
  <c r="O537"/>
  <c r="M537"/>
  <c r="B537"/>
  <c r="M536"/>
  <c r="B536"/>
  <c r="O535"/>
  <c r="M535"/>
  <c r="B535"/>
  <c r="O534"/>
  <c r="M534"/>
  <c r="B534"/>
  <c r="O533"/>
  <c r="M533"/>
  <c r="B533"/>
  <c r="O532"/>
  <c r="M532"/>
  <c r="B532"/>
  <c r="M531"/>
  <c r="B531"/>
  <c r="O530"/>
  <c r="M530"/>
  <c r="B530"/>
  <c r="O529"/>
  <c r="M529"/>
  <c r="B529"/>
  <c r="O528"/>
  <c r="M528"/>
  <c r="B528"/>
  <c r="O527"/>
  <c r="M527"/>
  <c r="B527"/>
  <c r="O526"/>
  <c r="M526"/>
  <c r="B526"/>
  <c r="O525"/>
  <c r="M525"/>
  <c r="B525"/>
  <c r="O524"/>
  <c r="M524"/>
  <c r="B524"/>
  <c r="O523"/>
  <c r="M523"/>
  <c r="B523"/>
  <c r="M522"/>
  <c r="B522"/>
  <c r="O521"/>
  <c r="M521"/>
  <c r="B521"/>
  <c r="O520"/>
  <c r="M520"/>
  <c r="B520"/>
  <c r="M519"/>
  <c r="B519"/>
  <c r="O518"/>
  <c r="M518"/>
  <c r="B518"/>
  <c r="O517"/>
  <c r="M517"/>
  <c r="B517"/>
  <c r="O516"/>
  <c r="M516"/>
  <c r="B516"/>
  <c r="O515"/>
  <c r="M515"/>
  <c r="B515"/>
  <c r="O514"/>
  <c r="M514"/>
  <c r="B514"/>
  <c r="O513"/>
  <c r="M513"/>
  <c r="B513"/>
  <c r="O512"/>
  <c r="M512"/>
  <c r="B512"/>
  <c r="O511"/>
  <c r="M511"/>
  <c r="B511"/>
  <c r="M510"/>
  <c r="B510"/>
  <c r="O509"/>
  <c r="M509"/>
  <c r="B509"/>
  <c r="O508"/>
  <c r="M508"/>
  <c r="B508"/>
  <c r="O507"/>
  <c r="M507"/>
  <c r="B507"/>
  <c r="O506"/>
  <c r="M506"/>
  <c r="B506"/>
  <c r="O505"/>
  <c r="M505"/>
  <c r="B505"/>
  <c r="O504"/>
  <c r="M504"/>
  <c r="B504"/>
  <c r="O503"/>
  <c r="M503"/>
  <c r="B503"/>
  <c r="O502"/>
  <c r="M502"/>
  <c r="B502"/>
  <c r="O501"/>
  <c r="M501"/>
  <c r="B501"/>
  <c r="O500"/>
  <c r="M500"/>
  <c r="B500"/>
  <c r="O499"/>
  <c r="M499"/>
  <c r="B499"/>
  <c r="O498"/>
  <c r="M498"/>
  <c r="B498"/>
  <c r="O497"/>
  <c r="M497"/>
  <c r="B497"/>
  <c r="O496"/>
  <c r="M496"/>
  <c r="B496"/>
  <c r="O495"/>
  <c r="M495"/>
  <c r="B495"/>
  <c r="O494"/>
  <c r="M494"/>
  <c r="B494"/>
  <c r="M493"/>
  <c r="B493"/>
  <c r="O492"/>
  <c r="M492"/>
  <c r="B492"/>
  <c r="O491"/>
  <c r="M491"/>
  <c r="B491"/>
  <c r="O490"/>
  <c r="M490"/>
  <c r="B490"/>
  <c r="O489"/>
  <c r="M489"/>
  <c r="B489"/>
  <c r="O488"/>
  <c r="M488"/>
  <c r="B488"/>
  <c r="O487"/>
  <c r="M487"/>
  <c r="B487"/>
  <c r="O486"/>
  <c r="M486"/>
  <c r="B486"/>
  <c r="O485"/>
  <c r="M485"/>
  <c r="B485"/>
  <c r="O484"/>
  <c r="M484"/>
  <c r="B484"/>
  <c r="O483"/>
  <c r="M483"/>
  <c r="B483"/>
  <c r="O482"/>
  <c r="M482"/>
  <c r="B482"/>
  <c r="O481"/>
  <c r="M481"/>
  <c r="B481"/>
  <c r="O480"/>
  <c r="M480"/>
  <c r="B480"/>
  <c r="O479"/>
  <c r="M479"/>
  <c r="B479"/>
  <c r="O478"/>
  <c r="M478"/>
  <c r="B478"/>
  <c r="O477"/>
  <c r="M477"/>
  <c r="B477"/>
  <c r="O476"/>
  <c r="M476"/>
  <c r="B476"/>
  <c r="O475"/>
  <c r="M475"/>
  <c r="B475"/>
  <c r="M474"/>
  <c r="B474"/>
  <c r="O473"/>
  <c r="M473"/>
  <c r="B473"/>
  <c r="O472"/>
  <c r="M472"/>
  <c r="B472"/>
  <c r="O471"/>
  <c r="M471"/>
  <c r="B471"/>
  <c r="O470"/>
  <c r="M470"/>
  <c r="B470"/>
  <c r="O469"/>
  <c r="M469"/>
  <c r="B469"/>
  <c r="O468"/>
  <c r="M468"/>
  <c r="B468"/>
  <c r="O467"/>
  <c r="M467"/>
  <c r="B467"/>
  <c r="M466"/>
  <c r="B466"/>
  <c r="O465"/>
  <c r="M465"/>
  <c r="B465"/>
  <c r="M464"/>
  <c r="B464"/>
  <c r="M463"/>
  <c r="B463"/>
  <c r="O462"/>
  <c r="M462"/>
  <c r="B462"/>
  <c r="O461"/>
  <c r="M461"/>
  <c r="B461"/>
  <c r="O460"/>
  <c r="M460"/>
  <c r="B460"/>
  <c r="O459"/>
  <c r="M459"/>
  <c r="B459"/>
  <c r="O458"/>
  <c r="M458"/>
  <c r="B458"/>
  <c r="O457"/>
  <c r="M457"/>
  <c r="B457"/>
  <c r="O456"/>
  <c r="M456"/>
  <c r="B456"/>
  <c r="O455"/>
  <c r="M455"/>
  <c r="B455"/>
  <c r="O454"/>
  <c r="M454"/>
  <c r="B454"/>
  <c r="O453"/>
  <c r="M453"/>
  <c r="B453"/>
  <c r="O452"/>
  <c r="M452"/>
  <c r="B452"/>
  <c r="O451"/>
  <c r="M451"/>
  <c r="B451"/>
  <c r="O450"/>
  <c r="M450"/>
  <c r="B450"/>
  <c r="O449"/>
  <c r="M449"/>
  <c r="B449"/>
  <c r="O448"/>
  <c r="M448"/>
  <c r="B448"/>
  <c r="O447"/>
  <c r="M447"/>
  <c r="B447"/>
  <c r="O446"/>
  <c r="M446"/>
  <c r="B446"/>
  <c r="O445"/>
  <c r="M445"/>
  <c r="B445"/>
  <c r="M444"/>
  <c r="B444"/>
  <c r="O443"/>
  <c r="M443"/>
  <c r="B443"/>
  <c r="BH442"/>
  <c r="O442"/>
  <c r="M442"/>
  <c r="B442"/>
  <c r="BH441"/>
  <c r="O441"/>
  <c r="M441"/>
  <c r="B441"/>
  <c r="BH440"/>
  <c r="O440"/>
  <c r="M440"/>
  <c r="B440"/>
  <c r="BH439"/>
  <c r="O439"/>
  <c r="M439"/>
  <c r="B439"/>
  <c r="BH438"/>
  <c r="O438"/>
  <c r="M438"/>
  <c r="B438"/>
  <c r="BH437"/>
  <c r="O437"/>
  <c r="M437"/>
  <c r="B437"/>
  <c r="BH436"/>
  <c r="O436"/>
  <c r="M436"/>
  <c r="B436"/>
  <c r="BH435"/>
  <c r="O435"/>
  <c r="M435"/>
  <c r="B435"/>
  <c r="BH434"/>
  <c r="O434"/>
  <c r="M434"/>
  <c r="B434"/>
  <c r="BH433"/>
  <c r="O433"/>
  <c r="M433"/>
  <c r="B433"/>
  <c r="BH432"/>
  <c r="O432"/>
  <c r="M432"/>
  <c r="B432"/>
  <c r="BH431"/>
  <c r="O431"/>
  <c r="M431"/>
  <c r="B431"/>
  <c r="BH430"/>
  <c r="O430"/>
  <c r="M430"/>
  <c r="B430"/>
  <c r="BH429"/>
  <c r="O429"/>
  <c r="M429"/>
  <c r="B429"/>
  <c r="BH428"/>
  <c r="O428"/>
  <c r="M428"/>
  <c r="B428"/>
  <c r="BH427"/>
  <c r="O427"/>
  <c r="M427"/>
  <c r="B427"/>
  <c r="BH426"/>
  <c r="O426"/>
  <c r="M426"/>
  <c r="B426"/>
  <c r="BH425"/>
  <c r="O425"/>
  <c r="M425"/>
  <c r="B425"/>
  <c r="BH424"/>
  <c r="O424"/>
  <c r="M424"/>
  <c r="B424"/>
  <c r="BH423"/>
  <c r="O423"/>
  <c r="M423"/>
  <c r="B423"/>
  <c r="BH422"/>
  <c r="O422"/>
  <c r="M422"/>
  <c r="B422"/>
  <c r="BH421"/>
  <c r="O421"/>
  <c r="M421"/>
  <c r="B421"/>
  <c r="BH420"/>
  <c r="O420"/>
  <c r="M420"/>
  <c r="B420"/>
  <c r="BH419"/>
  <c r="O419"/>
  <c r="M419"/>
  <c r="B419"/>
  <c r="BH418"/>
  <c r="O418"/>
  <c r="M418"/>
  <c r="B418"/>
  <c r="BH417"/>
  <c r="O417"/>
  <c r="M417"/>
  <c r="B417"/>
  <c r="BH416"/>
  <c r="O416"/>
  <c r="M416"/>
  <c r="B416"/>
  <c r="BH415"/>
  <c r="O415"/>
  <c r="M415"/>
  <c r="B415"/>
  <c r="BH414"/>
  <c r="O414"/>
  <c r="M414"/>
  <c r="B414"/>
  <c r="BH413"/>
  <c r="O413"/>
  <c r="M413"/>
  <c r="B413"/>
  <c r="BH412"/>
  <c r="O412"/>
  <c r="M412"/>
  <c r="B412"/>
  <c r="BH411"/>
  <c r="O411"/>
  <c r="M411"/>
  <c r="B411"/>
  <c r="BH410"/>
  <c r="O410"/>
  <c r="M410"/>
  <c r="B410"/>
  <c r="BH409"/>
  <c r="O409"/>
  <c r="M409"/>
  <c r="B409"/>
  <c r="BH408"/>
  <c r="O408"/>
  <c r="M408"/>
  <c r="B408"/>
  <c r="BH407"/>
  <c r="O407"/>
  <c r="M407"/>
  <c r="B407"/>
  <c r="BH406"/>
  <c r="O406"/>
  <c r="M406"/>
  <c r="B406"/>
  <c r="BK406" s="1"/>
  <c r="BH405"/>
  <c r="O405"/>
  <c r="M405"/>
  <c r="B405"/>
  <c r="BH404"/>
  <c r="O404"/>
  <c r="M404"/>
  <c r="B404"/>
  <c r="BH403"/>
  <c r="O403"/>
  <c r="M403"/>
  <c r="B403"/>
  <c r="BH402"/>
  <c r="O402"/>
  <c r="M402"/>
  <c r="B402"/>
  <c r="BH401"/>
  <c r="O401"/>
  <c r="M401"/>
  <c r="B401"/>
  <c r="BH400"/>
  <c r="O400"/>
  <c r="M400"/>
  <c r="B400"/>
  <c r="BK400" s="1"/>
  <c r="BH399"/>
  <c r="O399"/>
  <c r="M399"/>
  <c r="B399"/>
  <c r="BH398"/>
  <c r="O398"/>
  <c r="M398"/>
  <c r="B398"/>
  <c r="BH397"/>
  <c r="O397"/>
  <c r="M397"/>
  <c r="B397"/>
  <c r="BH396"/>
  <c r="O396"/>
  <c r="M396"/>
  <c r="B396"/>
  <c r="BH395"/>
  <c r="O395"/>
  <c r="M395"/>
  <c r="B395"/>
  <c r="BH394"/>
  <c r="O394"/>
  <c r="M394"/>
  <c r="B394"/>
  <c r="BK394" s="1"/>
  <c r="BH393"/>
  <c r="O393"/>
  <c r="M393"/>
  <c r="B393"/>
  <c r="BH392"/>
  <c r="O392"/>
  <c r="M392"/>
  <c r="B392"/>
  <c r="BK392" s="1"/>
  <c r="BH391"/>
  <c r="O391"/>
  <c r="M391"/>
  <c r="B391"/>
  <c r="BH390"/>
  <c r="O390"/>
  <c r="M390"/>
  <c r="B390"/>
  <c r="BH389"/>
  <c r="O389"/>
  <c r="M389"/>
  <c r="B389"/>
  <c r="BH388"/>
  <c r="O388"/>
  <c r="M388"/>
  <c r="B388"/>
  <c r="BH387"/>
  <c r="O387"/>
  <c r="M387"/>
  <c r="B387"/>
  <c r="BK387" s="1"/>
  <c r="BH386"/>
  <c r="O386"/>
  <c r="M386"/>
  <c r="B386"/>
  <c r="BH385"/>
  <c r="O385"/>
  <c r="M385"/>
  <c r="B385"/>
  <c r="BH384"/>
  <c r="O384"/>
  <c r="M384"/>
  <c r="B384"/>
  <c r="BH383"/>
  <c r="O383"/>
  <c r="M383"/>
  <c r="B383"/>
  <c r="BH382"/>
  <c r="O382"/>
  <c r="M382"/>
  <c r="B382"/>
  <c r="BH381"/>
  <c r="O381"/>
  <c r="M381"/>
  <c r="B381"/>
  <c r="BH380"/>
  <c r="O380"/>
  <c r="M380"/>
  <c r="B380"/>
  <c r="BH379"/>
  <c r="O379"/>
  <c r="M379"/>
  <c r="B379"/>
  <c r="BK379" s="1"/>
  <c r="BH378"/>
  <c r="O378"/>
  <c r="M378"/>
  <c r="B378"/>
  <c r="BH377"/>
  <c r="O377"/>
  <c r="M377"/>
  <c r="B377"/>
  <c r="BH376"/>
  <c r="O376"/>
  <c r="M376"/>
  <c r="B376"/>
  <c r="BH375"/>
  <c r="O375"/>
  <c r="M375"/>
  <c r="B375"/>
  <c r="BH374"/>
  <c r="O374"/>
  <c r="M374"/>
  <c r="B374"/>
  <c r="BK374" s="1"/>
  <c r="BH373"/>
  <c r="M373"/>
  <c r="B373"/>
  <c r="BH372"/>
  <c r="O372"/>
  <c r="M372"/>
  <c r="B372"/>
  <c r="BH371"/>
  <c r="O371"/>
  <c r="M371"/>
  <c r="B371"/>
  <c r="BH370"/>
  <c r="O370"/>
  <c r="M370"/>
  <c r="B370"/>
  <c r="BH369"/>
  <c r="O369"/>
  <c r="M369"/>
  <c r="B369"/>
  <c r="BH368"/>
  <c r="O368"/>
  <c r="M368"/>
  <c r="B368"/>
  <c r="BH367"/>
  <c r="O367"/>
  <c r="M367"/>
  <c r="B367"/>
  <c r="BH366"/>
  <c r="O366"/>
  <c r="M366"/>
  <c r="B366"/>
  <c r="BH365"/>
  <c r="O365"/>
  <c r="M365"/>
  <c r="B365"/>
  <c r="BH364"/>
  <c r="O364"/>
  <c r="M364"/>
  <c r="B364"/>
  <c r="BH363"/>
  <c r="O363"/>
  <c r="M363"/>
  <c r="B363"/>
  <c r="BH362"/>
  <c r="O362"/>
  <c r="M362"/>
  <c r="B362"/>
  <c r="BH361"/>
  <c r="O361"/>
  <c r="M361"/>
  <c r="B361"/>
  <c r="BH360"/>
  <c r="O360"/>
  <c r="M360"/>
  <c r="B360"/>
  <c r="BH359"/>
  <c r="O359"/>
  <c r="M359"/>
  <c r="B359"/>
  <c r="BH358"/>
  <c r="O358"/>
  <c r="M358"/>
  <c r="B358"/>
  <c r="BH357"/>
  <c r="O357"/>
  <c r="M357"/>
  <c r="B357"/>
  <c r="BH356"/>
  <c r="O356"/>
  <c r="M356"/>
  <c r="B356"/>
  <c r="BH355"/>
  <c r="O355"/>
  <c r="M355"/>
  <c r="B355"/>
  <c r="BH354"/>
  <c r="O354"/>
  <c r="M354"/>
  <c r="B354"/>
  <c r="BH353"/>
  <c r="O353"/>
  <c r="M353"/>
  <c r="B353"/>
  <c r="BH352"/>
  <c r="O352"/>
  <c r="M352"/>
  <c r="B352"/>
  <c r="BH351"/>
  <c r="O351"/>
  <c r="M351"/>
  <c r="B351"/>
  <c r="BH350"/>
  <c r="O350"/>
  <c r="M350"/>
  <c r="B350"/>
  <c r="BH349"/>
  <c r="O349"/>
  <c r="M349"/>
  <c r="B349"/>
  <c r="BH348"/>
  <c r="O348"/>
  <c r="M348"/>
  <c r="B348"/>
  <c r="BH347"/>
  <c r="O347"/>
  <c r="M347"/>
  <c r="B347"/>
  <c r="BH346"/>
  <c r="O346"/>
  <c r="M346"/>
  <c r="B346"/>
  <c r="BH345"/>
  <c r="M345"/>
  <c r="B345"/>
  <c r="BH344"/>
  <c r="O344"/>
  <c r="M344"/>
  <c r="B344"/>
  <c r="BH343"/>
  <c r="O343"/>
  <c r="M343"/>
  <c r="B343"/>
  <c r="BK343" s="1"/>
  <c r="BH342"/>
  <c r="O342"/>
  <c r="M342"/>
  <c r="B342"/>
  <c r="BH341"/>
  <c r="O341"/>
  <c r="M341"/>
  <c r="B341"/>
  <c r="BK341" s="1"/>
  <c r="BH340"/>
  <c r="O340"/>
  <c r="M340"/>
  <c r="B340"/>
  <c r="BH339"/>
  <c r="O339"/>
  <c r="M339"/>
  <c r="B339"/>
  <c r="BK339" s="1"/>
  <c r="BH338"/>
  <c r="O338"/>
  <c r="N338"/>
  <c r="M338"/>
  <c r="B338"/>
  <c r="BH337"/>
  <c r="O337"/>
  <c r="M337"/>
  <c r="B337"/>
  <c r="BH336"/>
  <c r="O336"/>
  <c r="N336"/>
  <c r="M336"/>
  <c r="B336"/>
  <c r="BH335"/>
  <c r="O335"/>
  <c r="M335"/>
  <c r="B335"/>
  <c r="BH334"/>
  <c r="O334"/>
  <c r="M334"/>
  <c r="B334"/>
  <c r="BH333"/>
  <c r="O333"/>
  <c r="M333"/>
  <c r="B333"/>
  <c r="BH332"/>
  <c r="O332"/>
  <c r="M332"/>
  <c r="B332"/>
  <c r="BH331"/>
  <c r="O331"/>
  <c r="M331"/>
  <c r="B331"/>
  <c r="BK331" s="1"/>
  <c r="BH330"/>
  <c r="O330"/>
  <c r="M330"/>
  <c r="B330"/>
  <c r="BH329"/>
  <c r="O329"/>
  <c r="M329"/>
  <c r="B329"/>
  <c r="BH328"/>
  <c r="O328"/>
  <c r="M328"/>
  <c r="B328"/>
  <c r="BK328" s="1"/>
  <c r="BH327"/>
  <c r="O327"/>
  <c r="M327"/>
  <c r="B327"/>
  <c r="BH326"/>
  <c r="O326"/>
  <c r="M326"/>
  <c r="B326"/>
  <c r="BH325"/>
  <c r="O325"/>
  <c r="M325"/>
  <c r="B325"/>
  <c r="BH324"/>
  <c r="O324"/>
  <c r="M324"/>
  <c r="B324"/>
  <c r="BH323"/>
  <c r="O323"/>
  <c r="M323"/>
  <c r="B323"/>
  <c r="BK323" s="1"/>
  <c r="BH322"/>
  <c r="O322"/>
  <c r="M322"/>
  <c r="B322"/>
  <c r="BH321"/>
  <c r="O321"/>
  <c r="M321"/>
  <c r="B321"/>
  <c r="BH320"/>
  <c r="O320"/>
  <c r="M320"/>
  <c r="B320"/>
  <c r="BH319"/>
  <c r="O319"/>
  <c r="M319"/>
  <c r="B319"/>
  <c r="BK319" s="1"/>
  <c r="BH318"/>
  <c r="O318"/>
  <c r="M318"/>
  <c r="B318"/>
  <c r="BH317"/>
  <c r="M317"/>
  <c r="B317"/>
  <c r="BH316"/>
  <c r="M316"/>
  <c r="B316"/>
  <c r="BH315"/>
  <c r="O315"/>
  <c r="M315"/>
  <c r="B315"/>
  <c r="BH314"/>
  <c r="O314"/>
  <c r="M314"/>
  <c r="B314"/>
  <c r="BH313"/>
  <c r="O313"/>
  <c r="M313"/>
  <c r="B313"/>
  <c r="BH312"/>
  <c r="O312"/>
  <c r="M312"/>
  <c r="B312"/>
  <c r="BH311"/>
  <c r="O311"/>
  <c r="M311"/>
  <c r="B311"/>
  <c r="BK311" s="1"/>
  <c r="BH310"/>
  <c r="O310"/>
  <c r="M310"/>
  <c r="B310"/>
  <c r="BH309"/>
  <c r="O309"/>
  <c r="M309"/>
  <c r="B309"/>
  <c r="BH308"/>
  <c r="O308"/>
  <c r="M308"/>
  <c r="B308"/>
  <c r="BH307"/>
  <c r="O307"/>
  <c r="M307"/>
  <c r="B307"/>
  <c r="BH306"/>
  <c r="O306"/>
  <c r="M306"/>
  <c r="B306"/>
  <c r="BH305"/>
  <c r="O305"/>
  <c r="M305"/>
  <c r="B305"/>
  <c r="BH304"/>
  <c r="O304"/>
  <c r="M304"/>
  <c r="B304"/>
  <c r="BH303"/>
  <c r="O303"/>
  <c r="M303"/>
  <c r="B303"/>
  <c r="BH302"/>
  <c r="O302"/>
  <c r="N302"/>
  <c r="M302"/>
  <c r="B302"/>
  <c r="BK302" s="1"/>
  <c r="BH301"/>
  <c r="M301"/>
  <c r="B301"/>
  <c r="BH300"/>
  <c r="O300"/>
  <c r="M300"/>
  <c r="B300"/>
  <c r="BH299"/>
  <c r="O299"/>
  <c r="M299"/>
  <c r="B299"/>
  <c r="BH298"/>
  <c r="O298"/>
  <c r="M298"/>
  <c r="B298"/>
  <c r="BH297"/>
  <c r="O297"/>
  <c r="M297"/>
  <c r="B297"/>
  <c r="BH296"/>
  <c r="O296"/>
  <c r="M296"/>
  <c r="B296"/>
  <c r="BH295"/>
  <c r="O295"/>
  <c r="M295"/>
  <c r="B295"/>
  <c r="BH294"/>
  <c r="O294"/>
  <c r="M294"/>
  <c r="B294"/>
  <c r="BH293"/>
  <c r="O293"/>
  <c r="M293"/>
  <c r="B293"/>
  <c r="BH292"/>
  <c r="O292"/>
  <c r="M292"/>
  <c r="B292"/>
  <c r="BH291"/>
  <c r="O291"/>
  <c r="M291"/>
  <c r="B291"/>
  <c r="BH290"/>
  <c r="O290"/>
  <c r="M290"/>
  <c r="B290"/>
  <c r="BH289"/>
  <c r="O289"/>
  <c r="M289"/>
  <c r="B289"/>
  <c r="BH288"/>
  <c r="O288"/>
  <c r="M288"/>
  <c r="B288"/>
  <c r="BH287"/>
  <c r="O287"/>
  <c r="M287"/>
  <c r="B287"/>
  <c r="BH286"/>
  <c r="O286"/>
  <c r="M286"/>
  <c r="B286"/>
  <c r="BH285"/>
  <c r="O285"/>
  <c r="M285"/>
  <c r="B285"/>
  <c r="BH284"/>
  <c r="O284"/>
  <c r="M284"/>
  <c r="B284"/>
  <c r="BH283"/>
  <c r="O283"/>
  <c r="M283"/>
  <c r="B283"/>
  <c r="BK283" s="1"/>
  <c r="BH282"/>
  <c r="O282"/>
  <c r="M282"/>
  <c r="B282"/>
  <c r="BK282" s="1"/>
  <c r="BH281"/>
  <c r="O281"/>
  <c r="M281"/>
  <c r="B281"/>
  <c r="BH280"/>
  <c r="O280"/>
  <c r="M280"/>
  <c r="B280"/>
  <c r="BH279"/>
  <c r="O279"/>
  <c r="M279"/>
  <c r="B279"/>
  <c r="BH278"/>
  <c r="O278"/>
  <c r="M278"/>
  <c r="B278"/>
  <c r="BH277"/>
  <c r="O277"/>
  <c r="M277"/>
  <c r="B277"/>
  <c r="BH276"/>
  <c r="O276"/>
  <c r="M276"/>
  <c r="B276"/>
  <c r="BH275"/>
  <c r="O275"/>
  <c r="M275"/>
  <c r="B275"/>
  <c r="BH274"/>
  <c r="O274"/>
  <c r="M274"/>
  <c r="B274"/>
  <c r="BH273"/>
  <c r="O273"/>
  <c r="M273"/>
  <c r="B273"/>
  <c r="BH272"/>
  <c r="O272"/>
  <c r="M272"/>
  <c r="B272"/>
  <c r="BH271"/>
  <c r="O271"/>
  <c r="M271"/>
  <c r="B271"/>
  <c r="BH270"/>
  <c r="O270"/>
  <c r="M270"/>
  <c r="B270"/>
  <c r="BK270" s="1"/>
  <c r="BH269"/>
  <c r="O269"/>
  <c r="M269"/>
  <c r="B269"/>
  <c r="BH268"/>
  <c r="O268"/>
  <c r="M268"/>
  <c r="B268"/>
  <c r="BH267"/>
  <c r="O267"/>
  <c r="M267"/>
  <c r="B267"/>
  <c r="BH266"/>
  <c r="O266"/>
  <c r="M266"/>
  <c r="B266"/>
  <c r="BH265"/>
  <c r="O265"/>
  <c r="M265"/>
  <c r="B265"/>
  <c r="BH264"/>
  <c r="O264"/>
  <c r="M264"/>
  <c r="B264"/>
  <c r="BK263"/>
  <c r="BH263"/>
  <c r="O263"/>
  <c r="N263"/>
  <c r="M263"/>
  <c r="B263"/>
  <c r="BH262"/>
  <c r="O262"/>
  <c r="M262"/>
  <c r="B262"/>
  <c r="BH261"/>
  <c r="O261"/>
  <c r="M261"/>
  <c r="B261"/>
  <c r="BH260"/>
  <c r="O260"/>
  <c r="M260"/>
  <c r="B260"/>
  <c r="BH259"/>
  <c r="O259"/>
  <c r="M259"/>
  <c r="B259"/>
  <c r="BH258"/>
  <c r="O258"/>
  <c r="M258"/>
  <c r="B258"/>
  <c r="BH257"/>
  <c r="O257"/>
  <c r="M257"/>
  <c r="B257"/>
  <c r="BH256"/>
  <c r="O256"/>
  <c r="M256"/>
  <c r="B256"/>
  <c r="BH255"/>
  <c r="O255"/>
  <c r="M255"/>
  <c r="B255"/>
  <c r="BH254"/>
  <c r="M254"/>
  <c r="B254"/>
  <c r="BH253"/>
  <c r="O253"/>
  <c r="M253"/>
  <c r="B253"/>
  <c r="BK253" s="1"/>
  <c r="BH252"/>
  <c r="O252"/>
  <c r="M252"/>
  <c r="B252"/>
  <c r="BH251"/>
  <c r="O251"/>
  <c r="M251"/>
  <c r="B251"/>
  <c r="BH250"/>
  <c r="O250"/>
  <c r="M250"/>
  <c r="B250"/>
  <c r="BK250" s="1"/>
  <c r="BH249"/>
  <c r="O249"/>
  <c r="M249"/>
  <c r="B249"/>
  <c r="BK249" s="1"/>
  <c r="BH248"/>
  <c r="O248"/>
  <c r="M248"/>
  <c r="B248"/>
  <c r="BK248" s="1"/>
  <c r="BH247"/>
  <c r="O247"/>
  <c r="N247"/>
  <c r="M247"/>
  <c r="B247"/>
  <c r="BH246"/>
  <c r="O246"/>
  <c r="M246"/>
  <c r="B246"/>
  <c r="BK246" s="1"/>
  <c r="BH245"/>
  <c r="O245"/>
  <c r="M245"/>
  <c r="B245"/>
  <c r="BK245" s="1"/>
  <c r="BH244"/>
  <c r="O244"/>
  <c r="N244"/>
  <c r="M244"/>
  <c r="B244"/>
  <c r="BH243"/>
  <c r="O243"/>
  <c r="M243"/>
  <c r="B243"/>
  <c r="BH242"/>
  <c r="O242"/>
  <c r="M242"/>
  <c r="B242"/>
  <c r="BH241"/>
  <c r="M241"/>
  <c r="B241"/>
  <c r="BK241" s="1"/>
  <c r="BH240"/>
  <c r="O240"/>
  <c r="M240"/>
  <c r="B240"/>
  <c r="BH239"/>
  <c r="O239"/>
  <c r="M239"/>
  <c r="B239"/>
  <c r="BH238"/>
  <c r="O238"/>
  <c r="M238"/>
  <c r="B238"/>
  <c r="BH237"/>
  <c r="O237"/>
  <c r="M237"/>
  <c r="B237"/>
  <c r="BH236"/>
  <c r="O236"/>
  <c r="M236"/>
  <c r="B236"/>
  <c r="BH235"/>
  <c r="O235"/>
  <c r="N235"/>
  <c r="M235"/>
  <c r="B235"/>
  <c r="BH234"/>
  <c r="O234"/>
  <c r="M234"/>
  <c r="B234"/>
  <c r="BH233"/>
  <c r="O233"/>
  <c r="M233"/>
  <c r="B233"/>
  <c r="BH232"/>
  <c r="O232"/>
  <c r="M232"/>
  <c r="B232"/>
  <c r="BH231"/>
  <c r="O231"/>
  <c r="N231"/>
  <c r="M231"/>
  <c r="B231"/>
  <c r="BH230"/>
  <c r="O230"/>
  <c r="N230"/>
  <c r="M230"/>
  <c r="B230"/>
  <c r="BH229"/>
  <c r="O229"/>
  <c r="M229"/>
  <c r="B229"/>
  <c r="BH228"/>
  <c r="O228"/>
  <c r="M228"/>
  <c r="B228"/>
  <c r="BH227"/>
  <c r="O227"/>
  <c r="M227"/>
  <c r="B227"/>
  <c r="BH226"/>
  <c r="O226"/>
  <c r="M226"/>
  <c r="B226"/>
  <c r="BH225"/>
  <c r="M225"/>
  <c r="B225"/>
  <c r="BH224"/>
  <c r="O224"/>
  <c r="M224"/>
  <c r="B224"/>
  <c r="BH223"/>
  <c r="O223"/>
  <c r="M223"/>
  <c r="B223"/>
  <c r="BH222"/>
  <c r="O222"/>
  <c r="N222"/>
  <c r="M222"/>
  <c r="B222"/>
  <c r="BH221"/>
  <c r="O221"/>
  <c r="M221"/>
  <c r="B221"/>
  <c r="BH220"/>
  <c r="O220"/>
  <c r="N220"/>
  <c r="M220"/>
  <c r="B220"/>
  <c r="BH219"/>
  <c r="O219"/>
  <c r="N219"/>
  <c r="M219"/>
  <c r="B219"/>
  <c r="BH218"/>
  <c r="O218"/>
  <c r="M218"/>
  <c r="B218"/>
  <c r="BH217"/>
  <c r="O217"/>
  <c r="M217"/>
  <c r="B217"/>
  <c r="BH216"/>
  <c r="O216"/>
  <c r="M216"/>
  <c r="B216"/>
  <c r="BH215"/>
  <c r="O215"/>
  <c r="M215"/>
  <c r="B215"/>
  <c r="BH214"/>
  <c r="O214"/>
  <c r="M214"/>
  <c r="B214"/>
  <c r="BH213"/>
  <c r="O213"/>
  <c r="N213"/>
  <c r="M213"/>
  <c r="B213"/>
  <c r="BH212"/>
  <c r="O212"/>
  <c r="M212"/>
  <c r="B212"/>
  <c r="BK212" s="1"/>
  <c r="BH211"/>
  <c r="O211"/>
  <c r="M211"/>
  <c r="B211"/>
  <c r="BH210"/>
  <c r="O210"/>
  <c r="M210"/>
  <c r="B210"/>
  <c r="BH209"/>
  <c r="O209"/>
  <c r="M209"/>
  <c r="B209"/>
  <c r="BH208"/>
  <c r="O208"/>
  <c r="M208"/>
  <c r="B208"/>
  <c r="BH207"/>
  <c r="O207"/>
  <c r="M207"/>
  <c r="B207"/>
  <c r="BH206"/>
  <c r="O206"/>
  <c r="M206"/>
  <c r="B206"/>
  <c r="BH205"/>
  <c r="O205"/>
  <c r="M205"/>
  <c r="B205"/>
  <c r="BH204"/>
  <c r="O204"/>
  <c r="M204"/>
  <c r="B204"/>
  <c r="BH203"/>
  <c r="O203"/>
  <c r="M203"/>
  <c r="B203"/>
  <c r="BH202"/>
  <c r="O202"/>
  <c r="M202"/>
  <c r="B202"/>
  <c r="BH201"/>
  <c r="O201"/>
  <c r="M201"/>
  <c r="B201"/>
  <c r="BH200"/>
  <c r="O200"/>
  <c r="M200"/>
  <c r="B200"/>
  <c r="BH199"/>
  <c r="O199"/>
  <c r="M199"/>
  <c r="B199"/>
  <c r="BH198"/>
  <c r="O198"/>
  <c r="M198"/>
  <c r="B198"/>
  <c r="BH197"/>
  <c r="O197"/>
  <c r="M197"/>
  <c r="B197"/>
  <c r="BH196"/>
  <c r="O196"/>
  <c r="M196"/>
  <c r="B196"/>
  <c r="BH195"/>
  <c r="O195"/>
  <c r="M195"/>
  <c r="B195"/>
  <c r="BH194"/>
  <c r="M194"/>
  <c r="B194"/>
  <c r="BH193"/>
  <c r="M193"/>
  <c r="B193"/>
  <c r="BH192"/>
  <c r="O192"/>
  <c r="N192"/>
  <c r="M192"/>
  <c r="B192"/>
  <c r="BH191"/>
  <c r="O191"/>
  <c r="N191"/>
  <c r="M191"/>
  <c r="B191"/>
  <c r="BH190"/>
  <c r="O190"/>
  <c r="N190"/>
  <c r="M190"/>
  <c r="B190"/>
  <c r="BH189"/>
  <c r="O189"/>
  <c r="M189"/>
  <c r="B189"/>
  <c r="BH188"/>
  <c r="O188"/>
  <c r="M188"/>
  <c r="B188"/>
  <c r="BK188" s="1"/>
  <c r="BH187"/>
  <c r="O187"/>
  <c r="M187"/>
  <c r="B187"/>
  <c r="BK187" s="1"/>
  <c r="BH186"/>
  <c r="O186"/>
  <c r="M186"/>
  <c r="B186"/>
  <c r="BH185"/>
  <c r="O185"/>
  <c r="M185"/>
  <c r="B185"/>
  <c r="BK184"/>
  <c r="BH184"/>
  <c r="M184"/>
  <c r="B184"/>
  <c r="BH183"/>
  <c r="O183"/>
  <c r="M183"/>
  <c r="B183"/>
  <c r="BH182"/>
  <c r="O182"/>
  <c r="M182"/>
  <c r="B182"/>
  <c r="BK182" s="1"/>
  <c r="BH181"/>
  <c r="O181"/>
  <c r="M181"/>
  <c r="B181"/>
  <c r="BK181" s="1"/>
  <c r="BH180"/>
  <c r="O180"/>
  <c r="M180"/>
  <c r="B180"/>
  <c r="BH179"/>
  <c r="O179"/>
  <c r="M179"/>
  <c r="B179"/>
  <c r="BH178"/>
  <c r="O178"/>
  <c r="M178"/>
  <c r="B178"/>
  <c r="BH177"/>
  <c r="O177"/>
  <c r="M177"/>
  <c r="B177"/>
  <c r="BH176"/>
  <c r="O176"/>
  <c r="M176"/>
  <c r="B176"/>
  <c r="BH175"/>
  <c r="O175"/>
  <c r="M175"/>
  <c r="B175"/>
  <c r="BH174"/>
  <c r="O174"/>
  <c r="M174"/>
  <c r="B174"/>
  <c r="BK174" s="1"/>
  <c r="BH173"/>
  <c r="O173"/>
  <c r="M173"/>
  <c r="B173"/>
  <c r="BK173" s="1"/>
  <c r="BH172"/>
  <c r="O172"/>
  <c r="M172"/>
  <c r="B172"/>
  <c r="BH171"/>
  <c r="O171"/>
  <c r="M171"/>
  <c r="B171"/>
  <c r="BK171" s="1"/>
  <c r="BH170"/>
  <c r="O170"/>
  <c r="M170"/>
  <c r="B170"/>
  <c r="BH169"/>
  <c r="O169"/>
  <c r="M169"/>
  <c r="B169"/>
  <c r="BK169" s="1"/>
  <c r="BH168"/>
  <c r="O168"/>
  <c r="M168"/>
  <c r="B168"/>
  <c r="BH167"/>
  <c r="O167"/>
  <c r="M167"/>
  <c r="B167"/>
  <c r="BH166"/>
  <c r="O166"/>
  <c r="M166"/>
  <c r="B166"/>
  <c r="BH165"/>
  <c r="O165"/>
  <c r="M165"/>
  <c r="B165"/>
  <c r="BH164"/>
  <c r="O164"/>
  <c r="N164"/>
  <c r="M164"/>
  <c r="B164"/>
  <c r="BH163"/>
  <c r="O163"/>
  <c r="M163"/>
  <c r="B163"/>
  <c r="BH162"/>
  <c r="O162"/>
  <c r="M162"/>
  <c r="B162"/>
  <c r="BH161"/>
  <c r="O161"/>
  <c r="M161"/>
  <c r="B161"/>
  <c r="BK161" s="1"/>
  <c r="BH160"/>
  <c r="O160"/>
  <c r="M160"/>
  <c r="B160"/>
  <c r="BH159"/>
  <c r="O159"/>
  <c r="M159"/>
  <c r="B159"/>
  <c r="BH158"/>
  <c r="O158"/>
  <c r="N158"/>
  <c r="M158"/>
  <c r="B158"/>
  <c r="BH157"/>
  <c r="O157"/>
  <c r="M157"/>
  <c r="B157"/>
  <c r="BH156"/>
  <c r="O156"/>
  <c r="M156"/>
  <c r="B156"/>
  <c r="BH155"/>
  <c r="O155"/>
  <c r="M155"/>
  <c r="B155"/>
  <c r="BH154"/>
  <c r="O154"/>
  <c r="N154"/>
  <c r="M154"/>
  <c r="B154"/>
  <c r="BH153"/>
  <c r="O153"/>
  <c r="M153"/>
  <c r="B153"/>
  <c r="BH152"/>
  <c r="O152"/>
  <c r="M152"/>
  <c r="B152"/>
  <c r="BH151"/>
  <c r="O151"/>
  <c r="M151"/>
  <c r="B151"/>
  <c r="BH150"/>
  <c r="O150"/>
  <c r="M150"/>
  <c r="B150"/>
  <c r="BH149"/>
  <c r="O149"/>
  <c r="M149"/>
  <c r="B149"/>
  <c r="BH148"/>
  <c r="O148"/>
  <c r="M148"/>
  <c r="B148"/>
  <c r="BH147"/>
  <c r="O147"/>
  <c r="M147"/>
  <c r="B147"/>
  <c r="BH146"/>
  <c r="O146"/>
  <c r="M146"/>
  <c r="B146"/>
  <c r="BH145"/>
  <c r="M145"/>
  <c r="B145"/>
  <c r="BK145" s="1"/>
  <c r="BH144"/>
  <c r="M144"/>
  <c r="B144"/>
  <c r="BK144" s="1"/>
  <c r="BH143"/>
  <c r="O143"/>
  <c r="M143"/>
  <c r="B143"/>
  <c r="BK143" s="1"/>
  <c r="BH142"/>
  <c r="O142"/>
  <c r="M142"/>
  <c r="B142"/>
  <c r="BH141"/>
  <c r="O141"/>
  <c r="M141"/>
  <c r="B141"/>
  <c r="BH140"/>
  <c r="M140"/>
  <c r="B140"/>
  <c r="BH139"/>
  <c r="O139"/>
  <c r="M139"/>
  <c r="B139"/>
  <c r="BK139" s="1"/>
  <c r="BH138"/>
  <c r="O138"/>
  <c r="M138"/>
  <c r="B138"/>
  <c r="BK138" s="1"/>
  <c r="BH137"/>
  <c r="O137"/>
  <c r="M137"/>
  <c r="B137"/>
  <c r="BH136"/>
  <c r="M136"/>
  <c r="B136"/>
  <c r="BH135"/>
  <c r="O135"/>
  <c r="M135"/>
  <c r="B135"/>
  <c r="BH134"/>
  <c r="O134"/>
  <c r="N134"/>
  <c r="M134"/>
  <c r="B134"/>
  <c r="BH133"/>
  <c r="O133"/>
  <c r="M133"/>
  <c r="B133"/>
  <c r="BK133" s="1"/>
  <c r="BH132"/>
  <c r="O132"/>
  <c r="M132"/>
  <c r="B132"/>
  <c r="BH131"/>
  <c r="O131"/>
  <c r="M131"/>
  <c r="B131"/>
  <c r="BH130"/>
  <c r="O130"/>
  <c r="N130"/>
  <c r="M130"/>
  <c r="B130"/>
  <c r="BK130" s="1"/>
  <c r="BH129"/>
  <c r="O129"/>
  <c r="M129"/>
  <c r="B129"/>
  <c r="BH128"/>
  <c r="O128"/>
  <c r="M128"/>
  <c r="B128"/>
  <c r="BH127"/>
  <c r="O127"/>
  <c r="M127"/>
  <c r="B127"/>
  <c r="BH126"/>
  <c r="O126"/>
  <c r="M126"/>
  <c r="B126"/>
  <c r="BH125"/>
  <c r="O125"/>
  <c r="N125"/>
  <c r="M125"/>
  <c r="B125"/>
  <c r="BH124"/>
  <c r="O124"/>
  <c r="M124"/>
  <c r="B124"/>
  <c r="BH123"/>
  <c r="M123"/>
  <c r="B123"/>
  <c r="BH122"/>
  <c r="O122"/>
  <c r="M122"/>
  <c r="B122"/>
  <c r="BH121"/>
  <c r="O121"/>
  <c r="M121"/>
  <c r="B121"/>
  <c r="BH120"/>
  <c r="O120"/>
  <c r="M120"/>
  <c r="B120"/>
  <c r="BH119"/>
  <c r="O119"/>
  <c r="M119"/>
  <c r="B119"/>
  <c r="BH118"/>
  <c r="O118"/>
  <c r="M118"/>
  <c r="B118"/>
  <c r="BH117"/>
  <c r="O117"/>
  <c r="M117"/>
  <c r="B117"/>
  <c r="BH116"/>
  <c r="O116"/>
  <c r="M116"/>
  <c r="B116"/>
  <c r="BH115"/>
  <c r="O115"/>
  <c r="M115"/>
  <c r="B115"/>
  <c r="BK115" s="1"/>
  <c r="BH114"/>
  <c r="O114"/>
  <c r="M114"/>
  <c r="B114"/>
  <c r="BH113"/>
  <c r="O113"/>
  <c r="M113"/>
  <c r="B113"/>
  <c r="BH112"/>
  <c r="O112"/>
  <c r="M112"/>
  <c r="B112"/>
  <c r="BH111"/>
  <c r="O111"/>
  <c r="M111"/>
  <c r="B111"/>
  <c r="BH110"/>
  <c r="O110"/>
  <c r="N110"/>
  <c r="M110"/>
  <c r="B110"/>
  <c r="BH109"/>
  <c r="O109"/>
  <c r="M109"/>
  <c r="B109"/>
  <c r="BH108"/>
  <c r="O108"/>
  <c r="M108"/>
  <c r="B108"/>
  <c r="BH107"/>
  <c r="O107"/>
  <c r="M107"/>
  <c r="B107"/>
  <c r="BH106"/>
  <c r="O106"/>
  <c r="M106"/>
  <c r="B106"/>
  <c r="BH105"/>
  <c r="O105"/>
  <c r="N105"/>
  <c r="M105"/>
  <c r="B105"/>
  <c r="BK105" s="1"/>
  <c r="BH104"/>
  <c r="O104"/>
  <c r="M104"/>
  <c r="B104"/>
  <c r="BH103"/>
  <c r="O103"/>
  <c r="M103"/>
  <c r="B103"/>
  <c r="BK103" s="1"/>
  <c r="BH102"/>
  <c r="M102"/>
  <c r="B102"/>
  <c r="BH101"/>
  <c r="O101"/>
  <c r="M101"/>
  <c r="B101"/>
  <c r="BH100"/>
  <c r="O100"/>
  <c r="M100"/>
  <c r="B100"/>
  <c r="BH99"/>
  <c r="O99"/>
  <c r="M99"/>
  <c r="B99"/>
  <c r="BH98"/>
  <c r="O98"/>
  <c r="M98"/>
  <c r="B98"/>
  <c r="BH97"/>
  <c r="O97"/>
  <c r="M97"/>
  <c r="B97"/>
  <c r="BH96"/>
  <c r="O96"/>
  <c r="M96"/>
  <c r="B96"/>
  <c r="BH95"/>
  <c r="O95"/>
  <c r="M95"/>
  <c r="B95"/>
  <c r="BH94"/>
  <c r="O94"/>
  <c r="M94"/>
  <c r="B94"/>
  <c r="BH93"/>
  <c r="O93"/>
  <c r="M93"/>
  <c r="B93"/>
  <c r="BH92"/>
  <c r="O92"/>
  <c r="M92"/>
  <c r="B92"/>
  <c r="BH91"/>
  <c r="O91"/>
  <c r="M91"/>
  <c r="B91"/>
  <c r="BK91" s="1"/>
  <c r="BH90"/>
  <c r="O90"/>
  <c r="M90"/>
  <c r="B90"/>
  <c r="BH89"/>
  <c r="O89"/>
  <c r="M89"/>
  <c r="B89"/>
  <c r="BH88"/>
  <c r="O88"/>
  <c r="M88"/>
  <c r="B88"/>
  <c r="BH87"/>
  <c r="O87"/>
  <c r="M87"/>
  <c r="B87"/>
  <c r="BH86"/>
  <c r="O86"/>
  <c r="M86"/>
  <c r="B86"/>
  <c r="BH85"/>
  <c r="O85"/>
  <c r="M85"/>
  <c r="B85"/>
  <c r="BH84"/>
  <c r="O84"/>
  <c r="M84"/>
  <c r="B84"/>
  <c r="BH83"/>
  <c r="O83"/>
  <c r="M83"/>
  <c r="B83"/>
  <c r="BK83" s="1"/>
  <c r="BH82"/>
  <c r="O82"/>
  <c r="M82"/>
  <c r="B82"/>
  <c r="BH81"/>
  <c r="O81"/>
  <c r="M81"/>
  <c r="B81"/>
  <c r="BH80"/>
  <c r="O80"/>
  <c r="M80"/>
  <c r="B80"/>
  <c r="BH79"/>
  <c r="O79"/>
  <c r="M79"/>
  <c r="B79"/>
  <c r="BH78"/>
  <c r="O78"/>
  <c r="M78"/>
  <c r="B78"/>
  <c r="BH77"/>
  <c r="O77"/>
  <c r="M77"/>
  <c r="B77"/>
  <c r="BH76"/>
  <c r="O76"/>
  <c r="M76"/>
  <c r="B76"/>
  <c r="BK76" s="1"/>
  <c r="BH75"/>
  <c r="M75"/>
  <c r="B75"/>
  <c r="BH74"/>
  <c r="O74"/>
  <c r="M74"/>
  <c r="B74"/>
  <c r="BH73"/>
  <c r="O73"/>
  <c r="M73"/>
  <c r="B73"/>
  <c r="BH72"/>
  <c r="O72"/>
  <c r="N72"/>
  <c r="M72"/>
  <c r="B72"/>
  <c r="BH71"/>
  <c r="O71"/>
  <c r="M71"/>
  <c r="B71"/>
  <c r="BH70"/>
  <c r="O70"/>
  <c r="M70"/>
  <c r="B70"/>
  <c r="BH69"/>
  <c r="O69"/>
  <c r="M69"/>
  <c r="B69"/>
  <c r="BH68"/>
  <c r="O68"/>
  <c r="M68"/>
  <c r="B68"/>
  <c r="BH67"/>
  <c r="O67"/>
  <c r="M67"/>
  <c r="B67"/>
  <c r="BH66"/>
  <c r="O66"/>
  <c r="M66"/>
  <c r="B66"/>
  <c r="BH65"/>
  <c r="O65"/>
  <c r="M65"/>
  <c r="B65"/>
  <c r="BH64"/>
  <c r="O64"/>
  <c r="M64"/>
  <c r="B64"/>
  <c r="BH63"/>
  <c r="O63"/>
  <c r="M63"/>
  <c r="B63"/>
  <c r="BK63" s="1"/>
  <c r="BH62"/>
  <c r="O62"/>
  <c r="M62"/>
  <c r="B62"/>
  <c r="BH61"/>
  <c r="O61"/>
  <c r="M61"/>
  <c r="B61"/>
  <c r="BH60"/>
  <c r="O60"/>
  <c r="M60"/>
  <c r="B60"/>
  <c r="BH59"/>
  <c r="O59"/>
  <c r="M59"/>
  <c r="B59"/>
  <c r="BK59" s="1"/>
  <c r="BH58"/>
  <c r="O58"/>
  <c r="M58"/>
  <c r="B58"/>
  <c r="BH57"/>
  <c r="O57"/>
  <c r="M57"/>
  <c r="B57"/>
  <c r="BH56"/>
  <c r="O56"/>
  <c r="M56"/>
  <c r="B56"/>
  <c r="BH55"/>
  <c r="O55"/>
  <c r="M55"/>
  <c r="B55"/>
  <c r="BH54"/>
  <c r="O54"/>
  <c r="M54"/>
  <c r="B54"/>
  <c r="BH53"/>
  <c r="O53"/>
  <c r="M53"/>
  <c r="B53"/>
  <c r="BH52"/>
  <c r="O52"/>
  <c r="M52"/>
  <c r="B52"/>
  <c r="BH51"/>
  <c r="O51"/>
  <c r="M51"/>
  <c r="B51"/>
  <c r="BH50"/>
  <c r="M50"/>
  <c r="B50"/>
  <c r="BH49"/>
  <c r="O49"/>
  <c r="M49"/>
  <c r="B49"/>
  <c r="BH48"/>
  <c r="O48"/>
  <c r="M48"/>
  <c r="B48"/>
  <c r="BH47"/>
  <c r="O47"/>
  <c r="M47"/>
  <c r="B47"/>
  <c r="BH46"/>
  <c r="O46"/>
  <c r="M46"/>
  <c r="B46"/>
  <c r="BH45"/>
  <c r="O45"/>
  <c r="M45"/>
  <c r="B45"/>
  <c r="BK45" s="1"/>
  <c r="BH44"/>
  <c r="O44"/>
  <c r="M44"/>
  <c r="B44"/>
  <c r="BH43"/>
  <c r="O43"/>
  <c r="M43"/>
  <c r="B43"/>
  <c r="BK43" s="1"/>
  <c r="BH42"/>
  <c r="O42"/>
  <c r="M42"/>
  <c r="B42"/>
  <c r="BK42" s="1"/>
  <c r="BH41"/>
  <c r="O41"/>
  <c r="M41"/>
  <c r="B41"/>
  <c r="BH40"/>
  <c r="O40"/>
  <c r="M40"/>
  <c r="B40"/>
  <c r="BH39"/>
  <c r="O39"/>
  <c r="M39"/>
  <c r="B39"/>
  <c r="BH38"/>
  <c r="O38"/>
  <c r="M38"/>
  <c r="B38"/>
  <c r="BH37"/>
  <c r="O37"/>
  <c r="M37"/>
  <c r="B37"/>
  <c r="BH36"/>
  <c r="O36"/>
  <c r="M36"/>
  <c r="B36"/>
  <c r="BH35"/>
  <c r="O35"/>
  <c r="M35"/>
  <c r="B35"/>
  <c r="BH34"/>
  <c r="O34"/>
  <c r="M34"/>
  <c r="B34"/>
  <c r="BH33"/>
  <c r="O33"/>
  <c r="M33"/>
  <c r="B33"/>
  <c r="BH32"/>
  <c r="O32"/>
  <c r="M32"/>
  <c r="B32"/>
  <c r="BH31"/>
  <c r="O31"/>
  <c r="M31"/>
  <c r="B31"/>
  <c r="BH30"/>
  <c r="O30"/>
  <c r="M30"/>
  <c r="B30"/>
  <c r="BH29"/>
  <c r="O29"/>
  <c r="M29"/>
  <c r="B29"/>
  <c r="BH28"/>
  <c r="O28"/>
  <c r="M28"/>
  <c r="B28"/>
  <c r="BH27"/>
  <c r="O27"/>
  <c r="M27"/>
  <c r="B27"/>
  <c r="BH26"/>
  <c r="M26"/>
  <c r="B26"/>
  <c r="BK26" s="1"/>
  <c r="BH25"/>
  <c r="O25"/>
  <c r="M25"/>
  <c r="B25"/>
  <c r="BH24"/>
  <c r="O24"/>
  <c r="M24"/>
  <c r="B24"/>
  <c r="BH23"/>
  <c r="O23"/>
  <c r="M23"/>
  <c r="B23"/>
  <c r="BH22"/>
  <c r="O22"/>
  <c r="M22"/>
  <c r="B22"/>
  <c r="BH21"/>
  <c r="O21"/>
  <c r="M21"/>
  <c r="B21"/>
  <c r="BK21" s="1"/>
  <c r="BH20"/>
  <c r="O20"/>
  <c r="M20"/>
  <c r="B20"/>
  <c r="BK20" s="1"/>
  <c r="BH19"/>
  <c r="O19"/>
  <c r="M19"/>
  <c r="B19"/>
  <c r="BH18"/>
  <c r="O18"/>
  <c r="M18"/>
  <c r="B18"/>
  <c r="BH17"/>
  <c r="O17"/>
  <c r="M17"/>
  <c r="B17"/>
  <c r="BK17" s="1"/>
  <c r="BH16"/>
  <c r="O16"/>
  <c r="M16"/>
  <c r="B16"/>
  <c r="BH15"/>
  <c r="O15"/>
  <c r="M15"/>
  <c r="B15"/>
  <c r="BK15" s="1"/>
  <c r="BH14"/>
  <c r="O14"/>
  <c r="M14"/>
  <c r="B14"/>
  <c r="BH13"/>
  <c r="O13"/>
  <c r="M13"/>
  <c r="B13"/>
  <c r="BH12"/>
  <c r="O12"/>
  <c r="M12"/>
  <c r="B12"/>
  <c r="BK12" s="1"/>
  <c r="BH11"/>
  <c r="O11"/>
  <c r="M11"/>
  <c r="B11"/>
  <c r="BH10"/>
  <c r="O10"/>
  <c r="M10"/>
  <c r="B10"/>
  <c r="BH9"/>
  <c r="O9"/>
  <c r="M9"/>
  <c r="B9"/>
  <c r="BH8"/>
  <c r="O8"/>
  <c r="M8"/>
  <c r="B8"/>
  <c r="BH7"/>
  <c r="O7"/>
  <c r="M7"/>
  <c r="B7"/>
  <c r="BH6"/>
  <c r="O6"/>
  <c r="M6"/>
  <c r="B6"/>
  <c r="BH5"/>
  <c r="O5"/>
  <c r="M5"/>
  <c r="B5"/>
  <c r="BH4"/>
  <c r="O4"/>
  <c r="M4"/>
  <c r="B4"/>
  <c r="BH3"/>
  <c r="O3"/>
  <c r="M3"/>
  <c r="B3"/>
  <c r="BH2"/>
  <c r="O2"/>
  <c r="M2"/>
  <c r="B2"/>
  <c r="M441" i="139"/>
  <c r="B441"/>
  <c r="O548"/>
  <c r="M548"/>
  <c r="B548"/>
  <c r="O512"/>
  <c r="B381"/>
  <c r="O547"/>
  <c r="M547"/>
  <c r="B547"/>
  <c r="O546"/>
  <c r="M546"/>
  <c r="B546"/>
  <c r="B364"/>
  <c r="O545"/>
  <c r="M545"/>
  <c r="B545"/>
  <c r="O544"/>
  <c r="M544"/>
  <c r="B544"/>
  <c r="O543"/>
  <c r="M543"/>
  <c r="O542"/>
  <c r="M542"/>
  <c r="B542"/>
  <c r="O518"/>
  <c r="O541"/>
  <c r="M541"/>
  <c r="O540"/>
  <c r="M540"/>
  <c r="B540"/>
  <c r="O539"/>
  <c r="M539"/>
  <c r="B539"/>
  <c r="O538"/>
  <c r="M538"/>
  <c r="B538"/>
  <c r="O537"/>
  <c r="M537"/>
  <c r="M536"/>
  <c r="O535"/>
  <c r="M535"/>
  <c r="O534"/>
  <c r="M534"/>
  <c r="O533"/>
  <c r="M533"/>
  <c r="B533"/>
  <c r="O532"/>
  <c r="M532"/>
  <c r="B532"/>
  <c r="M531"/>
  <c r="B531"/>
  <c r="M530"/>
  <c r="B530"/>
  <c r="O529"/>
  <c r="M529"/>
  <c r="B529"/>
  <c r="B271"/>
  <c r="O528"/>
  <c r="M528"/>
  <c r="O527"/>
  <c r="M527"/>
  <c r="O526"/>
  <c r="M526"/>
  <c r="B526"/>
  <c r="O525"/>
  <c r="M525"/>
  <c r="B525"/>
  <c r="B127"/>
  <c r="B71"/>
  <c r="O524"/>
  <c r="M524"/>
  <c r="B524"/>
  <c r="O523"/>
  <c r="M523"/>
  <c r="B523"/>
  <c r="M522"/>
  <c r="B522"/>
  <c r="B10"/>
  <c r="O521" l="1"/>
  <c r="M521"/>
  <c r="B521"/>
  <c r="O520"/>
  <c r="M520"/>
  <c r="B520"/>
  <c r="M519"/>
  <c r="B519"/>
  <c r="M518"/>
  <c r="B518"/>
  <c r="O517"/>
  <c r="M517"/>
  <c r="B288"/>
  <c r="O516"/>
  <c r="M516"/>
  <c r="B516"/>
  <c r="B217"/>
  <c r="O515"/>
  <c r="M515"/>
  <c r="B515"/>
  <c r="O499"/>
  <c r="O497"/>
  <c r="O514"/>
  <c r="M514"/>
  <c r="B514"/>
  <c r="B88"/>
  <c r="B67"/>
  <c r="M513"/>
  <c r="B423"/>
  <c r="M512"/>
  <c r="B512"/>
  <c r="O511"/>
  <c r="M511"/>
  <c r="B511"/>
  <c r="M510"/>
  <c r="B510"/>
  <c r="O509"/>
  <c r="M509"/>
  <c r="B509"/>
  <c r="O508"/>
  <c r="M508"/>
  <c r="B508"/>
  <c r="O489"/>
  <c r="B478"/>
  <c r="O507"/>
  <c r="M507"/>
  <c r="B507"/>
  <c r="B330"/>
  <c r="O506"/>
  <c r="M506"/>
  <c r="B506"/>
  <c r="O505"/>
  <c r="M505"/>
  <c r="B505"/>
  <c r="O504"/>
  <c r="M504"/>
  <c r="B504"/>
  <c r="O503"/>
  <c r="M503"/>
  <c r="O258"/>
  <c r="O502"/>
  <c r="M502"/>
  <c r="B463"/>
  <c r="O501"/>
  <c r="M501"/>
  <c r="O500"/>
  <c r="M500"/>
  <c r="B500"/>
  <c r="M499"/>
  <c r="B499"/>
  <c r="O498"/>
  <c r="M498"/>
  <c r="O483"/>
  <c r="B142"/>
  <c r="M497"/>
  <c r="O496"/>
  <c r="M496"/>
  <c r="B496"/>
  <c r="O495"/>
  <c r="M495"/>
  <c r="B495"/>
  <c r="B110"/>
  <c r="O494"/>
  <c r="M494"/>
  <c r="B494"/>
  <c r="B78"/>
  <c r="M493"/>
  <c r="B493"/>
  <c r="B428"/>
  <c r="O492"/>
  <c r="M492"/>
  <c r="B492"/>
  <c r="O491"/>
  <c r="M491"/>
  <c r="B491"/>
  <c r="O490"/>
  <c r="M490"/>
  <c r="B490"/>
  <c r="B355"/>
  <c r="M489"/>
  <c r="B489"/>
  <c r="B332"/>
  <c r="O488"/>
  <c r="M488"/>
  <c r="O487"/>
  <c r="M487"/>
  <c r="B487"/>
  <c r="O486"/>
  <c r="M486"/>
  <c r="B486"/>
  <c r="O473"/>
  <c r="O485"/>
  <c r="M485"/>
  <c r="B455"/>
  <c r="O484"/>
  <c r="M484"/>
  <c r="B158"/>
  <c r="B448"/>
  <c r="M483"/>
  <c r="B483"/>
  <c r="O482"/>
  <c r="M482"/>
  <c r="B482"/>
  <c r="B32"/>
  <c r="O470"/>
  <c r="O481"/>
  <c r="M481"/>
  <c r="B481"/>
  <c r="O480"/>
  <c r="M480"/>
  <c r="B480"/>
  <c r="B389"/>
  <c r="O479"/>
  <c r="M479"/>
  <c r="B479"/>
  <c r="O478"/>
  <c r="M478"/>
  <c r="B350"/>
  <c r="O477"/>
  <c r="M477"/>
  <c r="O312"/>
  <c r="M312"/>
  <c r="B312"/>
  <c r="O476"/>
  <c r="M476"/>
  <c r="B476"/>
  <c r="B283"/>
  <c r="O475"/>
  <c r="M475"/>
  <c r="B475"/>
  <c r="B264"/>
  <c r="M474"/>
  <c r="B450"/>
  <c r="M473"/>
  <c r="B473"/>
  <c r="B193"/>
  <c r="O472"/>
  <c r="M472"/>
  <c r="B472"/>
  <c r="O471"/>
  <c r="M471"/>
  <c r="B471"/>
  <c r="B165"/>
  <c r="B449"/>
  <c r="B122"/>
  <c r="B459"/>
  <c r="O44"/>
  <c r="M44"/>
  <c r="B44"/>
  <c r="M470"/>
  <c r="B470"/>
  <c r="O469"/>
  <c r="M469"/>
  <c r="B469"/>
  <c r="B13"/>
  <c r="O468"/>
  <c r="M468"/>
  <c r="O467"/>
  <c r="M467"/>
  <c r="B467"/>
  <c r="M466"/>
  <c r="B466"/>
  <c r="O346"/>
  <c r="O465"/>
  <c r="M465"/>
  <c r="B465"/>
  <c r="M464"/>
  <c r="B464"/>
  <c r="M463"/>
  <c r="B215"/>
  <c r="O462"/>
  <c r="M462"/>
  <c r="B462"/>
  <c r="O461"/>
  <c r="M461"/>
  <c r="B461"/>
  <c r="B187"/>
  <c r="O460"/>
  <c r="M460"/>
  <c r="B460"/>
  <c r="B116"/>
  <c r="O459"/>
  <c r="M459"/>
  <c r="O454"/>
  <c r="B62"/>
  <c r="B55"/>
  <c r="BH420"/>
  <c r="BH422"/>
  <c r="BH424"/>
  <c r="BH425"/>
  <c r="BH426"/>
  <c r="BH428"/>
  <c r="BH429"/>
  <c r="BH430"/>
  <c r="BH432"/>
  <c r="BH433"/>
  <c r="BH434"/>
  <c r="BH436"/>
  <c r="BH437"/>
  <c r="BH438"/>
  <c r="BH439"/>
  <c r="BH440"/>
  <c r="BH441"/>
  <c r="BH442"/>
  <c r="B435"/>
  <c r="O458"/>
  <c r="M458"/>
  <c r="O457"/>
  <c r="M457"/>
  <c r="B457"/>
  <c r="O456"/>
  <c r="M456"/>
  <c r="B456"/>
  <c r="B231"/>
  <c r="O455"/>
  <c r="M455"/>
  <c r="B223"/>
  <c r="B213"/>
  <c r="B130"/>
  <c r="B100"/>
  <c r="B89"/>
  <c r="M454"/>
  <c r="B454"/>
  <c r="B24"/>
  <c r="B17"/>
  <c r="O453"/>
  <c r="M453"/>
  <c r="O16"/>
  <c r="B7"/>
  <c r="B9"/>
  <c r="B6"/>
  <c r="O452"/>
  <c r="M452"/>
  <c r="B353"/>
  <c r="O451"/>
  <c r="M451"/>
  <c r="B451"/>
  <c r="B310"/>
  <c r="B267"/>
  <c r="O450"/>
  <c r="M450"/>
  <c r="B232"/>
  <c r="O449"/>
  <c r="M449"/>
  <c r="O448"/>
  <c r="M448"/>
  <c r="O447"/>
  <c r="M447"/>
  <c r="O446"/>
  <c r="M446"/>
  <c r="B446"/>
  <c r="O445"/>
  <c r="M445"/>
  <c r="B445"/>
  <c r="M444"/>
  <c r="B444"/>
  <c r="B74"/>
  <c r="O443"/>
  <c r="M443"/>
  <c r="B443"/>
  <c r="BH3"/>
  <c r="BH4"/>
  <c r="BH5"/>
  <c r="BH6"/>
  <c r="BH7"/>
  <c r="BH8"/>
  <c r="BH9"/>
  <c r="BH10"/>
  <c r="BH11"/>
  <c r="BH12"/>
  <c r="BH13"/>
  <c r="BH14"/>
  <c r="BH15"/>
  <c r="BH16"/>
  <c r="BH17"/>
  <c r="BH18"/>
  <c r="BH19"/>
  <c r="BH20"/>
  <c r="BH21"/>
  <c r="BH22"/>
  <c r="BH23"/>
  <c r="BH24"/>
  <c r="BH25"/>
  <c r="BH26"/>
  <c r="BH27"/>
  <c r="BH28"/>
  <c r="BH29"/>
  <c r="BH30"/>
  <c r="BH31"/>
  <c r="BH32"/>
  <c r="BH33"/>
  <c r="BH34"/>
  <c r="BH35"/>
  <c r="BH36"/>
  <c r="BH37"/>
  <c r="BH38"/>
  <c r="BH39"/>
  <c r="BH40"/>
  <c r="BH41"/>
  <c r="BH42"/>
  <c r="BH43"/>
  <c r="BH44"/>
  <c r="BH45"/>
  <c r="BH46"/>
  <c r="BH47"/>
  <c r="BH48"/>
  <c r="BH49"/>
  <c r="BH50"/>
  <c r="BH51"/>
  <c r="BH52"/>
  <c r="BH53"/>
  <c r="BH54"/>
  <c r="BH55"/>
  <c r="BH56"/>
  <c r="BH57"/>
  <c r="BH58"/>
  <c r="BH59"/>
  <c r="BH60"/>
  <c r="BH61"/>
  <c r="BH62"/>
  <c r="BH63"/>
  <c r="BH64"/>
  <c r="BH65"/>
  <c r="BH66"/>
  <c r="BH67"/>
  <c r="BH68"/>
  <c r="BH69"/>
  <c r="BH70"/>
  <c r="BH71"/>
  <c r="BH72"/>
  <c r="BH73"/>
  <c r="BH74"/>
  <c r="BH75"/>
  <c r="BH76"/>
  <c r="BH77"/>
  <c r="BH78"/>
  <c r="BH79"/>
  <c r="BH80"/>
  <c r="BH81"/>
  <c r="BH82"/>
  <c r="BH83"/>
  <c r="BH84"/>
  <c r="BH85"/>
  <c r="BH86"/>
  <c r="BH87"/>
  <c r="BH88"/>
  <c r="BH89"/>
  <c r="BH90"/>
  <c r="BH91"/>
  <c r="BH92"/>
  <c r="BH93"/>
  <c r="BH94"/>
  <c r="BH95"/>
  <c r="BH96"/>
  <c r="BH97"/>
  <c r="BH98"/>
  <c r="BH99"/>
  <c r="BH100"/>
  <c r="BH101"/>
  <c r="BH102"/>
  <c r="BH103"/>
  <c r="BH104"/>
  <c r="BH105"/>
  <c r="BH106"/>
  <c r="BH107"/>
  <c r="BH108"/>
  <c r="BH109"/>
  <c r="BH110"/>
  <c r="BH111"/>
  <c r="BH112"/>
  <c r="BH113"/>
  <c r="BH114"/>
  <c r="BH115"/>
  <c r="BH116"/>
  <c r="BH117"/>
  <c r="BH118"/>
  <c r="BH119"/>
  <c r="BH120"/>
  <c r="BH121"/>
  <c r="BH122"/>
  <c r="BH123"/>
  <c r="BH124"/>
  <c r="BH125"/>
  <c r="BH126"/>
  <c r="BH127"/>
  <c r="BH128"/>
  <c r="BH129"/>
  <c r="BH130"/>
  <c r="BH131"/>
  <c r="BH132"/>
  <c r="BH133"/>
  <c r="BH134"/>
  <c r="BH135"/>
  <c r="BH136"/>
  <c r="BH137"/>
  <c r="BH138"/>
  <c r="BH139"/>
  <c r="BH140"/>
  <c r="BH141"/>
  <c r="BH142"/>
  <c r="BH143"/>
  <c r="BH144"/>
  <c r="BH145"/>
  <c r="BH146"/>
  <c r="BH147"/>
  <c r="BH148"/>
  <c r="BH149"/>
  <c r="BH150"/>
  <c r="BH151"/>
  <c r="BH152"/>
  <c r="BH153"/>
  <c r="BH154"/>
  <c r="BH155"/>
  <c r="BH156"/>
  <c r="BH157"/>
  <c r="BH158"/>
  <c r="BH159"/>
  <c r="BH160"/>
  <c r="BH161"/>
  <c r="BH162"/>
  <c r="BH163"/>
  <c r="BH164"/>
  <c r="BH165"/>
  <c r="BH166"/>
  <c r="BH167"/>
  <c r="BH168"/>
  <c r="BH169"/>
  <c r="BH170"/>
  <c r="BH171"/>
  <c r="BH172"/>
  <c r="BH173"/>
  <c r="BH174"/>
  <c r="BH175"/>
  <c r="BH176"/>
  <c r="BH177"/>
  <c r="BH178"/>
  <c r="BH179"/>
  <c r="BH180"/>
  <c r="BH181"/>
  <c r="BH182"/>
  <c r="BH183"/>
  <c r="BH184"/>
  <c r="BH185"/>
  <c r="BH186"/>
  <c r="BH187"/>
  <c r="BH188"/>
  <c r="BH189"/>
  <c r="BH190"/>
  <c r="BH191"/>
  <c r="BH192"/>
  <c r="BH193"/>
  <c r="BH194"/>
  <c r="BH195"/>
  <c r="BH196"/>
  <c r="BH197"/>
  <c r="BH198"/>
  <c r="BH199"/>
  <c r="BH200"/>
  <c r="BH201"/>
  <c r="BH202"/>
  <c r="BH203"/>
  <c r="BH204"/>
  <c r="BH205"/>
  <c r="BH206"/>
  <c r="BH207"/>
  <c r="BH208"/>
  <c r="BH209"/>
  <c r="BH210"/>
  <c r="BH211"/>
  <c r="BH212"/>
  <c r="BH213"/>
  <c r="BH214"/>
  <c r="BH215"/>
  <c r="BH216"/>
  <c r="BH217"/>
  <c r="BH218"/>
  <c r="BH219"/>
  <c r="BH220"/>
  <c r="BH221"/>
  <c r="BH222"/>
  <c r="BH223"/>
  <c r="BH224"/>
  <c r="BH225"/>
  <c r="BH226"/>
  <c r="BH227"/>
  <c r="BH228"/>
  <c r="BH229"/>
  <c r="BH230"/>
  <c r="BH231"/>
  <c r="BH232"/>
  <c r="BH233"/>
  <c r="BH234"/>
  <c r="BH235"/>
  <c r="BH236"/>
  <c r="BH237"/>
  <c r="BH238"/>
  <c r="BH239"/>
  <c r="BH240"/>
  <c r="BH241"/>
  <c r="BH242"/>
  <c r="BH243"/>
  <c r="BH244"/>
  <c r="BH245"/>
  <c r="BH246"/>
  <c r="BH247"/>
  <c r="BH248"/>
  <c r="BH249"/>
  <c r="BH250"/>
  <c r="BH251"/>
  <c r="BH252"/>
  <c r="BH253"/>
  <c r="BH254"/>
  <c r="BH255"/>
  <c r="BH256"/>
  <c r="BH257"/>
  <c r="BH258"/>
  <c r="BH259"/>
  <c r="BH260"/>
  <c r="BH261"/>
  <c r="BH262"/>
  <c r="BH263"/>
  <c r="BH264"/>
  <c r="BH265"/>
  <c r="BH266"/>
  <c r="BH267"/>
  <c r="BH268"/>
  <c r="BH269"/>
  <c r="BH270"/>
  <c r="BH271"/>
  <c r="BH272"/>
  <c r="BH273"/>
  <c r="BH274"/>
  <c r="BH275"/>
  <c r="BH276"/>
  <c r="BH277"/>
  <c r="BH278"/>
  <c r="BH279"/>
  <c r="BH280"/>
  <c r="BH281"/>
  <c r="BH282"/>
  <c r="BH283"/>
  <c r="BH284"/>
  <c r="BH285"/>
  <c r="BH286"/>
  <c r="BH287"/>
  <c r="BH288"/>
  <c r="BH289"/>
  <c r="BH290"/>
  <c r="BH291"/>
  <c r="BH292"/>
  <c r="BH293"/>
  <c r="BH294"/>
  <c r="BH295"/>
  <c r="BH296"/>
  <c r="BH297"/>
  <c r="BH298"/>
  <c r="BH299"/>
  <c r="BH300"/>
  <c r="BH301"/>
  <c r="BH302"/>
  <c r="BH303"/>
  <c r="BH304"/>
  <c r="BH305"/>
  <c r="BH306"/>
  <c r="BH307"/>
  <c r="BH308"/>
  <c r="BH309"/>
  <c r="BH310"/>
  <c r="BH311"/>
  <c r="BH312"/>
  <c r="BH313"/>
  <c r="BH314"/>
  <c r="BH315"/>
  <c r="BH316"/>
  <c r="BH317"/>
  <c r="BH318"/>
  <c r="BH319"/>
  <c r="BH320"/>
  <c r="BH321"/>
  <c r="BH322"/>
  <c r="BH323"/>
  <c r="BH324"/>
  <c r="BH325"/>
  <c r="BH326"/>
  <c r="BH327"/>
  <c r="BH328"/>
  <c r="BH329"/>
  <c r="BH330"/>
  <c r="BH331"/>
  <c r="BH332"/>
  <c r="BH333"/>
  <c r="BH334"/>
  <c r="BH335"/>
  <c r="BH336"/>
  <c r="BH337"/>
  <c r="BH338"/>
  <c r="BH339"/>
  <c r="BH340"/>
  <c r="BH341"/>
  <c r="BH342"/>
  <c r="BH343"/>
  <c r="BH344"/>
  <c r="BH345"/>
  <c r="BH346"/>
  <c r="BH347"/>
  <c r="BH348"/>
  <c r="BH349"/>
  <c r="BH350"/>
  <c r="BH351"/>
  <c r="BH352"/>
  <c r="BH353"/>
  <c r="BH354"/>
  <c r="BH355"/>
  <c r="BH356"/>
  <c r="BH357"/>
  <c r="BH358"/>
  <c r="BH359"/>
  <c r="BH360"/>
  <c r="BH361"/>
  <c r="BH362"/>
  <c r="BH363"/>
  <c r="BH364"/>
  <c r="BH365"/>
  <c r="BH366"/>
  <c r="BH367"/>
  <c r="BH368"/>
  <c r="BH369"/>
  <c r="BH370"/>
  <c r="BH371"/>
  <c r="BH372"/>
  <c r="BH373"/>
  <c r="BH374"/>
  <c r="BH375"/>
  <c r="BH376"/>
  <c r="BH377"/>
  <c r="BH378"/>
  <c r="BH379"/>
  <c r="BH380"/>
  <c r="BH381"/>
  <c r="BH382"/>
  <c r="BH383"/>
  <c r="BH384"/>
  <c r="BH385"/>
  <c r="BH386"/>
  <c r="BH387"/>
  <c r="BH388"/>
  <c r="BH389"/>
  <c r="BH390"/>
  <c r="BH391"/>
  <c r="BH392"/>
  <c r="BH393"/>
  <c r="BH394"/>
  <c r="BH395"/>
  <c r="BH396"/>
  <c r="BH397"/>
  <c r="BH398"/>
  <c r="BH399"/>
  <c r="BH400"/>
  <c r="BH401"/>
  <c r="BH402"/>
  <c r="BH403"/>
  <c r="BH404"/>
  <c r="BH405"/>
  <c r="BH406"/>
  <c r="BH407"/>
  <c r="BH408"/>
  <c r="BH409"/>
  <c r="BH410"/>
  <c r="BH411"/>
  <c r="BH412"/>
  <c r="BH413"/>
  <c r="BH414"/>
  <c r="BH415"/>
  <c r="BH416"/>
  <c r="BH417"/>
  <c r="BH418"/>
  <c r="BH419"/>
  <c r="BH421"/>
  <c r="BH423"/>
  <c r="BH427"/>
  <c r="BH431"/>
  <c r="BH435"/>
  <c r="BH2"/>
  <c r="BK130"/>
  <c r="BK17"/>
  <c r="O90"/>
  <c r="B43"/>
  <c r="BK43" s="1"/>
  <c r="BK283"/>
  <c r="O165"/>
  <c r="M165"/>
  <c r="M90"/>
  <c r="B90"/>
  <c r="B63"/>
  <c r="BK63" s="1"/>
  <c r="O53"/>
  <c r="M53"/>
  <c r="B53"/>
  <c r="N130"/>
  <c r="N105"/>
  <c r="N302"/>
  <c r="N263"/>
  <c r="N338"/>
  <c r="N230"/>
  <c r="N219"/>
  <c r="N220"/>
  <c r="N164"/>
  <c r="N134"/>
  <c r="N125"/>
  <c r="N110"/>
  <c r="N336"/>
  <c r="N247"/>
  <c r="N244"/>
  <c r="N235"/>
  <c r="N231"/>
  <c r="N222"/>
  <c r="N213"/>
  <c r="N192"/>
  <c r="N190"/>
  <c r="N191"/>
  <c r="N158"/>
  <c r="N154"/>
  <c r="N72"/>
  <c r="O442"/>
  <c r="M442"/>
  <c r="B442"/>
  <c r="O440"/>
  <c r="M440"/>
  <c r="B440"/>
  <c r="O439"/>
  <c r="M439"/>
  <c r="B439"/>
  <c r="O437"/>
  <c r="M437"/>
  <c r="B437"/>
  <c r="O438"/>
  <c r="M438"/>
  <c r="B438"/>
  <c r="O436"/>
  <c r="M436"/>
  <c r="B436"/>
  <c r="O435"/>
  <c r="M435"/>
  <c r="O434"/>
  <c r="M434"/>
  <c r="B434"/>
  <c r="O433"/>
  <c r="M433"/>
  <c r="B433"/>
  <c r="O432"/>
  <c r="M432"/>
  <c r="B432"/>
  <c r="O431"/>
  <c r="M431"/>
  <c r="B431"/>
  <c r="O430"/>
  <c r="M430"/>
  <c r="B430"/>
  <c r="O429"/>
  <c r="M429"/>
  <c r="B429"/>
  <c r="O428"/>
  <c r="M428"/>
  <c r="O427"/>
  <c r="M427"/>
  <c r="B427"/>
  <c r="O426"/>
  <c r="M426"/>
  <c r="B426"/>
  <c r="O425"/>
  <c r="M425"/>
  <c r="B425"/>
  <c r="O424"/>
  <c r="M424"/>
  <c r="B424"/>
  <c r="O423"/>
  <c r="M423"/>
  <c r="O422"/>
  <c r="M422"/>
  <c r="B422"/>
  <c r="O421"/>
  <c r="M421"/>
  <c r="B421"/>
  <c r="O420"/>
  <c r="M420"/>
  <c r="B420"/>
  <c r="O419"/>
  <c r="M419"/>
  <c r="B419"/>
  <c r="O418"/>
  <c r="M418"/>
  <c r="B418"/>
  <c r="O417"/>
  <c r="M417"/>
  <c r="B417"/>
  <c r="O416"/>
  <c r="M416"/>
  <c r="B416"/>
  <c r="O415"/>
  <c r="M415"/>
  <c r="B415"/>
  <c r="O411"/>
  <c r="M411"/>
  <c r="B411"/>
  <c r="O414"/>
  <c r="M414"/>
  <c r="B414"/>
  <c r="O413"/>
  <c r="M413"/>
  <c r="B413"/>
  <c r="O412"/>
  <c r="M412"/>
  <c r="B412"/>
  <c r="O410"/>
  <c r="M410"/>
  <c r="B410"/>
  <c r="O409"/>
  <c r="M409"/>
  <c r="B409"/>
  <c r="O408"/>
  <c r="M408"/>
  <c r="B408"/>
  <c r="O407"/>
  <c r="M407"/>
  <c r="B407"/>
  <c r="O406"/>
  <c r="M406"/>
  <c r="B406"/>
  <c r="BK406" s="1"/>
  <c r="M405"/>
  <c r="B405"/>
  <c r="O404"/>
  <c r="M404"/>
  <c r="B404"/>
  <c r="O402"/>
  <c r="M402"/>
  <c r="B402"/>
  <c r="O401"/>
  <c r="M401"/>
  <c r="B401"/>
  <c r="O400"/>
  <c r="M400"/>
  <c r="B400"/>
  <c r="BK400" s="1"/>
  <c r="O398"/>
  <c r="M398"/>
  <c r="B398"/>
  <c r="O399"/>
  <c r="M399"/>
  <c r="B399"/>
  <c r="O397"/>
  <c r="M397"/>
  <c r="B397"/>
  <c r="O396"/>
  <c r="M396"/>
  <c r="B396"/>
  <c r="O395"/>
  <c r="M395"/>
  <c r="B395"/>
  <c r="O394"/>
  <c r="M394"/>
  <c r="B394"/>
  <c r="BK394" s="1"/>
  <c r="O393"/>
  <c r="M393"/>
  <c r="B393"/>
  <c r="O392"/>
  <c r="M392"/>
  <c r="B392"/>
  <c r="BK392" s="1"/>
  <c r="O390"/>
  <c r="M390"/>
  <c r="B390"/>
  <c r="O391"/>
  <c r="M391"/>
  <c r="B391"/>
  <c r="O389"/>
  <c r="M389"/>
  <c r="O388"/>
  <c r="M388"/>
  <c r="O387"/>
  <c r="M387"/>
  <c r="B387"/>
  <c r="BK387" s="1"/>
  <c r="O386"/>
  <c r="M386"/>
  <c r="B386"/>
  <c r="O385"/>
  <c r="M385"/>
  <c r="O384"/>
  <c r="M384"/>
  <c r="B384"/>
  <c r="O383"/>
  <c r="M383"/>
  <c r="B383"/>
  <c r="O382"/>
  <c r="M382"/>
  <c r="B382"/>
  <c r="O381"/>
  <c r="M381"/>
  <c r="O380"/>
  <c r="M380"/>
  <c r="B380"/>
  <c r="O379"/>
  <c r="M379"/>
  <c r="B379"/>
  <c r="BK379" s="1"/>
  <c r="O378"/>
  <c r="M378"/>
  <c r="B378"/>
  <c r="O377"/>
  <c r="M377"/>
  <c r="O376"/>
  <c r="M376"/>
  <c r="B376"/>
  <c r="O375"/>
  <c r="M375"/>
  <c r="O374"/>
  <c r="M374"/>
  <c r="B374"/>
  <c r="BK374" s="1"/>
  <c r="M373"/>
  <c r="B373"/>
  <c r="O2"/>
  <c r="M2"/>
  <c r="B2"/>
  <c r="O371"/>
  <c r="M371"/>
  <c r="B371"/>
  <c r="O370"/>
  <c r="M370"/>
  <c r="B370"/>
  <c r="O372"/>
  <c r="M372"/>
  <c r="B372"/>
  <c r="O369"/>
  <c r="M369"/>
  <c r="B369"/>
  <c r="O368"/>
  <c r="M368"/>
  <c r="B368"/>
  <c r="O363"/>
  <c r="M363"/>
  <c r="O364"/>
  <c r="M364"/>
  <c r="O358"/>
  <c r="M358"/>
  <c r="B358"/>
  <c r="O356"/>
  <c r="M356"/>
  <c r="B356"/>
  <c r="O357"/>
  <c r="M357"/>
  <c r="B357"/>
  <c r="O365"/>
  <c r="M365"/>
  <c r="B365"/>
  <c r="O360"/>
  <c r="M360"/>
  <c r="B360"/>
  <c r="O361"/>
  <c r="M361"/>
  <c r="B361"/>
  <c r="O362"/>
  <c r="M362"/>
  <c r="B362"/>
  <c r="O367"/>
  <c r="M367"/>
  <c r="B367"/>
  <c r="O366"/>
  <c r="M366"/>
  <c r="B366"/>
  <c r="O359"/>
  <c r="M359"/>
  <c r="B359"/>
  <c r="O355"/>
  <c r="M355"/>
  <c r="O353"/>
  <c r="M353"/>
  <c r="O354"/>
  <c r="M354"/>
  <c r="O352"/>
  <c r="M352"/>
  <c r="B352"/>
  <c r="O351"/>
  <c r="M351"/>
  <c r="B351"/>
  <c r="O350"/>
  <c r="M350"/>
  <c r="O347"/>
  <c r="M347"/>
  <c r="B347"/>
  <c r="M346"/>
  <c r="B346"/>
  <c r="O349"/>
  <c r="M349"/>
  <c r="B349"/>
  <c r="O348"/>
  <c r="M348"/>
  <c r="B348"/>
  <c r="M345"/>
  <c r="B345"/>
  <c r="O344"/>
  <c r="M344"/>
  <c r="B344"/>
  <c r="O343"/>
  <c r="M343"/>
  <c r="B343"/>
  <c r="BK343" s="1"/>
  <c r="O341"/>
  <c r="M341"/>
  <c r="B341"/>
  <c r="BK341" s="1"/>
  <c r="O342"/>
  <c r="M342"/>
  <c r="B342"/>
  <c r="O340"/>
  <c r="M340"/>
  <c r="B340"/>
  <c r="O338"/>
  <c r="M338"/>
  <c r="O337"/>
  <c r="M337"/>
  <c r="B337"/>
  <c r="O339"/>
  <c r="M339"/>
  <c r="B339"/>
  <c r="BK339" s="1"/>
  <c r="O336"/>
  <c r="M336"/>
  <c r="B336"/>
  <c r="O335"/>
  <c r="M335"/>
  <c r="B335"/>
  <c r="O334"/>
  <c r="M334"/>
  <c r="B334"/>
  <c r="O333"/>
  <c r="M333"/>
  <c r="O332"/>
  <c r="M332"/>
  <c r="O331"/>
  <c r="M331"/>
  <c r="BK331"/>
  <c r="O330"/>
  <c r="M330"/>
  <c r="O325"/>
  <c r="M325"/>
  <c r="B325"/>
  <c r="O324"/>
  <c r="M324"/>
  <c r="O321"/>
  <c r="M321"/>
  <c r="B321"/>
  <c r="O322"/>
  <c r="M322"/>
  <c r="B322"/>
  <c r="O327"/>
  <c r="M327"/>
  <c r="B327"/>
  <c r="O326"/>
  <c r="M326"/>
  <c r="O323"/>
  <c r="M323"/>
  <c r="B323"/>
  <c r="BK323" s="1"/>
  <c r="O328"/>
  <c r="M328"/>
  <c r="B328"/>
  <c r="BK328" s="1"/>
  <c r="O320"/>
  <c r="M320"/>
  <c r="B320"/>
  <c r="O329"/>
  <c r="M329"/>
  <c r="B329"/>
  <c r="O319"/>
  <c r="M319"/>
  <c r="B319"/>
  <c r="BK319" s="1"/>
  <c r="M317"/>
  <c r="B317"/>
  <c r="O318"/>
  <c r="M318"/>
  <c r="B318"/>
  <c r="M316"/>
  <c r="B316"/>
  <c r="O313"/>
  <c r="M313"/>
  <c r="O314"/>
  <c r="M314"/>
  <c r="O315"/>
  <c r="M315"/>
  <c r="B315"/>
  <c r="O311"/>
  <c r="M311"/>
  <c r="B311"/>
  <c r="BK311" s="1"/>
  <c r="O309"/>
  <c r="M309"/>
  <c r="B309"/>
  <c r="O307"/>
  <c r="M307"/>
  <c r="B307"/>
  <c r="O310"/>
  <c r="M310"/>
  <c r="O308"/>
  <c r="M308"/>
  <c r="B308"/>
  <c r="O306"/>
  <c r="M306"/>
  <c r="B306"/>
  <c r="O304"/>
  <c r="M304"/>
  <c r="O302"/>
  <c r="M302"/>
  <c r="B302"/>
  <c r="BK302" s="1"/>
  <c r="M301"/>
  <c r="B301"/>
  <c r="O305"/>
  <c r="M305"/>
  <c r="B305"/>
  <c r="O300"/>
  <c r="M300"/>
  <c r="B300"/>
  <c r="O303"/>
  <c r="M303"/>
  <c r="B303"/>
  <c r="O295"/>
  <c r="M295"/>
  <c r="O299"/>
  <c r="M299"/>
  <c r="B299"/>
  <c r="O298"/>
  <c r="M298"/>
  <c r="B298"/>
  <c r="O296"/>
  <c r="M296"/>
  <c r="O297"/>
  <c r="M297"/>
  <c r="B297"/>
  <c r="O292"/>
  <c r="M292"/>
  <c r="B292"/>
  <c r="O290"/>
  <c r="M290"/>
  <c r="B290"/>
  <c r="O294"/>
  <c r="M294"/>
  <c r="B294"/>
  <c r="O293"/>
  <c r="M293"/>
  <c r="B293"/>
  <c r="O291"/>
  <c r="M291"/>
  <c r="O289"/>
  <c r="M289"/>
  <c r="B289"/>
  <c r="O288"/>
  <c r="M288"/>
  <c r="O287"/>
  <c r="M287"/>
  <c r="B287"/>
  <c r="O286"/>
  <c r="M286"/>
  <c r="B286"/>
  <c r="O285"/>
  <c r="M285"/>
  <c r="O284"/>
  <c r="M284"/>
  <c r="O283"/>
  <c r="M283"/>
  <c r="O282"/>
  <c r="M282"/>
  <c r="B282"/>
  <c r="BK282" s="1"/>
  <c r="O281"/>
  <c r="M281"/>
  <c r="B281"/>
  <c r="O280"/>
  <c r="M280"/>
  <c r="B280"/>
  <c r="O279"/>
  <c r="M279"/>
  <c r="B279"/>
  <c r="O277"/>
  <c r="M277"/>
  <c r="B277"/>
  <c r="O275"/>
  <c r="M275"/>
  <c r="B275"/>
  <c r="O278"/>
  <c r="M278"/>
  <c r="B278"/>
  <c r="O273"/>
  <c r="M273"/>
  <c r="O274"/>
  <c r="M274"/>
  <c r="B274"/>
  <c r="O269"/>
  <c r="M269"/>
  <c r="B269"/>
  <c r="O270"/>
  <c r="M270"/>
  <c r="B270"/>
  <c r="BK270" s="1"/>
  <c r="O271"/>
  <c r="M271"/>
  <c r="O272"/>
  <c r="M272"/>
  <c r="B272"/>
  <c r="O268"/>
  <c r="M268"/>
  <c r="B268"/>
  <c r="O267"/>
  <c r="M267"/>
  <c r="O265"/>
  <c r="M265"/>
  <c r="B265"/>
  <c r="O266"/>
  <c r="M266"/>
  <c r="O263"/>
  <c r="M263"/>
  <c r="B263"/>
  <c r="BK263" s="1"/>
  <c r="O262"/>
  <c r="M262"/>
  <c r="B262"/>
  <c r="O264"/>
  <c r="M264"/>
  <c r="O261"/>
  <c r="M261"/>
  <c r="B261"/>
  <c r="O260"/>
  <c r="M260"/>
  <c r="B260"/>
  <c r="O259"/>
  <c r="M259"/>
  <c r="B259"/>
  <c r="M258"/>
  <c r="B258"/>
  <c r="O255"/>
  <c r="M255"/>
  <c r="B255"/>
  <c r="O257"/>
  <c r="M257"/>
  <c r="B257"/>
  <c r="O256"/>
  <c r="M256"/>
  <c r="B256"/>
  <c r="M254"/>
  <c r="B254"/>
  <c r="O253"/>
  <c r="M253"/>
  <c r="B253"/>
  <c r="BK253" s="1"/>
  <c r="O251"/>
  <c r="M251"/>
  <c r="B251"/>
  <c r="O252"/>
  <c r="M252"/>
  <c r="B252"/>
  <c r="O250"/>
  <c r="M250"/>
  <c r="B250"/>
  <c r="BK250" s="1"/>
  <c r="O249"/>
  <c r="M249"/>
  <c r="B249"/>
  <c r="BK249" s="1"/>
  <c r="BK248"/>
  <c r="O246"/>
  <c r="M246"/>
  <c r="B246"/>
  <c r="BK246" s="1"/>
  <c r="O247"/>
  <c r="M247"/>
  <c r="B247"/>
  <c r="O245"/>
  <c r="M245"/>
  <c r="B245"/>
  <c r="BK245" s="1"/>
  <c r="M241"/>
  <c r="B241"/>
  <c r="BK241" s="1"/>
  <c r="O244"/>
  <c r="M244"/>
  <c r="B244"/>
  <c r="O243"/>
  <c r="M243"/>
  <c r="B243"/>
  <c r="O242"/>
  <c r="M242"/>
  <c r="B242"/>
  <c r="O240"/>
  <c r="M240"/>
  <c r="B240"/>
  <c r="O239"/>
  <c r="M239"/>
  <c r="B239"/>
  <c r="O238"/>
  <c r="M238"/>
  <c r="B238"/>
  <c r="O237"/>
  <c r="M237"/>
  <c r="B237"/>
  <c r="O236"/>
  <c r="M236"/>
  <c r="B236"/>
  <c r="O235"/>
  <c r="M235"/>
  <c r="B235"/>
  <c r="O234"/>
  <c r="M234"/>
  <c r="B234"/>
  <c r="O233"/>
  <c r="M233"/>
  <c r="B233"/>
  <c r="O227"/>
  <c r="M227"/>
  <c r="B227"/>
  <c r="O229"/>
  <c r="M229"/>
  <c r="B229"/>
  <c r="O230"/>
  <c r="M230"/>
  <c r="B230"/>
  <c r="O231"/>
  <c r="M231"/>
  <c r="O228"/>
  <c r="M228"/>
  <c r="B228"/>
  <c r="O232"/>
  <c r="M232"/>
  <c r="O226"/>
  <c r="M226"/>
  <c r="B226"/>
  <c r="M225"/>
  <c r="B225"/>
  <c r="O224"/>
  <c r="M224"/>
  <c r="B224"/>
  <c r="O223"/>
  <c r="M223"/>
  <c r="O222"/>
  <c r="M222"/>
  <c r="O221"/>
  <c r="M221"/>
  <c r="B221"/>
  <c r="O220"/>
  <c r="M220"/>
  <c r="B220"/>
  <c r="O219"/>
  <c r="M219"/>
  <c r="O218"/>
  <c r="M218"/>
  <c r="B218"/>
  <c r="O217"/>
  <c r="M217"/>
  <c r="O216"/>
  <c r="M216"/>
  <c r="B216"/>
  <c r="O215"/>
  <c r="M215"/>
  <c r="O214"/>
  <c r="M214"/>
  <c r="B214"/>
  <c r="O212"/>
  <c r="M212"/>
  <c r="BK212"/>
  <c r="O213"/>
  <c r="M213"/>
  <c r="O211"/>
  <c r="M211"/>
  <c r="B211"/>
  <c r="O210"/>
  <c r="M210"/>
  <c r="O202"/>
  <c r="M202"/>
  <c r="B202"/>
  <c r="O206"/>
  <c r="M206"/>
  <c r="O208"/>
  <c r="M208"/>
  <c r="B208"/>
  <c r="O209"/>
  <c r="M209"/>
  <c r="B209"/>
  <c r="O203"/>
  <c r="M203"/>
  <c r="B203"/>
  <c r="O204"/>
  <c r="M204"/>
  <c r="B204"/>
  <c r="O205"/>
  <c r="M205"/>
  <c r="B205"/>
  <c r="O207"/>
  <c r="M207"/>
  <c r="B207"/>
  <c r="O201"/>
  <c r="M201"/>
  <c r="B201"/>
  <c r="O199"/>
  <c r="M199"/>
  <c r="O200"/>
  <c r="M200"/>
  <c r="B200"/>
  <c r="O195"/>
  <c r="M195"/>
  <c r="B195"/>
  <c r="O198"/>
  <c r="M198"/>
  <c r="O197"/>
  <c r="M197"/>
  <c r="B197"/>
  <c r="O196"/>
  <c r="M196"/>
  <c r="B196"/>
  <c r="M193"/>
  <c r="O189"/>
  <c r="M189"/>
  <c r="O192"/>
  <c r="M192"/>
  <c r="O191"/>
  <c r="M191"/>
  <c r="B191"/>
  <c r="O190"/>
  <c r="M190"/>
  <c r="B190"/>
  <c r="M194"/>
  <c r="O187"/>
  <c r="M187"/>
  <c r="BK187"/>
  <c r="O188"/>
  <c r="M188"/>
  <c r="B188"/>
  <c r="BK188" s="1"/>
  <c r="O186"/>
  <c r="M186"/>
  <c r="B186"/>
  <c r="O185"/>
  <c r="M185"/>
  <c r="B185"/>
  <c r="O181"/>
  <c r="M181"/>
  <c r="B181"/>
  <c r="BK181" s="1"/>
  <c r="O177"/>
  <c r="M177"/>
  <c r="B177"/>
  <c r="O174"/>
  <c r="M174"/>
  <c r="B174"/>
  <c r="BK174" s="1"/>
  <c r="M184"/>
  <c r="B184"/>
  <c r="BK184" s="1"/>
  <c r="O179"/>
  <c r="M179"/>
  <c r="B179"/>
  <c r="O175"/>
  <c r="M175"/>
  <c r="B175"/>
  <c r="O176"/>
  <c r="M176"/>
  <c r="B176"/>
  <c r="O178"/>
  <c r="M178"/>
  <c r="B178"/>
  <c r="O180"/>
  <c r="M180"/>
  <c r="B180"/>
  <c r="O182"/>
  <c r="M182"/>
  <c r="B182"/>
  <c r="BK182" s="1"/>
  <c r="O183"/>
  <c r="M183"/>
  <c r="B183"/>
  <c r="O173"/>
  <c r="M173"/>
  <c r="B173"/>
  <c r="BK173" s="1"/>
  <c r="O171"/>
  <c r="M171"/>
  <c r="B171"/>
  <c r="BK171" s="1"/>
  <c r="O172"/>
  <c r="M172"/>
  <c r="B172"/>
  <c r="O169"/>
  <c r="M169"/>
  <c r="B169"/>
  <c r="BK169" s="1"/>
  <c r="O170"/>
  <c r="M170"/>
  <c r="B170"/>
  <c r="O167"/>
  <c r="M167"/>
  <c r="B167"/>
  <c r="O168"/>
  <c r="M168"/>
  <c r="B168"/>
  <c r="O166"/>
  <c r="M166"/>
  <c r="B166"/>
  <c r="O164"/>
  <c r="M164"/>
  <c r="B164"/>
  <c r="O163"/>
  <c r="M163"/>
  <c r="B163"/>
  <c r="O162"/>
  <c r="M162"/>
  <c r="B162"/>
  <c r="O160"/>
  <c r="M160"/>
  <c r="B160"/>
  <c r="O161"/>
  <c r="M161"/>
  <c r="B161"/>
  <c r="BK161" s="1"/>
  <c r="O159"/>
  <c r="M159"/>
  <c r="B159"/>
  <c r="O124"/>
  <c r="M124"/>
  <c r="B124"/>
  <c r="O157"/>
  <c r="M157"/>
  <c r="B157"/>
  <c r="O156"/>
  <c r="M156"/>
  <c r="B156"/>
  <c r="O158"/>
  <c r="M158"/>
  <c r="O155"/>
  <c r="M155"/>
  <c r="B155"/>
  <c r="O152"/>
  <c r="M152"/>
  <c r="B152"/>
  <c r="O153"/>
  <c r="M153"/>
  <c r="B153"/>
  <c r="O154"/>
  <c r="M154"/>
  <c r="B154"/>
  <c r="O150"/>
  <c r="M150"/>
  <c r="B150"/>
  <c r="O151"/>
  <c r="M151"/>
  <c r="M145"/>
  <c r="B145"/>
  <c r="BK145" s="1"/>
  <c r="M144"/>
  <c r="B144"/>
  <c r="BK144" s="1"/>
  <c r="O149"/>
  <c r="M149"/>
  <c r="B149"/>
  <c r="O148"/>
  <c r="M148"/>
  <c r="B148"/>
  <c r="O147"/>
  <c r="M147"/>
  <c r="O146"/>
  <c r="M146"/>
  <c r="O142"/>
  <c r="M142"/>
  <c r="O143"/>
  <c r="M143"/>
  <c r="B143"/>
  <c r="BK143" s="1"/>
  <c r="O139"/>
  <c r="M139"/>
  <c r="B139"/>
  <c r="BK139" s="1"/>
  <c r="O138"/>
  <c r="M138"/>
  <c r="B138"/>
  <c r="BK138" s="1"/>
  <c r="M140"/>
  <c r="O141"/>
  <c r="M141"/>
  <c r="M136"/>
  <c r="B136"/>
  <c r="O137"/>
  <c r="M137"/>
  <c r="O134"/>
  <c r="M134"/>
  <c r="B134"/>
  <c r="O135"/>
  <c r="M135"/>
  <c r="O133"/>
  <c r="M133"/>
  <c r="B133"/>
  <c r="BK133" s="1"/>
  <c r="O132"/>
  <c r="M132"/>
  <c r="B132"/>
  <c r="O131"/>
  <c r="M131"/>
  <c r="B131"/>
  <c r="O129"/>
  <c r="M129"/>
  <c r="B129"/>
  <c r="O130"/>
  <c r="M130"/>
  <c r="O128"/>
  <c r="M128"/>
  <c r="B128"/>
  <c r="O126"/>
  <c r="M126"/>
  <c r="B126"/>
  <c r="O127"/>
  <c r="M127"/>
  <c r="O93"/>
  <c r="M93"/>
  <c r="B93"/>
  <c r="O125"/>
  <c r="M125"/>
  <c r="M123"/>
  <c r="B123"/>
  <c r="O117"/>
  <c r="M117"/>
  <c r="B117"/>
  <c r="O118"/>
  <c r="M118"/>
  <c r="B118"/>
  <c r="O119"/>
  <c r="M119"/>
  <c r="B119"/>
  <c r="O120"/>
  <c r="M120"/>
  <c r="O121"/>
  <c r="M121"/>
  <c r="B121"/>
  <c r="O122"/>
  <c r="M122"/>
  <c r="O116"/>
  <c r="M116"/>
  <c r="O115"/>
  <c r="M115"/>
  <c r="B115"/>
  <c r="BK115" s="1"/>
  <c r="O114"/>
  <c r="M114"/>
  <c r="O113"/>
  <c r="M113"/>
  <c r="B113"/>
  <c r="O112"/>
  <c r="M112"/>
  <c r="B112"/>
  <c r="O111"/>
  <c r="M111"/>
  <c r="B111"/>
  <c r="O107"/>
  <c r="M107"/>
  <c r="B107"/>
  <c r="O106"/>
  <c r="M106"/>
  <c r="B106"/>
  <c r="O108"/>
  <c r="M108"/>
  <c r="O109"/>
  <c r="M109"/>
  <c r="B109"/>
  <c r="O110"/>
  <c r="M110"/>
  <c r="O103"/>
  <c r="M103"/>
  <c r="B103"/>
  <c r="BK103" s="1"/>
  <c r="O105"/>
  <c r="M105"/>
  <c r="B105"/>
  <c r="BK105" s="1"/>
  <c r="O104"/>
  <c r="M104"/>
  <c r="B104"/>
  <c r="M102"/>
  <c r="B102"/>
  <c r="O101"/>
  <c r="M101"/>
  <c r="B101"/>
  <c r="O96"/>
  <c r="M96"/>
  <c r="B96"/>
  <c r="O99"/>
  <c r="M99"/>
  <c r="O98"/>
  <c r="M98"/>
  <c r="B98"/>
  <c r="O97"/>
  <c r="M97"/>
  <c r="O100"/>
  <c r="M100"/>
  <c r="O95"/>
  <c r="M95"/>
  <c r="B95"/>
  <c r="O94"/>
  <c r="M94"/>
  <c r="B94"/>
  <c r="O92"/>
  <c r="M92"/>
  <c r="B92"/>
  <c r="O91"/>
  <c r="M91"/>
  <c r="B91"/>
  <c r="BK91" s="1"/>
  <c r="O88"/>
  <c r="M88"/>
  <c r="O89"/>
  <c r="M89"/>
  <c r="O87"/>
  <c r="M87"/>
  <c r="B87"/>
  <c r="O86"/>
  <c r="M86"/>
  <c r="B86"/>
  <c r="O85"/>
  <c r="M85"/>
  <c r="B85"/>
  <c r="O84"/>
  <c r="M84"/>
  <c r="B84"/>
  <c r="O83"/>
  <c r="M83"/>
  <c r="B83"/>
  <c r="BK83" s="1"/>
  <c r="O81"/>
  <c r="M81"/>
  <c r="B81"/>
  <c r="O82"/>
  <c r="M82"/>
  <c r="B82"/>
  <c r="O77"/>
  <c r="M77"/>
  <c r="B77"/>
  <c r="O74"/>
  <c r="M74"/>
  <c r="M75"/>
  <c r="B75"/>
  <c r="O79"/>
  <c r="M79"/>
  <c r="B79"/>
  <c r="O78"/>
  <c r="M78"/>
  <c r="O80"/>
  <c r="M80"/>
  <c r="O76"/>
  <c r="M76"/>
  <c r="B76"/>
  <c r="BK76" s="1"/>
  <c r="O73"/>
  <c r="M73"/>
  <c r="B73"/>
  <c r="O72"/>
  <c r="M72"/>
  <c r="B72"/>
  <c r="O71"/>
  <c r="M71"/>
  <c r="O70"/>
  <c r="M70"/>
  <c r="O68"/>
  <c r="M68"/>
  <c r="B68"/>
  <c r="O69"/>
  <c r="M69"/>
  <c r="B69"/>
  <c r="O67"/>
  <c r="M67"/>
  <c r="O66"/>
  <c r="M66"/>
  <c r="B66"/>
  <c r="O63"/>
  <c r="M63"/>
  <c r="O65"/>
  <c r="M65"/>
  <c r="B65"/>
  <c r="O64"/>
  <c r="M64"/>
  <c r="B64"/>
  <c r="O61"/>
  <c r="M61"/>
  <c r="B61"/>
  <c r="O62"/>
  <c r="M62"/>
  <c r="O59"/>
  <c r="M59"/>
  <c r="B59"/>
  <c r="BK59" s="1"/>
  <c r="O56"/>
  <c r="M56"/>
  <c r="B56"/>
  <c r="O57"/>
  <c r="M57"/>
  <c r="B57"/>
  <c r="O58"/>
  <c r="M58"/>
  <c r="B58"/>
  <c r="O55"/>
  <c r="M55"/>
  <c r="O60"/>
  <c r="M60"/>
  <c r="B60"/>
  <c r="O54"/>
  <c r="M54"/>
  <c r="B54"/>
  <c r="O49"/>
  <c r="M49"/>
  <c r="B49"/>
  <c r="O52"/>
  <c r="M52"/>
  <c r="B52"/>
  <c r="M50"/>
  <c r="B50"/>
  <c r="O51"/>
  <c r="M51"/>
  <c r="B51"/>
  <c r="O47"/>
  <c r="M47"/>
  <c r="B47"/>
  <c r="O46"/>
  <c r="M46"/>
  <c r="B46"/>
  <c r="O45"/>
  <c r="M45"/>
  <c r="B45"/>
  <c r="BK45" s="1"/>
  <c r="O48"/>
  <c r="M48"/>
  <c r="B48"/>
  <c r="O43"/>
  <c r="M43"/>
  <c r="O41"/>
  <c r="M41"/>
  <c r="BK42"/>
  <c r="O40"/>
  <c r="M40"/>
  <c r="B40"/>
  <c r="O39"/>
  <c r="M39"/>
  <c r="B39"/>
  <c r="O38"/>
  <c r="M38"/>
  <c r="O34"/>
  <c r="M34"/>
  <c r="B34"/>
  <c r="O35"/>
  <c r="M35"/>
  <c r="O33"/>
  <c r="M33"/>
  <c r="B33"/>
  <c r="O36"/>
  <c r="M36"/>
  <c r="B36"/>
  <c r="O37"/>
  <c r="M37"/>
  <c r="B37"/>
  <c r="O30"/>
  <c r="M30"/>
  <c r="B30"/>
  <c r="O32"/>
  <c r="M32"/>
  <c r="O31"/>
  <c r="M31"/>
  <c r="B31"/>
  <c r="O29"/>
  <c r="M29"/>
  <c r="B29"/>
  <c r="O28"/>
  <c r="M28"/>
  <c r="B28"/>
  <c r="O27"/>
  <c r="M27"/>
  <c r="B27"/>
  <c r="M26"/>
  <c r="B26"/>
  <c r="BK26" s="1"/>
  <c r="O24"/>
  <c r="M24"/>
  <c r="O19"/>
  <c r="M19"/>
  <c r="O23"/>
  <c r="M23"/>
  <c r="B23"/>
  <c r="O22"/>
  <c r="M22"/>
  <c r="O21"/>
  <c r="M21"/>
  <c r="B21"/>
  <c r="BK21" s="1"/>
  <c r="O20"/>
  <c r="M20"/>
  <c r="B20"/>
  <c r="BK20" s="1"/>
  <c r="O25"/>
  <c r="M25"/>
  <c r="B25"/>
  <c r="O17"/>
  <c r="M17"/>
  <c r="O18"/>
  <c r="M18"/>
  <c r="B18"/>
  <c r="O15"/>
  <c r="M15"/>
  <c r="B15"/>
  <c r="BK15" s="1"/>
  <c r="M16"/>
  <c r="B16"/>
  <c r="O14"/>
  <c r="M14"/>
  <c r="B14"/>
  <c r="O13"/>
  <c r="M13"/>
  <c r="O12"/>
  <c r="M12"/>
  <c r="BK12"/>
  <c r="O11"/>
  <c r="M11"/>
  <c r="B11"/>
  <c r="O10"/>
  <c r="M10"/>
  <c r="O7"/>
  <c r="M7"/>
  <c r="O9"/>
  <c r="M9"/>
  <c r="O8"/>
  <c r="M8"/>
  <c r="B8"/>
  <c r="O6"/>
  <c r="M6"/>
  <c r="O5"/>
  <c r="M5"/>
  <c r="B5"/>
  <c r="O4"/>
  <c r="M4"/>
  <c r="B4"/>
  <c r="O3"/>
  <c r="M3"/>
  <c r="B3"/>
</calcChain>
</file>

<file path=xl/comments1.xml><?xml version="1.0" encoding="utf-8"?>
<comments xmlns="http://schemas.openxmlformats.org/spreadsheetml/2006/main">
  <authors>
    <author>davsmith</author>
    <author>Dave Smith</author>
  </authors>
  <commentList>
    <comment ref="F2" authorId="0">
      <text>
        <r>
          <rPr>
            <sz val="9"/>
            <color indexed="81"/>
            <rFont val="Tahoma"/>
            <charset val="1"/>
          </rPr>
          <t xml:space="preserve">03/13/2008
269950 --&gt; 259950
02/21/2008
289950 --&gt; 269950
</t>
        </r>
      </text>
    </comment>
    <comment ref="B6" authorId="0">
      <text>
        <r>
          <rPr>
            <sz val="9"/>
            <color indexed="81"/>
            <rFont val="Tahoma"/>
            <charset val="1"/>
          </rPr>
          <t xml:space="preserve">02/20/2008
Active --&gt; Subject To Inspection
</t>
        </r>
      </text>
    </comment>
    <comment ref="B7" authorId="0">
      <text>
        <r>
          <rPr>
            <sz val="9"/>
            <color indexed="81"/>
            <rFont val="Tahoma"/>
            <charset val="1"/>
          </rPr>
          <t xml:space="preserve">02/20/2008
Active --&gt; Subject To Inspection
</t>
        </r>
      </text>
    </comment>
    <comment ref="B9" authorId="0">
      <text>
        <r>
          <rPr>
            <sz val="9"/>
            <color indexed="81"/>
            <rFont val="Tahoma"/>
            <charset val="1"/>
          </rPr>
          <t xml:space="preserve">02/20/2008
Active --&gt; Subject To Inspection
</t>
        </r>
      </text>
    </comment>
    <comment ref="B10" authorId="0">
      <text>
        <r>
          <rPr>
            <sz val="9"/>
            <color indexed="81"/>
            <rFont val="Tahoma"/>
            <charset val="1"/>
          </rPr>
          <t xml:space="preserve">02/29/2008
Active --&gt; Subject To Inspection
</t>
        </r>
      </text>
    </comment>
    <comment ref="H11" authorId="0">
      <text>
        <r>
          <rPr>
            <sz val="9"/>
            <color indexed="81"/>
            <rFont val="Tahoma"/>
            <charset val="1"/>
          </rPr>
          <t xml:space="preserve">02/18/2008
1610 --&gt; 1420
</t>
        </r>
      </text>
    </comment>
    <comment ref="B12" authorId="1">
      <text>
        <r>
          <rPr>
            <sz val="8"/>
            <color indexed="81"/>
            <rFont val="Tahoma"/>
            <charset val="1"/>
          </rPr>
          <t xml:space="preserve">03/19/2008
Subject To Inspection --&gt; Active
</t>
        </r>
      </text>
    </comment>
    <comment ref="B13" authorId="0">
      <text>
        <r>
          <rPr>
            <sz val="9"/>
            <color indexed="81"/>
            <rFont val="Tahoma"/>
            <charset val="1"/>
          </rPr>
          <t xml:space="preserve">02/23/2008
Active --&gt; Subject To Inspection
</t>
        </r>
      </text>
    </comment>
    <comment ref="B17" authorId="0">
      <text>
        <r>
          <rPr>
            <sz val="9"/>
            <color indexed="81"/>
            <rFont val="Tahoma"/>
            <charset val="1"/>
          </rPr>
          <t xml:space="preserve">02/20/2008
Subject To Inspection --&gt; Active
</t>
        </r>
      </text>
    </comment>
    <comment ref="F17" authorId="0">
      <text>
        <r>
          <rPr>
            <sz val="9"/>
            <color indexed="81"/>
            <rFont val="Tahoma"/>
            <charset val="1"/>
          </rPr>
          <t xml:space="preserve">02/23/2008
319888 --&gt; 309888
</t>
        </r>
      </text>
    </comment>
    <comment ref="F18" authorId="0">
      <text>
        <r>
          <rPr>
            <sz val="9"/>
            <color indexed="81"/>
            <rFont val="Tahoma"/>
            <charset val="1"/>
          </rPr>
          <t xml:space="preserve">02/23/2008
319888 --&gt; 309888
</t>
        </r>
      </text>
    </comment>
    <comment ref="B19" authorId="1">
      <text>
        <r>
          <rPr>
            <sz val="8"/>
            <color indexed="81"/>
            <rFont val="Tahoma"/>
            <charset val="1"/>
          </rPr>
          <t xml:space="preserve">03/13/2008
Active --&gt; Subject To Inspection
</t>
        </r>
      </text>
    </comment>
    <comment ref="B22" authorId="1">
      <text>
        <r>
          <rPr>
            <sz val="8"/>
            <color indexed="81"/>
            <rFont val="Tahoma"/>
            <charset val="1"/>
          </rPr>
          <t xml:space="preserve">03/19/2008
Active --&gt; Subject To Inspection
</t>
        </r>
      </text>
    </comment>
    <comment ref="B24" authorId="0">
      <text>
        <r>
          <rPr>
            <sz val="9"/>
            <color indexed="81"/>
            <rFont val="Tahoma"/>
            <charset val="1"/>
          </rPr>
          <t xml:space="preserve">02/20/2008
Active --&gt; Subject To Inspection
</t>
        </r>
      </text>
    </comment>
    <comment ref="F28" authorId="0">
      <text>
        <r>
          <rPr>
            <sz val="9"/>
            <color indexed="81"/>
            <rFont val="Tahoma"/>
            <charset val="1"/>
          </rPr>
          <t xml:space="preserve">02/23/2008
324888 --&gt; 315888
</t>
        </r>
      </text>
    </comment>
    <comment ref="F30" authorId="0">
      <text>
        <r>
          <rPr>
            <sz val="9"/>
            <color indexed="81"/>
            <rFont val="Tahoma"/>
            <charset val="1"/>
          </rPr>
          <t xml:space="preserve">03/05/2008
325000 --&gt; 310000
</t>
        </r>
      </text>
    </comment>
    <comment ref="F31" authorId="0">
      <text>
        <r>
          <rPr>
            <sz val="9"/>
            <color indexed="81"/>
            <rFont val="Tahoma"/>
            <charset val="1"/>
          </rPr>
          <t xml:space="preserve">02/27/2008
325000 --&gt; 300000
</t>
        </r>
      </text>
    </comment>
    <comment ref="B32" authorId="0">
      <text>
        <r>
          <rPr>
            <sz val="9"/>
            <color indexed="81"/>
            <rFont val="Tahoma"/>
            <charset val="1"/>
          </rPr>
          <t xml:space="preserve">02/25/2008
Active --&gt; Subject To Inspection
</t>
        </r>
      </text>
    </comment>
    <comment ref="B35" authorId="0">
      <text>
        <r>
          <rPr>
            <sz val="9"/>
            <color indexed="81"/>
            <rFont val="Tahoma"/>
            <charset val="1"/>
          </rPr>
          <t xml:space="preserve">03/06/2008
Active --&gt; Subject To Inspection
</t>
        </r>
      </text>
    </comment>
    <comment ref="B38" authorId="0">
      <text>
        <r>
          <rPr>
            <sz val="9"/>
            <color indexed="81"/>
            <rFont val="Tahoma"/>
            <charset val="1"/>
          </rPr>
          <t xml:space="preserve">03/06/2008
Active --&gt; Subject To Inspection
</t>
        </r>
      </text>
    </comment>
    <comment ref="F38" authorId="0">
      <text>
        <r>
          <rPr>
            <sz val="9"/>
            <color indexed="81"/>
            <rFont val="Tahoma"/>
            <charset val="1"/>
          </rPr>
          <t xml:space="preserve">02/27/2008
329950 --&gt; 309950
</t>
        </r>
      </text>
    </comment>
    <comment ref="F40" authorId="0">
      <text>
        <r>
          <rPr>
            <sz val="9"/>
            <color indexed="81"/>
            <rFont val="Tahoma"/>
            <charset val="1"/>
          </rPr>
          <t xml:space="preserve">02/21/2008
334900 --&gt; 324900
</t>
        </r>
      </text>
    </comment>
    <comment ref="B41" authorId="0">
      <text>
        <r>
          <rPr>
            <sz val="9"/>
            <color indexed="81"/>
            <rFont val="Tahoma"/>
            <charset val="1"/>
          </rPr>
          <t xml:space="preserve">03/04/2008
Active --&gt; Subject To Inspection
</t>
        </r>
      </text>
    </comment>
    <comment ref="B42" authorId="0">
      <text>
        <r>
          <rPr>
            <sz val="9"/>
            <color indexed="81"/>
            <rFont val="Tahoma"/>
            <charset val="1"/>
          </rPr>
          <t xml:space="preserve">02/21/2008
Subject To Inspection --&gt; Active
</t>
        </r>
      </text>
    </comment>
    <comment ref="F42" authorId="0">
      <text>
        <r>
          <rPr>
            <sz val="9"/>
            <color indexed="81"/>
            <rFont val="Tahoma"/>
            <charset val="1"/>
          </rPr>
          <t xml:space="preserve">02/23/2008
335000 --&gt; 330000
</t>
        </r>
      </text>
    </comment>
    <comment ref="AS42" authorId="0">
      <text>
        <r>
          <rPr>
            <sz val="9"/>
            <color indexed="81"/>
            <rFont val="Tahoma"/>
            <charset val="1"/>
          </rPr>
          <t xml:space="preserve">03/05/2008
http://www.windermere.com/index.cfm?fuseaction=Listing.ListingDetail&amp;ListingID=19246527 --&gt; http://www.windermere.com/index.cfm?fuseaction=Listing.ListingDetail&amp;ListingID=19489538
</t>
        </r>
      </text>
    </comment>
    <comment ref="AT42" authorId="0">
      <text>
        <r>
          <rPr>
            <sz val="9"/>
            <color indexed="81"/>
            <rFont val="Tahoma"/>
            <charset val="1"/>
          </rPr>
          <t xml:space="preserve">03/05/2008
19246527 --&gt; 19489538
</t>
        </r>
      </text>
    </comment>
    <comment ref="B43" authorId="0">
      <text>
        <r>
          <rPr>
            <sz val="9"/>
            <color indexed="81"/>
            <rFont val="Tahoma"/>
            <charset val="1"/>
          </rPr>
          <t xml:space="preserve">02/18/2008
Active --&gt; Subject To Inspection
</t>
        </r>
      </text>
    </comment>
    <comment ref="AS44" authorId="0">
      <text>
        <r>
          <rPr>
            <sz val="9"/>
            <color indexed="81"/>
            <rFont val="Tahoma"/>
            <charset val="1"/>
          </rPr>
          <t xml:space="preserve">02/23/2008
http://www.windermere.com/index.cfm?fuseaction=Listing.ListingDetail&amp;ListingID=19011301 --&gt; http://www.windermere.com/index.cfm?fuseaction=Listing.ListingDetail&amp;ListingID=19408389
</t>
        </r>
      </text>
    </comment>
    <comment ref="AT44" authorId="0">
      <text>
        <r>
          <rPr>
            <sz val="9"/>
            <color indexed="81"/>
            <rFont val="Tahoma"/>
            <charset val="1"/>
          </rPr>
          <t xml:space="preserve">02/23/2008
19011301 --&gt; 19408389
</t>
        </r>
      </text>
    </comment>
    <comment ref="F50" authorId="0">
      <text>
        <r>
          <rPr>
            <sz val="9"/>
            <color indexed="81"/>
            <rFont val="Tahoma"/>
            <charset val="1"/>
          </rPr>
          <t xml:space="preserve">02/25/2008
339950 --&gt; 319950
</t>
        </r>
      </text>
    </comment>
    <comment ref="F53" authorId="0">
      <text>
        <r>
          <rPr>
            <sz val="9"/>
            <color indexed="81"/>
            <rFont val="Tahoma"/>
            <charset val="1"/>
          </rPr>
          <t xml:space="preserve">03/05/2008
340000 --&gt; 325000
</t>
        </r>
      </text>
    </comment>
    <comment ref="K54" authorId="0">
      <text>
        <r>
          <rPr>
            <sz val="9"/>
            <color indexed="81"/>
            <rFont val="Tahoma"/>
            <charset val="1"/>
          </rPr>
          <t xml:space="preserve">02/25/2008
1.5 --&gt; 2.5
</t>
        </r>
      </text>
    </comment>
    <comment ref="B55" authorId="0">
      <text>
        <r>
          <rPr>
            <sz val="9"/>
            <color indexed="81"/>
            <rFont val="Tahoma"/>
            <charset val="1"/>
          </rPr>
          <t xml:space="preserve">02/21/2008
Active --&gt; Subject To Inspection
</t>
        </r>
      </text>
    </comment>
    <comment ref="B62" authorId="0">
      <text>
        <r>
          <rPr>
            <sz val="9"/>
            <color indexed="81"/>
            <rFont val="Tahoma"/>
            <charset val="1"/>
          </rPr>
          <t xml:space="preserve">02/21/2008
Active --&gt; Subject To Inspection
</t>
        </r>
      </text>
    </comment>
    <comment ref="B63" authorId="0">
      <text>
        <r>
          <rPr>
            <sz val="9"/>
            <color indexed="81"/>
            <rFont val="Tahoma"/>
            <charset val="1"/>
          </rPr>
          <t xml:space="preserve">02/18/2008
Active --&gt; Subject To Inspection
</t>
        </r>
      </text>
    </comment>
    <comment ref="B67" authorId="0">
      <text>
        <r>
          <rPr>
            <sz val="9"/>
            <color indexed="81"/>
            <rFont val="Tahoma"/>
            <charset val="1"/>
          </rPr>
          <t xml:space="preserve">02/28/2008
Active --&gt; Subject To Inspection
</t>
        </r>
      </text>
    </comment>
    <comment ref="F68" authorId="1">
      <text>
        <r>
          <rPr>
            <sz val="8"/>
            <color indexed="81"/>
            <rFont val="Tahoma"/>
            <charset val="1"/>
          </rPr>
          <t xml:space="preserve">03/13/2008
349500 --&gt; 339500
</t>
        </r>
      </text>
    </comment>
    <comment ref="B70" authorId="1">
      <text>
        <r>
          <rPr>
            <sz val="8"/>
            <color indexed="81"/>
            <rFont val="Tahoma"/>
            <charset val="1"/>
          </rPr>
          <t xml:space="preserve">03/13/2008
Active --&gt; Subject To Inspection
</t>
        </r>
      </text>
    </comment>
    <comment ref="F70" authorId="0">
      <text>
        <r>
          <rPr>
            <sz val="9"/>
            <color indexed="81"/>
            <rFont val="Tahoma"/>
            <charset val="1"/>
          </rPr>
          <t xml:space="preserve">02/28/2008
349888 --&gt; 344888
</t>
        </r>
      </text>
    </comment>
    <comment ref="B71" authorId="0">
      <text>
        <r>
          <rPr>
            <sz val="9"/>
            <color indexed="81"/>
            <rFont val="Tahoma"/>
            <charset val="1"/>
          </rPr>
          <t xml:space="preserve">02/29/2008
Active --&gt; Subject To Inspection
</t>
        </r>
      </text>
    </comment>
    <comment ref="F72" authorId="0">
      <text>
        <r>
          <rPr>
            <sz val="9"/>
            <color indexed="81"/>
            <rFont val="Tahoma"/>
            <charset val="1"/>
          </rPr>
          <t xml:space="preserve">03/13/2008
339900 --&gt; 329900
02/23/2008
349900 --&gt; 339900
</t>
        </r>
      </text>
    </comment>
    <comment ref="B74" authorId="0">
      <text>
        <r>
          <rPr>
            <sz val="9"/>
            <color indexed="81"/>
            <rFont val="Tahoma"/>
            <charset val="1"/>
          </rPr>
          <t xml:space="preserve">02/19/2008
Active --&gt; Subject To Inspection
</t>
        </r>
      </text>
    </comment>
    <comment ref="B78" authorId="0">
      <text>
        <r>
          <rPr>
            <sz val="9"/>
            <color indexed="81"/>
            <rFont val="Tahoma"/>
            <charset val="1"/>
          </rPr>
          <t xml:space="preserve">02/27/2008
Active --&gt; Subject To Inspection
</t>
        </r>
      </text>
    </comment>
    <comment ref="B80" authorId="0">
      <text>
        <r>
          <rPr>
            <sz val="9"/>
            <color indexed="81"/>
            <rFont val="Tahoma"/>
            <charset val="1"/>
          </rPr>
          <t xml:space="preserve">03/04/2008
Active --&gt; Subject To Inspection
</t>
        </r>
      </text>
    </comment>
    <comment ref="F80" authorId="0">
      <text>
        <r>
          <rPr>
            <sz val="9"/>
            <color indexed="81"/>
            <rFont val="Tahoma"/>
            <charset val="1"/>
          </rPr>
          <t xml:space="preserve">02/20/2008
349950 --&gt; 335000
</t>
        </r>
      </text>
    </comment>
    <comment ref="F81" authorId="1">
      <text>
        <r>
          <rPr>
            <sz val="8"/>
            <color indexed="81"/>
            <rFont val="Tahoma"/>
            <charset val="1"/>
          </rPr>
          <t xml:space="preserve">03/13/2008
350000 --&gt; 339500
</t>
        </r>
      </text>
    </comment>
    <comment ref="B88" authorId="0">
      <text>
        <r>
          <rPr>
            <sz val="9"/>
            <color indexed="81"/>
            <rFont val="Tahoma"/>
            <charset val="1"/>
          </rPr>
          <t xml:space="preserve">02/28/2008
Active --&gt; Subject To Inspection
</t>
        </r>
      </text>
    </comment>
    <comment ref="B89" authorId="0">
      <text>
        <r>
          <rPr>
            <sz val="9"/>
            <color indexed="81"/>
            <rFont val="Tahoma"/>
            <charset val="1"/>
          </rPr>
          <t xml:space="preserve">02/20/2008
Active --&gt; Subject To Inspection
</t>
        </r>
      </text>
    </comment>
    <comment ref="F90" authorId="0">
      <text>
        <r>
          <rPr>
            <sz val="9"/>
            <color indexed="81"/>
            <rFont val="Tahoma"/>
            <charset val="1"/>
          </rPr>
          <t xml:space="preserve">02/25/2008
359950 --&gt; 349950
</t>
        </r>
      </text>
    </comment>
    <comment ref="F93" authorId="0">
      <text>
        <r>
          <rPr>
            <sz val="9"/>
            <color indexed="81"/>
            <rFont val="Tahoma"/>
            <charset val="1"/>
          </rPr>
          <t xml:space="preserve">02/18/2008
374500 --&gt; 362000
</t>
        </r>
      </text>
    </comment>
    <comment ref="F96" authorId="0">
      <text>
        <r>
          <rPr>
            <sz val="9"/>
            <color indexed="81"/>
            <rFont val="Tahoma"/>
            <family val="2"/>
          </rPr>
          <t xml:space="preserve">03/02/2008
364888 --&gt; 349999
</t>
        </r>
      </text>
    </comment>
    <comment ref="B97" authorId="1">
      <text>
        <r>
          <rPr>
            <sz val="8"/>
            <color indexed="81"/>
            <rFont val="Tahoma"/>
            <charset val="1"/>
          </rPr>
          <t xml:space="preserve">03/19/2008
Active --&gt; Subject To Inspection
</t>
        </r>
      </text>
    </comment>
    <comment ref="F97" authorId="0">
      <text>
        <r>
          <rPr>
            <sz val="9"/>
            <color indexed="81"/>
            <rFont val="Tahoma"/>
            <family val="2"/>
          </rPr>
          <t xml:space="preserve">03/02/2008
364888 --&gt; 349999
</t>
        </r>
      </text>
    </comment>
    <comment ref="F98" authorId="0">
      <text>
        <r>
          <rPr>
            <sz val="9"/>
            <color indexed="81"/>
            <rFont val="Tahoma"/>
            <family val="2"/>
          </rPr>
          <t xml:space="preserve">03/02/2008
364888 --&gt; 349999
</t>
        </r>
      </text>
    </comment>
    <comment ref="B99" authorId="1">
      <text>
        <r>
          <rPr>
            <sz val="8"/>
            <color indexed="81"/>
            <rFont val="Tahoma"/>
            <charset val="1"/>
          </rPr>
          <t xml:space="preserve">03/19/2008
Active --&gt; Subject To Inspection
</t>
        </r>
      </text>
    </comment>
    <comment ref="F99" authorId="0">
      <text>
        <r>
          <rPr>
            <sz val="9"/>
            <color indexed="81"/>
            <rFont val="Tahoma"/>
            <family val="2"/>
          </rPr>
          <t xml:space="preserve">03/02/2008
364888 --&gt; 349999
</t>
        </r>
      </text>
    </comment>
    <comment ref="B100" authorId="0">
      <text>
        <r>
          <rPr>
            <sz val="9"/>
            <color indexed="81"/>
            <rFont val="Tahoma"/>
            <charset val="1"/>
          </rPr>
          <t xml:space="preserve">02/20/2008
Active --&gt; Subject To Inspection
</t>
        </r>
      </text>
    </comment>
    <comment ref="F104" authorId="0">
      <text>
        <r>
          <rPr>
            <sz val="9"/>
            <color indexed="81"/>
            <rFont val="Tahoma"/>
            <charset val="1"/>
          </rPr>
          <t xml:space="preserve">02/25/2008
364950 --&gt; 354950
</t>
        </r>
      </text>
    </comment>
    <comment ref="F106" authorId="0">
      <text>
        <r>
          <rPr>
            <sz val="9"/>
            <color indexed="81"/>
            <rFont val="Tahoma"/>
            <charset val="1"/>
          </rPr>
          <t xml:space="preserve">02/19/2008
365000 --&gt; 355000
</t>
        </r>
      </text>
    </comment>
    <comment ref="F107" authorId="1">
      <text>
        <r>
          <rPr>
            <sz val="8"/>
            <color indexed="81"/>
            <rFont val="Tahoma"/>
            <charset val="1"/>
          </rPr>
          <t xml:space="preserve">03/15/2008
365000 --&gt; 349000
</t>
        </r>
      </text>
    </comment>
    <comment ref="B108" authorId="0">
      <text>
        <r>
          <rPr>
            <sz val="9"/>
            <color indexed="81"/>
            <rFont val="Tahoma"/>
            <charset val="1"/>
          </rPr>
          <t xml:space="preserve">03/04/2008
Active --&gt; Subject To Inspection
</t>
        </r>
      </text>
    </comment>
    <comment ref="F108" authorId="0">
      <text>
        <r>
          <rPr>
            <sz val="9"/>
            <color indexed="81"/>
            <rFont val="Tahoma"/>
            <charset val="1"/>
          </rPr>
          <t xml:space="preserve">02/21/2008
365000 --&gt; 348075
</t>
        </r>
      </text>
    </comment>
    <comment ref="F109" authorId="0">
      <text>
        <r>
          <rPr>
            <sz val="9"/>
            <color indexed="81"/>
            <rFont val="Tahoma"/>
            <charset val="1"/>
          </rPr>
          <t xml:space="preserve">02/27/2008
365000 --&gt; 355000
</t>
        </r>
      </text>
    </comment>
    <comment ref="B110" authorId="0">
      <text>
        <r>
          <rPr>
            <sz val="9"/>
            <color indexed="81"/>
            <rFont val="Tahoma"/>
            <charset val="1"/>
          </rPr>
          <t xml:space="preserve">02/27/2008
Active --&gt; Subject To Inspection
</t>
        </r>
      </text>
    </comment>
    <comment ref="F113" authorId="0">
      <text>
        <r>
          <rPr>
            <sz val="9"/>
            <color indexed="81"/>
            <rFont val="Tahoma"/>
            <charset val="1"/>
          </rPr>
          <t xml:space="preserve">02/20/2008
368000 --&gt; 359000
</t>
        </r>
      </text>
    </comment>
    <comment ref="K113" authorId="0">
      <text>
        <r>
          <rPr>
            <sz val="9"/>
            <color indexed="81"/>
            <rFont val="Tahoma"/>
            <charset val="1"/>
          </rPr>
          <t xml:space="preserve">02/25/2008
2.25 --&gt; 3.25
</t>
        </r>
      </text>
    </comment>
    <comment ref="B114" authorId="1">
      <text>
        <r>
          <rPr>
            <sz val="8"/>
            <color indexed="81"/>
            <rFont val="Tahoma"/>
            <charset val="1"/>
          </rPr>
          <t xml:space="preserve">03/13/2008
Active --&gt; Subject To Inspection
</t>
        </r>
      </text>
    </comment>
    <comment ref="B116" authorId="0">
      <text>
        <r>
          <rPr>
            <sz val="9"/>
            <color indexed="81"/>
            <rFont val="Tahoma"/>
            <charset val="1"/>
          </rPr>
          <t xml:space="preserve">02/21/2008
Subject To Inspection --&gt; Active
02/19/2008
Active --&gt; Subject To Inspection
</t>
        </r>
      </text>
    </comment>
    <comment ref="F117" authorId="0">
      <text>
        <r>
          <rPr>
            <sz val="9"/>
            <color indexed="81"/>
            <rFont val="Tahoma"/>
            <charset val="1"/>
          </rPr>
          <t xml:space="preserve">02/25/2008
369950 --&gt; 364950
</t>
        </r>
      </text>
    </comment>
    <comment ref="B120" authorId="1">
      <text>
        <r>
          <rPr>
            <sz val="8"/>
            <color indexed="81"/>
            <rFont val="Tahoma"/>
            <charset val="1"/>
          </rPr>
          <t xml:space="preserve">03/19/2008
Active --&gt; Subject To Inspection
</t>
        </r>
      </text>
    </comment>
    <comment ref="B122" authorId="0">
      <text>
        <r>
          <rPr>
            <sz val="9"/>
            <color indexed="81"/>
            <rFont val="Tahoma"/>
            <charset val="1"/>
          </rPr>
          <t xml:space="preserve">02/23/2008
Active --&gt; Subject To Inspection
</t>
        </r>
      </text>
    </comment>
    <comment ref="E123" authorId="0">
      <text>
        <r>
          <rPr>
            <sz val="9"/>
            <color indexed="81"/>
            <rFont val="Tahoma"/>
            <family val="2"/>
          </rPr>
          <t xml:space="preserve">03/02/2008
839 123rd St NE --&gt; 839 NE 123rd St
</t>
        </r>
      </text>
    </comment>
    <comment ref="F123" authorId="0">
      <text>
        <r>
          <rPr>
            <sz val="9"/>
            <color indexed="81"/>
            <rFont val="Tahoma"/>
            <family val="2"/>
          </rPr>
          <t xml:space="preserve">03/04/2008
359999 --&gt; 349999
03/02/2008
369999 --&gt; 359999
</t>
        </r>
      </text>
    </comment>
    <comment ref="F124" authorId="0">
      <text>
        <r>
          <rPr>
            <sz val="9"/>
            <color indexed="81"/>
            <rFont val="Tahoma"/>
            <charset val="1"/>
          </rPr>
          <t xml:space="preserve">02/18/2008
390000 --&gt; 370000
</t>
        </r>
      </text>
    </comment>
    <comment ref="B125" authorId="1">
      <text>
        <r>
          <rPr>
            <sz val="8"/>
            <color indexed="81"/>
            <rFont val="Tahoma"/>
            <charset val="1"/>
          </rPr>
          <t xml:space="preserve">03/18/2008
Active --&gt; Subject To Inspection
</t>
        </r>
      </text>
    </comment>
    <comment ref="F125" authorId="0">
      <text>
        <r>
          <rPr>
            <sz val="9"/>
            <color indexed="81"/>
            <rFont val="Tahoma"/>
            <charset val="1"/>
          </rPr>
          <t xml:space="preserve">03/04/2008
370000 --&gt; 360000
</t>
        </r>
      </text>
    </comment>
    <comment ref="F126" authorId="0">
      <text>
        <r>
          <rPr>
            <sz val="9"/>
            <color indexed="81"/>
            <rFont val="Tahoma"/>
            <charset val="1"/>
          </rPr>
          <t xml:space="preserve">03/04/2008
374950 --&gt; 373000
</t>
        </r>
      </text>
    </comment>
    <comment ref="B127" authorId="0">
      <text>
        <r>
          <rPr>
            <sz val="9"/>
            <color indexed="81"/>
            <rFont val="Tahoma"/>
            <charset val="1"/>
          </rPr>
          <t xml:space="preserve">02/29/2008
Active --&gt; Subject To Inspection
</t>
        </r>
      </text>
    </comment>
    <comment ref="F127" authorId="0">
      <text>
        <r>
          <rPr>
            <sz val="9"/>
            <color indexed="81"/>
            <rFont val="Tahoma"/>
            <charset val="1"/>
          </rPr>
          <t xml:space="preserve">02/25/2008
369950 --&gt; 357000
02/23/2008
374950 --&gt; 369950
</t>
        </r>
      </text>
    </comment>
    <comment ref="B130" authorId="0">
      <text>
        <r>
          <rPr>
            <sz val="9"/>
            <color indexed="81"/>
            <rFont val="Tahoma"/>
            <charset val="1"/>
          </rPr>
          <t xml:space="preserve">02/20/2008
Subject To Inspection --&gt; Active
</t>
        </r>
      </text>
    </comment>
    <comment ref="F131" authorId="1">
      <text>
        <r>
          <rPr>
            <sz val="8"/>
            <color indexed="81"/>
            <rFont val="Tahoma"/>
            <charset val="1"/>
          </rPr>
          <t xml:space="preserve">03/13/2008
376900 --&gt; 359950
</t>
        </r>
      </text>
    </comment>
    <comment ref="F132" authorId="1">
      <text>
        <r>
          <rPr>
            <sz val="8"/>
            <color indexed="81"/>
            <rFont val="Tahoma"/>
            <charset val="1"/>
          </rPr>
          <t xml:space="preserve">03/13/2008
376900 --&gt; 369950
</t>
        </r>
      </text>
    </comment>
    <comment ref="B135" authorId="0">
      <text>
        <r>
          <rPr>
            <sz val="9"/>
            <color indexed="81"/>
            <rFont val="Tahoma"/>
            <charset val="1"/>
          </rPr>
          <t xml:space="preserve">03/06/2008
Active --&gt; Subject To Inspection
</t>
        </r>
      </text>
    </comment>
    <comment ref="B137" authorId="1">
      <text>
        <r>
          <rPr>
            <sz val="8"/>
            <color indexed="81"/>
            <rFont val="Tahoma"/>
            <charset val="1"/>
          </rPr>
          <t xml:space="preserve">03/19/2008
Subject To Inspection --&gt; Active
03/13/2008
Active --&gt; Subject To Inspection
</t>
        </r>
      </text>
    </comment>
    <comment ref="B140" authorId="0">
      <text>
        <r>
          <rPr>
            <sz val="9"/>
            <color indexed="81"/>
            <rFont val="Tahoma"/>
            <charset val="1"/>
          </rPr>
          <t xml:space="preserve">03/04/2008
Active --&gt; Subject To Inspection
</t>
        </r>
      </text>
    </comment>
    <comment ref="B141" authorId="0">
      <text>
        <r>
          <rPr>
            <sz val="9"/>
            <color indexed="81"/>
            <rFont val="Tahoma"/>
            <charset val="1"/>
          </rPr>
          <t xml:space="preserve">03/04/2008
Active --&gt; Subject To Inspection
</t>
        </r>
      </text>
    </comment>
    <comment ref="B142" authorId="0">
      <text>
        <r>
          <rPr>
            <sz val="9"/>
            <color indexed="81"/>
            <rFont val="Tahoma"/>
            <charset val="1"/>
          </rPr>
          <t xml:space="preserve">02/27/2008
Active --&gt; Subject To Inspection
</t>
        </r>
      </text>
    </comment>
    <comment ref="B146" authorId="1">
      <text>
        <r>
          <rPr>
            <sz val="8"/>
            <color indexed="81"/>
            <rFont val="Tahoma"/>
            <charset val="1"/>
          </rPr>
          <t xml:space="preserve">03/13/2008
Active --&gt; Subject To Inspection
</t>
        </r>
      </text>
    </comment>
    <comment ref="B147" authorId="1">
      <text>
        <r>
          <rPr>
            <sz val="8"/>
            <color indexed="81"/>
            <rFont val="Tahoma"/>
            <charset val="1"/>
          </rPr>
          <t xml:space="preserve">03/13/2008
Active --&gt; Contingent
</t>
        </r>
      </text>
    </comment>
    <comment ref="F150" authorId="0">
      <text>
        <r>
          <rPr>
            <sz val="9"/>
            <color indexed="81"/>
            <rFont val="Tahoma"/>
            <family val="2"/>
          </rPr>
          <t xml:space="preserve">03/02/2008
384950 --&gt; 369950
</t>
        </r>
      </text>
    </comment>
    <comment ref="B151" authorId="1">
      <text>
        <r>
          <rPr>
            <sz val="8"/>
            <color indexed="81"/>
            <rFont val="Tahoma"/>
            <charset val="1"/>
          </rPr>
          <t xml:space="preserve">03/13/2008
Active --&gt; Subject To Inspection
</t>
        </r>
      </text>
    </comment>
    <comment ref="F153" authorId="0">
      <text>
        <r>
          <rPr>
            <sz val="9"/>
            <color indexed="81"/>
            <rFont val="Tahoma"/>
            <charset val="1"/>
          </rPr>
          <t xml:space="preserve">03/05/2008
385000 --&gt; 375000
</t>
        </r>
      </text>
    </comment>
    <comment ref="F154" authorId="1">
      <text>
        <r>
          <rPr>
            <sz val="8"/>
            <color indexed="81"/>
            <rFont val="Tahoma"/>
            <charset val="1"/>
          </rPr>
          <t xml:space="preserve">03/15/2008
385000 --&gt; 369950
</t>
        </r>
      </text>
    </comment>
    <comment ref="B158" authorId="0">
      <text>
        <r>
          <rPr>
            <sz val="9"/>
            <color indexed="81"/>
            <rFont val="Tahoma"/>
            <charset val="1"/>
          </rPr>
          <t xml:space="preserve">02/25/2008
Active --&gt; Subject To Inspection
</t>
        </r>
      </text>
    </comment>
    <comment ref="F163" authorId="0">
      <text>
        <r>
          <rPr>
            <sz val="9"/>
            <color indexed="81"/>
            <rFont val="Tahoma"/>
            <charset val="1"/>
          </rPr>
          <t xml:space="preserve">02/23/2008
395000 --&gt; 379000
</t>
        </r>
      </text>
    </comment>
    <comment ref="B165" authorId="0">
      <text>
        <r>
          <rPr>
            <sz val="9"/>
            <color indexed="81"/>
            <rFont val="Tahoma"/>
            <charset val="1"/>
          </rPr>
          <t xml:space="preserve">02/23/2008
Active --&gt; Subject To Inspection
</t>
        </r>
      </text>
    </comment>
    <comment ref="F170" authorId="0">
      <text>
        <r>
          <rPr>
            <sz val="9"/>
            <color indexed="81"/>
            <rFont val="Tahoma"/>
            <charset val="1"/>
          </rPr>
          <t xml:space="preserve">02/25/2008
399000 --&gt; 389000
</t>
        </r>
      </text>
    </comment>
    <comment ref="F175" authorId="0">
      <text>
        <r>
          <rPr>
            <sz val="9"/>
            <color indexed="81"/>
            <rFont val="Tahoma"/>
            <charset val="1"/>
          </rPr>
          <t xml:space="preserve">02/27/2008
399950 --&gt; 375000
</t>
        </r>
      </text>
    </comment>
    <comment ref="F176" authorId="0">
      <text>
        <r>
          <rPr>
            <sz val="9"/>
            <color indexed="81"/>
            <rFont val="Tahoma"/>
            <charset val="1"/>
          </rPr>
          <t xml:space="preserve">02/27/2008
399950 --&gt; 375000
</t>
        </r>
      </text>
    </comment>
    <comment ref="B189" authorId="1">
      <text>
        <r>
          <rPr>
            <sz val="8"/>
            <color indexed="81"/>
            <rFont val="Tahoma"/>
            <charset val="1"/>
          </rPr>
          <t xml:space="preserve">03/13/2008
Active --&gt; Subject To Inspection
</t>
        </r>
      </text>
    </comment>
    <comment ref="F189" authorId="0">
      <text>
        <r>
          <rPr>
            <sz val="9"/>
            <color indexed="81"/>
            <rFont val="Tahoma"/>
            <charset val="1"/>
          </rPr>
          <t xml:space="preserve">02/28/2008
400000 --&gt; 350000
</t>
        </r>
      </text>
    </comment>
    <comment ref="B192" authorId="1">
      <text>
        <r>
          <rPr>
            <sz val="8"/>
            <color indexed="81"/>
            <rFont val="Tahoma"/>
            <charset val="1"/>
          </rPr>
          <t xml:space="preserve">03/13/2008
Active --&gt; Subject To Inspection
</t>
        </r>
      </text>
    </comment>
    <comment ref="F192" authorId="0">
      <text>
        <r>
          <rPr>
            <sz val="9"/>
            <color indexed="81"/>
            <rFont val="Tahoma"/>
            <family val="2"/>
          </rPr>
          <t xml:space="preserve">03/02/2008
400000 --&gt; 385000
</t>
        </r>
      </text>
    </comment>
    <comment ref="H192" authorId="0">
      <text>
        <r>
          <rPr>
            <sz val="9"/>
            <color indexed="81"/>
            <rFont val="Tahoma"/>
            <charset val="1"/>
          </rPr>
          <t xml:space="preserve">03/04/2008
1110 --&gt; 1840
</t>
        </r>
      </text>
    </comment>
    <comment ref="B193" authorId="0">
      <text>
        <r>
          <rPr>
            <sz val="9"/>
            <color indexed="81"/>
            <rFont val="Tahoma"/>
            <charset val="1"/>
          </rPr>
          <t xml:space="preserve">02/23/2008
Active --&gt; Subject To Inspection
</t>
        </r>
      </text>
    </comment>
    <comment ref="B194" authorId="0">
      <text>
        <r>
          <rPr>
            <sz val="9"/>
            <color indexed="81"/>
            <rFont val="Tahoma"/>
            <charset val="1"/>
          </rPr>
          <t xml:space="preserve">03/04/2008
Active --&gt; Subject To Inspection
</t>
        </r>
      </text>
    </comment>
    <comment ref="F197" authorId="0">
      <text>
        <r>
          <rPr>
            <sz val="9"/>
            <color indexed="81"/>
            <rFont val="Tahoma"/>
            <charset val="1"/>
          </rPr>
          <t xml:space="preserve">02/28/2008
405000 --&gt; 399000
</t>
        </r>
      </text>
    </comment>
    <comment ref="B198" authorId="1">
      <text>
        <r>
          <rPr>
            <sz val="8"/>
            <color indexed="81"/>
            <rFont val="Tahoma"/>
            <charset val="1"/>
          </rPr>
          <t xml:space="preserve">03/13/2008
Active --&gt; Subject To Inspection
</t>
        </r>
      </text>
    </comment>
    <comment ref="B199" authorId="0">
      <text>
        <r>
          <rPr>
            <sz val="9"/>
            <color indexed="81"/>
            <rFont val="Tahoma"/>
            <charset val="1"/>
          </rPr>
          <t xml:space="preserve">03/04/2008
Active --&gt; Subject To Inspection
</t>
        </r>
      </text>
    </comment>
    <comment ref="F200" authorId="1">
      <text>
        <r>
          <rPr>
            <sz val="8"/>
            <color indexed="81"/>
            <rFont val="Tahoma"/>
            <charset val="1"/>
          </rPr>
          <t xml:space="preserve">03/13/2008
409000 --&gt; 399000
</t>
        </r>
      </text>
    </comment>
    <comment ref="F201" authorId="1">
      <text>
        <r>
          <rPr>
            <sz val="8"/>
            <color indexed="81"/>
            <rFont val="Tahoma"/>
            <charset val="1"/>
          </rPr>
          <t xml:space="preserve">03/13/2008
409000 --&gt; 399000
</t>
        </r>
      </text>
    </comment>
    <comment ref="F203" authorId="0">
      <text>
        <r>
          <rPr>
            <sz val="9"/>
            <color indexed="81"/>
            <rFont val="Tahoma"/>
            <charset val="1"/>
          </rPr>
          <t xml:space="preserve">03/05/2008
409950 --&gt; 399950
</t>
        </r>
      </text>
    </comment>
    <comment ref="F204" authorId="0">
      <text>
        <r>
          <rPr>
            <sz val="9"/>
            <color indexed="81"/>
            <rFont val="Tahoma"/>
            <charset val="1"/>
          </rPr>
          <t xml:space="preserve">02/21/2008
409950 --&gt; 399950
</t>
        </r>
      </text>
    </comment>
    <comment ref="B206" authorId="0">
      <text>
        <r>
          <rPr>
            <sz val="9"/>
            <color indexed="81"/>
            <rFont val="Tahoma"/>
            <charset val="1"/>
          </rPr>
          <t xml:space="preserve">03/05/2008
Active --&gt; Subject To Inspection
</t>
        </r>
      </text>
    </comment>
    <comment ref="F206" authorId="0">
      <text>
        <r>
          <rPr>
            <sz val="9"/>
            <color indexed="81"/>
            <rFont val="Tahoma"/>
            <charset val="1"/>
          </rPr>
          <t xml:space="preserve">02/20/2008
409950 --&gt; 399950
</t>
        </r>
      </text>
    </comment>
    <comment ref="B210" authorId="0">
      <text>
        <r>
          <rPr>
            <sz val="9"/>
            <color indexed="81"/>
            <rFont val="Tahoma"/>
            <charset val="1"/>
          </rPr>
          <t xml:space="preserve">03/04/2008
Active --&gt; Subject To Inspection
</t>
        </r>
      </text>
    </comment>
    <comment ref="F210" authorId="0">
      <text>
        <r>
          <rPr>
            <sz val="9"/>
            <color indexed="81"/>
            <rFont val="Tahoma"/>
            <charset val="1"/>
          </rPr>
          <t xml:space="preserve">02/19/2008
412500 --&gt; 399950
</t>
        </r>
      </text>
    </comment>
    <comment ref="B212" authorId="0">
      <text>
        <r>
          <rPr>
            <sz val="9"/>
            <color indexed="81"/>
            <rFont val="Tahoma"/>
            <charset val="1"/>
          </rPr>
          <t xml:space="preserve">03/04/2008
Contingent --&gt; Active
</t>
        </r>
      </text>
    </comment>
    <comment ref="B213" authorId="0">
      <text>
        <r>
          <rPr>
            <sz val="9"/>
            <color indexed="81"/>
            <rFont val="Tahoma"/>
            <charset val="1"/>
          </rPr>
          <t xml:space="preserve">02/20/2008
Active --&gt; Subject To Inspection
</t>
        </r>
      </text>
    </comment>
    <comment ref="B215" authorId="0">
      <text>
        <r>
          <rPr>
            <sz val="9"/>
            <color indexed="81"/>
            <rFont val="Tahoma"/>
            <charset val="1"/>
          </rPr>
          <t xml:space="preserve">02/21/2008
Active --&gt; Subject To Inspection
</t>
        </r>
      </text>
    </comment>
    <comment ref="B217" authorId="0">
      <text>
        <r>
          <rPr>
            <sz val="9"/>
            <color indexed="81"/>
            <rFont val="Tahoma"/>
            <charset val="1"/>
          </rPr>
          <t xml:space="preserve">02/28/2008
Active --&gt; Subject To Inspection
</t>
        </r>
      </text>
    </comment>
    <comment ref="B219" authorId="1">
      <text>
        <r>
          <rPr>
            <sz val="8"/>
            <color indexed="81"/>
            <rFont val="Tahoma"/>
            <charset val="1"/>
          </rPr>
          <t xml:space="preserve">03/13/2008
Active --&gt; Subject To Inspection
</t>
        </r>
      </text>
    </comment>
    <comment ref="F221" authorId="1">
      <text>
        <r>
          <rPr>
            <sz val="8"/>
            <color indexed="81"/>
            <rFont val="Tahoma"/>
            <charset val="1"/>
          </rPr>
          <t xml:space="preserve">03/13/2008
420000 --&gt; 405000
</t>
        </r>
      </text>
    </comment>
    <comment ref="B222" authorId="0">
      <text>
        <r>
          <rPr>
            <sz val="9"/>
            <color indexed="81"/>
            <rFont val="Tahoma"/>
            <charset val="1"/>
          </rPr>
          <t xml:space="preserve">03/05/2008
Active --&gt; Subject To Inspection
</t>
        </r>
      </text>
    </comment>
    <comment ref="B223" authorId="0">
      <text>
        <r>
          <rPr>
            <sz val="9"/>
            <color indexed="81"/>
            <rFont val="Tahoma"/>
            <charset val="1"/>
          </rPr>
          <t xml:space="preserve">02/20/2008
Active --&gt; Subject To Inspection
</t>
        </r>
      </text>
    </comment>
    <comment ref="E224" authorId="0">
      <text>
        <r>
          <rPr>
            <sz val="9"/>
            <color indexed="81"/>
            <rFont val="Tahoma"/>
            <charset val="1"/>
          </rPr>
          <t xml:space="preserve">02/28/2008
14354 19th Ave NE --&gt; 14356 19th Ave NE
</t>
        </r>
      </text>
    </comment>
    <comment ref="F224" authorId="0">
      <text>
        <r>
          <rPr>
            <sz val="9"/>
            <color indexed="81"/>
            <rFont val="Tahoma"/>
            <charset val="1"/>
          </rPr>
          <t xml:space="preserve">02/28/2008
424900 --&gt; 399950
</t>
        </r>
      </text>
    </comment>
    <comment ref="H224" authorId="0">
      <text>
        <r>
          <rPr>
            <sz val="9"/>
            <color indexed="81"/>
            <rFont val="Tahoma"/>
            <charset val="1"/>
          </rPr>
          <t xml:space="preserve">03/05/2008
1822 --&gt; 1470
</t>
        </r>
      </text>
    </comment>
    <comment ref="H225" authorId="0">
      <text>
        <r>
          <rPr>
            <sz val="9"/>
            <color indexed="81"/>
            <rFont val="Tahoma"/>
            <charset val="1"/>
          </rPr>
          <t xml:space="preserve">02/19/2008
1750 --&gt; 1800
</t>
        </r>
      </text>
    </comment>
    <comment ref="F226" authorId="1">
      <text>
        <r>
          <rPr>
            <sz val="8"/>
            <color indexed="81"/>
            <rFont val="Tahoma"/>
            <charset val="1"/>
          </rPr>
          <t xml:space="preserve">03/13/2008
424950 --&gt; 399950
</t>
        </r>
      </text>
    </comment>
    <comment ref="F228" authorId="0">
      <text>
        <r>
          <rPr>
            <sz val="9"/>
            <color indexed="81"/>
            <rFont val="Tahoma"/>
            <charset val="1"/>
          </rPr>
          <t xml:space="preserve">02/27/2008
425000 --&gt; 400000
</t>
        </r>
      </text>
    </comment>
    <comment ref="F229" authorId="1">
      <text>
        <r>
          <rPr>
            <sz val="8"/>
            <color indexed="81"/>
            <rFont val="Tahoma"/>
            <charset val="1"/>
          </rPr>
          <t xml:space="preserve">03/18/2008
425000 --&gt; 399950
</t>
        </r>
      </text>
    </comment>
    <comment ref="B231" authorId="0">
      <text>
        <r>
          <rPr>
            <sz val="9"/>
            <color indexed="81"/>
            <rFont val="Tahoma"/>
            <charset val="1"/>
          </rPr>
          <t xml:space="preserve">02/20/2008
Active --&gt; Subject To Inspection
</t>
        </r>
      </text>
    </comment>
    <comment ref="B232" authorId="0">
      <text>
        <r>
          <rPr>
            <sz val="9"/>
            <color indexed="81"/>
            <rFont val="Tahoma"/>
            <charset val="1"/>
          </rPr>
          <t xml:space="preserve">02/19/2008
Active --&gt; Subject To Inspection
</t>
        </r>
      </text>
    </comment>
    <comment ref="E237" authorId="0">
      <text>
        <r>
          <rPr>
            <sz val="9"/>
            <color indexed="81"/>
            <rFont val="Tahoma"/>
            <charset val="1"/>
          </rPr>
          <t xml:space="preserve">02/19/2008
2302 NE 92 St --&gt; 2302 NE 92nd St
</t>
        </r>
      </text>
    </comment>
    <comment ref="F240" authorId="0">
      <text>
        <r>
          <rPr>
            <sz val="9"/>
            <color indexed="81"/>
            <rFont val="Tahoma"/>
            <charset val="1"/>
          </rPr>
          <t xml:space="preserve">03/04/2008
429950 --&gt; 415000
</t>
        </r>
      </text>
    </comment>
    <comment ref="F242" authorId="0">
      <text>
        <r>
          <rPr>
            <sz val="9"/>
            <color indexed="81"/>
            <rFont val="Tahoma"/>
            <charset val="1"/>
          </rPr>
          <t xml:space="preserve">02/27/2008
430000 --&gt; 424950
</t>
        </r>
      </text>
    </comment>
    <comment ref="F244" authorId="1">
      <text>
        <r>
          <rPr>
            <sz val="8"/>
            <color indexed="81"/>
            <rFont val="Tahoma"/>
            <charset val="1"/>
          </rPr>
          <t xml:space="preserve">03/13/2008
430000 --&gt; 419500
</t>
        </r>
      </text>
    </comment>
    <comment ref="B248" authorId="0">
      <text>
        <r>
          <rPr>
            <sz val="9"/>
            <color indexed="81"/>
            <rFont val="Tahoma"/>
            <charset val="1"/>
          </rPr>
          <t xml:space="preserve">03/19/2008
Contingent --&gt; Active
02/27/2008
Subject To Inspection --&gt; Contingent
</t>
        </r>
      </text>
    </comment>
    <comment ref="AS248" authorId="1">
      <text>
        <r>
          <rPr>
            <sz val="8"/>
            <color indexed="81"/>
            <rFont val="Tahoma"/>
            <charset val="1"/>
          </rPr>
          <t xml:space="preserve">03/19/2008
http://www.windermere.com/index.cfm?fuseaction=Listing.ListingDetail&amp;ListingID=18779507 --&gt; http://www.windermere.com/index.cfm?fuseaction=Listing.ListingDetail&amp;ListingID=19567821
</t>
        </r>
      </text>
    </comment>
    <comment ref="AT248" authorId="1">
      <text>
        <r>
          <rPr>
            <sz val="8"/>
            <color indexed="81"/>
            <rFont val="Tahoma"/>
            <charset val="1"/>
          </rPr>
          <t xml:space="preserve">03/19/2008
18779507 --&gt; 19567821
</t>
        </r>
      </text>
    </comment>
    <comment ref="F251" authorId="1">
      <text>
        <r>
          <rPr>
            <sz val="8"/>
            <color indexed="81"/>
            <rFont val="Tahoma"/>
            <charset val="1"/>
          </rPr>
          <t xml:space="preserve">03/13/2008
439500 --&gt; 430000
</t>
        </r>
      </text>
    </comment>
    <comment ref="F256" authorId="1">
      <text>
        <r>
          <rPr>
            <sz val="8"/>
            <color indexed="81"/>
            <rFont val="Tahoma"/>
            <charset val="1"/>
          </rPr>
          <t xml:space="preserve">03/13/2008
439950 --&gt; 425000
</t>
        </r>
      </text>
    </comment>
    <comment ref="F258" authorId="1">
      <text>
        <r>
          <rPr>
            <sz val="8"/>
            <color indexed="81"/>
            <rFont val="Tahoma"/>
            <charset val="1"/>
          </rPr>
          <t xml:space="preserve">03/13/2008
440000 --&gt; 415000
</t>
        </r>
      </text>
    </comment>
    <comment ref="F259" authorId="0">
      <text>
        <r>
          <rPr>
            <sz val="9"/>
            <color indexed="81"/>
            <rFont val="Tahoma"/>
            <charset val="1"/>
          </rPr>
          <t xml:space="preserve">02/21/2008
444000 --&gt; 435000
</t>
        </r>
      </text>
    </comment>
    <comment ref="F262" authorId="0">
      <text>
        <r>
          <rPr>
            <sz val="9"/>
            <color indexed="81"/>
            <rFont val="Tahoma"/>
            <charset val="1"/>
          </rPr>
          <t xml:space="preserve">02/19/2008
449000 --&gt; 439000
</t>
        </r>
      </text>
    </comment>
    <comment ref="B264" authorId="0">
      <text>
        <r>
          <rPr>
            <sz val="9"/>
            <color indexed="81"/>
            <rFont val="Tahoma"/>
            <charset val="1"/>
          </rPr>
          <t xml:space="preserve">02/23/2008
Active --&gt; Subject To Inspection
</t>
        </r>
      </text>
    </comment>
    <comment ref="F265" authorId="1">
      <text>
        <r>
          <rPr>
            <sz val="8"/>
            <color indexed="81"/>
            <rFont val="Tahoma"/>
            <charset val="1"/>
          </rPr>
          <t xml:space="preserve">03/13/2008
449500 --&gt; 439500
</t>
        </r>
      </text>
    </comment>
    <comment ref="B266" authorId="0">
      <text>
        <r>
          <rPr>
            <sz val="9"/>
            <color indexed="81"/>
            <rFont val="Tahoma"/>
            <charset val="1"/>
          </rPr>
          <t xml:space="preserve">03/06/2008
Active --&gt; Subject To Inspection
</t>
        </r>
      </text>
    </comment>
    <comment ref="B267" authorId="0">
      <text>
        <r>
          <rPr>
            <sz val="9"/>
            <color indexed="81"/>
            <rFont val="Tahoma"/>
            <charset val="1"/>
          </rPr>
          <t xml:space="preserve">02/19/2008
Active --&gt; Subject To Inspection
</t>
        </r>
      </text>
    </comment>
    <comment ref="F268" authorId="0">
      <text>
        <r>
          <rPr>
            <sz val="9"/>
            <color indexed="81"/>
            <rFont val="Tahoma"/>
            <charset val="1"/>
          </rPr>
          <t xml:space="preserve">02/28/2008
449900 --&gt; 434900
</t>
        </r>
      </text>
    </comment>
    <comment ref="B271" authorId="0">
      <text>
        <r>
          <rPr>
            <sz val="9"/>
            <color indexed="81"/>
            <rFont val="Tahoma"/>
            <charset val="1"/>
          </rPr>
          <t xml:space="preserve">02/29/2008
Active --&gt; Subject To Inspection
</t>
        </r>
      </text>
    </comment>
    <comment ref="F271" authorId="0">
      <text>
        <r>
          <rPr>
            <sz val="9"/>
            <color indexed="81"/>
            <rFont val="Tahoma"/>
            <charset val="1"/>
          </rPr>
          <t xml:space="preserve">02/27/2008
449950 --&gt; 429950
</t>
        </r>
      </text>
    </comment>
    <comment ref="B273" authorId="1">
      <text>
        <r>
          <rPr>
            <sz val="8"/>
            <color indexed="81"/>
            <rFont val="Tahoma"/>
            <charset val="1"/>
          </rPr>
          <t xml:space="preserve">03/18/2008
Active --&gt; Subject To Inspection
</t>
        </r>
      </text>
    </comment>
    <comment ref="F276" authorId="1">
      <text>
        <r>
          <rPr>
            <sz val="8"/>
            <color indexed="81"/>
            <rFont val="Tahoma"/>
            <charset val="1"/>
          </rPr>
          <t xml:space="preserve">03/13/2008
450000 --&gt; 439000
</t>
        </r>
      </text>
    </comment>
    <comment ref="AS276" authorId="1">
      <text>
        <r>
          <rPr>
            <sz val="8"/>
            <color indexed="81"/>
            <rFont val="Tahoma"/>
            <charset val="1"/>
          </rPr>
          <t xml:space="preserve">03/13/2008
http://www.windermere.com/index.cfm?fuseaction=Listing.ListingDetail&amp;ListingID=19163838 --&gt; http://www.windermere.com/index.cfm?fuseaction=Listing.ListingDetail&amp;ListingID=19533879
</t>
        </r>
      </text>
    </comment>
    <comment ref="AT276" authorId="1">
      <text>
        <r>
          <rPr>
            <sz val="8"/>
            <color indexed="81"/>
            <rFont val="Tahoma"/>
            <charset val="1"/>
          </rPr>
          <t xml:space="preserve">03/13/2008
19163838 --&gt; 19533879
</t>
        </r>
      </text>
    </comment>
    <comment ref="F280" authorId="0">
      <text>
        <r>
          <rPr>
            <sz val="9"/>
            <color indexed="81"/>
            <rFont val="Tahoma"/>
            <charset val="1"/>
          </rPr>
          <t xml:space="preserve">03/05/2008
452900 --&gt; 449900
02/23/2008
455900 --&gt; 452900
</t>
        </r>
      </text>
    </comment>
    <comment ref="F281" authorId="0">
      <text>
        <r>
          <rPr>
            <sz val="9"/>
            <color indexed="81"/>
            <rFont val="Tahoma"/>
            <charset val="1"/>
          </rPr>
          <t xml:space="preserve">03/19/2008
447000 --&gt; 439000
02/28/2008
457000 --&gt; 447000
</t>
        </r>
      </text>
    </comment>
    <comment ref="B283" authorId="0">
      <text>
        <r>
          <rPr>
            <sz val="9"/>
            <color indexed="81"/>
            <rFont val="Tahoma"/>
            <charset val="1"/>
          </rPr>
          <t xml:space="preserve">02/23/2008
Active --&gt; Subject To Inspection
02/21/2008
Subject To Inspection --&gt; Active
02/18/2008
Active --&gt; Subject To Inspection
</t>
        </r>
      </text>
    </comment>
    <comment ref="B284" authorId="0">
      <text>
        <r>
          <rPr>
            <sz val="9"/>
            <color indexed="81"/>
            <rFont val="Tahoma"/>
            <charset val="1"/>
          </rPr>
          <t xml:space="preserve">03/05/2008
Active --&gt; Subject To Inspection
</t>
        </r>
      </text>
    </comment>
    <comment ref="F284" authorId="0">
      <text>
        <r>
          <rPr>
            <sz val="9"/>
            <color indexed="81"/>
            <rFont val="Tahoma"/>
            <charset val="1"/>
          </rPr>
          <t xml:space="preserve">02/29/2008
459950 --&gt; 447950
</t>
        </r>
      </text>
    </comment>
    <comment ref="B285" authorId="1">
      <text>
        <r>
          <rPr>
            <sz val="8"/>
            <color indexed="81"/>
            <rFont val="Tahoma"/>
            <charset val="1"/>
          </rPr>
          <t xml:space="preserve">03/13/2008
Active --&gt; Subject To Inspection
</t>
        </r>
      </text>
    </comment>
    <comment ref="F285" authorId="0">
      <text>
        <r>
          <rPr>
            <sz val="9"/>
            <color indexed="81"/>
            <rFont val="Tahoma"/>
            <charset val="1"/>
          </rPr>
          <t xml:space="preserve">02/29/2008
459950 --&gt; 409950
</t>
        </r>
      </text>
    </comment>
    <comment ref="F287" authorId="0">
      <text>
        <r>
          <rPr>
            <sz val="9"/>
            <color indexed="81"/>
            <rFont val="Tahoma"/>
            <family val="2"/>
          </rPr>
          <t xml:space="preserve">03/02/2008
460000 --&gt; 429000
</t>
        </r>
      </text>
    </comment>
    <comment ref="B288" authorId="0">
      <text>
        <r>
          <rPr>
            <sz val="9"/>
            <color indexed="81"/>
            <rFont val="Tahoma"/>
            <charset val="1"/>
          </rPr>
          <t xml:space="preserve">02/28/2008
Active --&gt; Subject To Inspection
</t>
        </r>
      </text>
    </comment>
    <comment ref="F289" authorId="1">
      <text>
        <r>
          <rPr>
            <sz val="8"/>
            <color indexed="81"/>
            <rFont val="Tahoma"/>
            <charset val="1"/>
          </rPr>
          <t xml:space="preserve">03/13/2008
465000 --&gt; 449500
</t>
        </r>
      </text>
    </comment>
    <comment ref="B291" authorId="0">
      <text>
        <r>
          <rPr>
            <sz val="9"/>
            <color indexed="81"/>
            <rFont val="Tahoma"/>
            <charset val="1"/>
          </rPr>
          <t xml:space="preserve">03/05/2008
Active --&gt; Subject To Inspection
</t>
        </r>
      </text>
    </comment>
    <comment ref="F291" authorId="0">
      <text>
        <r>
          <rPr>
            <sz val="9"/>
            <color indexed="81"/>
            <rFont val="Tahoma"/>
            <charset val="1"/>
          </rPr>
          <t xml:space="preserve">02/25/2008
465000 --&gt; 459000
</t>
        </r>
      </text>
    </comment>
    <comment ref="F294" authorId="1">
      <text>
        <r>
          <rPr>
            <sz val="8"/>
            <color indexed="81"/>
            <rFont val="Tahoma"/>
            <charset val="1"/>
          </rPr>
          <t xml:space="preserve">03/13/2008
465000 --&gt; 445000
</t>
        </r>
      </text>
    </comment>
    <comment ref="B295" authorId="0">
      <text>
        <r>
          <rPr>
            <sz val="9"/>
            <color indexed="81"/>
            <rFont val="Tahoma"/>
            <charset val="1"/>
          </rPr>
          <t xml:space="preserve">03/04/2008
Active --&gt; Subject To Inspection
</t>
        </r>
      </text>
    </comment>
    <comment ref="F295" authorId="0">
      <text>
        <r>
          <rPr>
            <sz val="9"/>
            <color indexed="81"/>
            <rFont val="Tahoma"/>
            <charset val="1"/>
          </rPr>
          <t xml:space="preserve">02/29/2008
469000 --&gt; 449950
</t>
        </r>
      </text>
    </comment>
    <comment ref="B296" authorId="1">
      <text>
        <r>
          <rPr>
            <sz val="8"/>
            <color indexed="81"/>
            <rFont val="Tahoma"/>
            <charset val="1"/>
          </rPr>
          <t xml:space="preserve">03/13/2008
Active --&gt; Subject To Inspection
</t>
        </r>
      </text>
    </comment>
    <comment ref="F296" authorId="0">
      <text>
        <r>
          <rPr>
            <sz val="9"/>
            <color indexed="81"/>
            <rFont val="Tahoma"/>
            <charset val="1"/>
          </rPr>
          <t xml:space="preserve">02/19/2008
469000 --&gt; 449000
</t>
        </r>
      </text>
    </comment>
    <comment ref="F297" authorId="0">
      <text>
        <r>
          <rPr>
            <sz val="9"/>
            <color indexed="81"/>
            <rFont val="Tahoma"/>
            <charset val="1"/>
          </rPr>
          <t xml:space="preserve">02/19/2008
469000 --&gt; 449000
</t>
        </r>
      </text>
    </comment>
    <comment ref="F298" authorId="0">
      <text>
        <r>
          <rPr>
            <sz val="9"/>
            <color indexed="81"/>
            <rFont val="Tahoma"/>
            <charset val="1"/>
          </rPr>
          <t xml:space="preserve">02/19/2008
469000 --&gt; 449000
</t>
        </r>
      </text>
    </comment>
    <comment ref="F299" authorId="0">
      <text>
        <r>
          <rPr>
            <sz val="9"/>
            <color indexed="81"/>
            <rFont val="Tahoma"/>
            <charset val="1"/>
          </rPr>
          <t xml:space="preserve">02/19/2008
469000 --&gt; 449000
</t>
        </r>
      </text>
    </comment>
    <comment ref="F301" authorId="1">
      <text>
        <r>
          <rPr>
            <sz val="8"/>
            <color indexed="81"/>
            <rFont val="Tahoma"/>
            <charset val="1"/>
          </rPr>
          <t xml:space="preserve">03/13/2008
469950 --&gt; 454950
</t>
        </r>
      </text>
    </comment>
    <comment ref="B304" authorId="0">
      <text>
        <r>
          <rPr>
            <sz val="9"/>
            <color indexed="81"/>
            <rFont val="Tahoma"/>
            <charset val="1"/>
          </rPr>
          <t xml:space="preserve">03/04/2008
Subject To Inspection --&gt; Active
02/28/2008
Active --&gt; Subject To Inspection
</t>
        </r>
      </text>
    </comment>
    <comment ref="E304" authorId="0">
      <text>
        <r>
          <rPr>
            <sz val="9"/>
            <color indexed="81"/>
            <rFont val="Tahoma"/>
            <charset val="1"/>
          </rPr>
          <t xml:space="preserve">02/23/2008
5762 25 Ave NE --&gt; 5762 25th Ave NE
</t>
        </r>
      </text>
    </comment>
    <comment ref="F304" authorId="0">
      <text>
        <r>
          <rPr>
            <sz val="9"/>
            <color indexed="81"/>
            <rFont val="Tahoma"/>
            <charset val="1"/>
          </rPr>
          <t xml:space="preserve">02/23/2008
469950 --&gt; 429000
</t>
        </r>
      </text>
    </comment>
    <comment ref="H304" authorId="1">
      <text>
        <r>
          <rPr>
            <sz val="8"/>
            <color indexed="81"/>
            <rFont val="Tahoma"/>
            <charset val="1"/>
          </rPr>
          <t xml:space="preserve">03/18/2008
1560 --&gt; 1700
</t>
        </r>
      </text>
    </comment>
    <comment ref="F305" authorId="1">
      <text>
        <r>
          <rPr>
            <sz val="8"/>
            <color indexed="81"/>
            <rFont val="Tahoma"/>
            <charset val="1"/>
          </rPr>
          <t xml:space="preserve">03/13/2008
469950 --&gt; 459000
</t>
        </r>
      </text>
    </comment>
    <comment ref="F306" authorId="1">
      <text>
        <r>
          <rPr>
            <sz val="8"/>
            <color indexed="81"/>
            <rFont val="Tahoma"/>
            <charset val="1"/>
          </rPr>
          <t xml:space="preserve">03/13/2008
470000 --&gt; 450000
</t>
        </r>
      </text>
    </comment>
    <comment ref="F307" authorId="0">
      <text>
        <r>
          <rPr>
            <sz val="9"/>
            <color indexed="81"/>
            <rFont val="Tahoma"/>
            <charset val="1"/>
          </rPr>
          <t xml:space="preserve">02/28/2008
475000 --&gt; 449950
</t>
        </r>
      </text>
    </comment>
    <comment ref="F309" authorId="0">
      <text>
        <r>
          <rPr>
            <sz val="9"/>
            <color indexed="81"/>
            <rFont val="Tahoma"/>
            <charset val="1"/>
          </rPr>
          <t xml:space="preserve">03/06/2008
475000 --&gt; 450000
</t>
        </r>
      </text>
    </comment>
    <comment ref="B310" authorId="0">
      <text>
        <r>
          <rPr>
            <sz val="9"/>
            <color indexed="81"/>
            <rFont val="Tahoma"/>
            <charset val="1"/>
          </rPr>
          <t xml:space="preserve">02/19/2008
Active --&gt; Subject To Inspection
</t>
        </r>
      </text>
    </comment>
    <comment ref="F312" authorId="0">
      <text>
        <r>
          <rPr>
            <sz val="9"/>
            <color indexed="81"/>
            <rFont val="Tahoma"/>
            <charset val="1"/>
          </rPr>
          <t xml:space="preserve">03/06/2008
475000 --&gt; 464950
</t>
        </r>
      </text>
    </comment>
    <comment ref="AS312" authorId="0">
      <text>
        <r>
          <rPr>
            <sz val="9"/>
            <color indexed="81"/>
            <rFont val="Tahoma"/>
            <charset val="1"/>
          </rPr>
          <t xml:space="preserve">02/23/2008
http://www.windermere.com/index.cfm?fuseaction=Listing.ListingDetail&amp;ListingID=19355824 --&gt; http://www.windermere.com/index.cfm?fuseaction=Listing.ListingDetail&amp;ListingID=19408406
</t>
        </r>
      </text>
    </comment>
    <comment ref="AT312" authorId="0">
      <text>
        <r>
          <rPr>
            <sz val="9"/>
            <color indexed="81"/>
            <rFont val="Tahoma"/>
            <charset val="1"/>
          </rPr>
          <t xml:space="preserve">02/23/2008
19355824 --&gt; 19408406
</t>
        </r>
      </text>
    </comment>
    <comment ref="B313" authorId="0">
      <text>
        <r>
          <rPr>
            <sz val="9"/>
            <color indexed="81"/>
            <rFont val="Tahoma"/>
            <charset val="1"/>
          </rPr>
          <t xml:space="preserve">03/13/2008
Subject To Inspection --&gt; Active
03/05/2008
Active --&gt; Subject To Inspection
</t>
        </r>
      </text>
    </comment>
    <comment ref="B314" authorId="0">
      <text>
        <r>
          <rPr>
            <sz val="9"/>
            <color indexed="81"/>
            <rFont val="Tahoma"/>
            <charset val="1"/>
          </rPr>
          <t xml:space="preserve">03/13/2008
Subject To Inspection --&gt; Active
02/21/2008
Active --&gt; Subject To Inspection
</t>
        </r>
      </text>
    </comment>
    <comment ref="F317" authorId="0">
      <text>
        <r>
          <rPr>
            <sz val="9"/>
            <color indexed="81"/>
            <rFont val="Tahoma"/>
            <charset val="1"/>
          </rPr>
          <t xml:space="preserve">02/28/2008
479900 --&gt; 450000
</t>
        </r>
      </text>
    </comment>
    <comment ref="F320" authorId="0">
      <text>
        <r>
          <rPr>
            <sz val="9"/>
            <color indexed="81"/>
            <rFont val="Tahoma"/>
            <charset val="1"/>
          </rPr>
          <t xml:space="preserve">02/29/2008
479950 --&gt; 447950
</t>
        </r>
      </text>
    </comment>
    <comment ref="B324" authorId="1">
      <text>
        <r>
          <rPr>
            <sz val="8"/>
            <color indexed="81"/>
            <rFont val="Tahoma"/>
            <charset val="1"/>
          </rPr>
          <t xml:space="preserve">03/13/2008
Active --&gt; Subject To Inspection
</t>
        </r>
      </text>
    </comment>
    <comment ref="B326" authorId="1">
      <text>
        <r>
          <rPr>
            <sz val="8"/>
            <color indexed="81"/>
            <rFont val="Tahoma"/>
            <charset val="1"/>
          </rPr>
          <t xml:space="preserve">03/15/2008
Active --&gt; Subject To Inspection
</t>
        </r>
      </text>
    </comment>
    <comment ref="F329" authorId="1">
      <text>
        <r>
          <rPr>
            <sz val="8"/>
            <color indexed="81"/>
            <rFont val="Tahoma"/>
            <charset val="1"/>
          </rPr>
          <t xml:space="preserve">03/13/2008
479950 --&gt; 469950
</t>
        </r>
      </text>
    </comment>
    <comment ref="B330" authorId="0">
      <text>
        <r>
          <rPr>
            <sz val="9"/>
            <color indexed="81"/>
            <rFont val="Tahoma"/>
            <charset val="1"/>
          </rPr>
          <t xml:space="preserve">02/27/2008
Active --&gt; Subject To Inspection
</t>
        </r>
      </text>
    </comment>
    <comment ref="B331" authorId="0">
      <text>
        <r>
          <rPr>
            <sz val="9"/>
            <color indexed="81"/>
            <rFont val="Tahoma"/>
            <family val="2"/>
          </rPr>
          <t xml:space="preserve">03/02/2008
Subject To Inspection --&gt; Active
</t>
        </r>
      </text>
    </comment>
    <comment ref="B332" authorId="0">
      <text>
        <r>
          <rPr>
            <sz val="9"/>
            <color indexed="81"/>
            <rFont val="Tahoma"/>
            <charset val="1"/>
          </rPr>
          <t xml:space="preserve">02/25/2008
Active --&gt; Subject To Inspection
</t>
        </r>
      </text>
    </comment>
    <comment ref="B333" authorId="0">
      <text>
        <r>
          <rPr>
            <sz val="9"/>
            <color indexed="81"/>
            <rFont val="Tahoma"/>
            <family val="2"/>
          </rPr>
          <t xml:space="preserve">03/02/2008
Active --&gt; Subject To Inspection
</t>
        </r>
      </text>
    </comment>
    <comment ref="F334" authorId="0">
      <text>
        <r>
          <rPr>
            <sz val="9"/>
            <color indexed="81"/>
            <rFont val="Tahoma"/>
            <family val="2"/>
          </rPr>
          <t xml:space="preserve">03/02/2008
485000 --&gt; 469000
</t>
        </r>
      </text>
    </comment>
    <comment ref="F337" authorId="0">
      <text>
        <r>
          <rPr>
            <sz val="9"/>
            <color indexed="81"/>
            <rFont val="Tahoma"/>
            <charset val="1"/>
          </rPr>
          <t xml:space="preserve">02/28/2008
489000 --&gt; 479950
</t>
        </r>
      </text>
    </comment>
    <comment ref="B338" authorId="1">
      <text>
        <r>
          <rPr>
            <sz val="8"/>
            <color indexed="81"/>
            <rFont val="Tahoma"/>
            <charset val="1"/>
          </rPr>
          <t xml:space="preserve">03/13/2008
Active --&gt; Subject To Inspection
</t>
        </r>
      </text>
    </comment>
    <comment ref="F338" authorId="0">
      <text>
        <r>
          <rPr>
            <sz val="9"/>
            <color indexed="81"/>
            <rFont val="Tahoma"/>
            <charset val="1"/>
          </rPr>
          <t xml:space="preserve">02/20/2008
489000 --&gt; 474950
</t>
        </r>
      </text>
    </comment>
    <comment ref="F344" authorId="0">
      <text>
        <r>
          <rPr>
            <sz val="9"/>
            <color indexed="81"/>
            <rFont val="Tahoma"/>
            <charset val="1"/>
          </rPr>
          <t xml:space="preserve">03/13/2008
482500 --&gt; 492500
03/05/2008
492500 --&gt; 482500
</t>
        </r>
      </text>
    </comment>
    <comment ref="F348" authorId="0">
      <text>
        <r>
          <rPr>
            <sz val="9"/>
            <color indexed="81"/>
            <rFont val="Tahoma"/>
            <charset val="1"/>
          </rPr>
          <t xml:space="preserve">02/27/2008
495000 --&gt; 485000
</t>
        </r>
      </text>
    </comment>
    <comment ref="B350" authorId="0">
      <text>
        <r>
          <rPr>
            <sz val="9"/>
            <color indexed="81"/>
            <rFont val="Tahoma"/>
            <charset val="1"/>
          </rPr>
          <t xml:space="preserve">02/23/2008
Active --&gt; Subject To Inspection
</t>
        </r>
      </text>
    </comment>
    <comment ref="F352" authorId="0">
      <text>
        <r>
          <rPr>
            <sz val="9"/>
            <color indexed="81"/>
            <rFont val="Tahoma"/>
            <charset val="1"/>
          </rPr>
          <t xml:space="preserve">02/20/2008
499000 --&gt; 475000
</t>
        </r>
      </text>
    </comment>
    <comment ref="B353" authorId="0">
      <text>
        <r>
          <rPr>
            <sz val="9"/>
            <color indexed="81"/>
            <rFont val="Tahoma"/>
            <charset val="1"/>
          </rPr>
          <t xml:space="preserve">02/19/2008
Active --&gt; Subject To Inspection
</t>
        </r>
      </text>
    </comment>
    <comment ref="B354" authorId="1">
      <text>
        <r>
          <rPr>
            <sz val="8"/>
            <color indexed="81"/>
            <rFont val="Tahoma"/>
            <charset val="1"/>
          </rPr>
          <t xml:space="preserve">03/15/2008
Active --&gt; Contingent
</t>
        </r>
      </text>
    </comment>
    <comment ref="B355" authorId="0">
      <text>
        <r>
          <rPr>
            <sz val="9"/>
            <color indexed="81"/>
            <rFont val="Tahoma"/>
            <charset val="1"/>
          </rPr>
          <t xml:space="preserve">02/25/2008
Active --&gt; Subject To Inspection
</t>
        </r>
      </text>
    </comment>
    <comment ref="J357" authorId="1">
      <text>
        <r>
          <rPr>
            <sz val="8"/>
            <color indexed="81"/>
            <rFont val="Tahoma"/>
            <charset val="1"/>
          </rPr>
          <t xml:space="preserve">03/13/2008
3 --&gt; 2
</t>
        </r>
      </text>
    </comment>
    <comment ref="F358" authorId="0">
      <text>
        <r>
          <rPr>
            <sz val="9"/>
            <color indexed="81"/>
            <rFont val="Tahoma"/>
            <charset val="1"/>
          </rPr>
          <t xml:space="preserve">03/04/2008
499950 --&gt; 474950
</t>
        </r>
      </text>
    </comment>
    <comment ref="F360" authorId="0">
      <text>
        <r>
          <rPr>
            <sz val="9"/>
            <color indexed="81"/>
            <rFont val="Tahoma"/>
            <charset val="1"/>
          </rPr>
          <t xml:space="preserve">02/23/2008
499950 --&gt; 489950
</t>
        </r>
      </text>
    </comment>
    <comment ref="F361" authorId="0">
      <text>
        <r>
          <rPr>
            <sz val="9"/>
            <color indexed="81"/>
            <rFont val="Tahoma"/>
            <charset val="1"/>
          </rPr>
          <t xml:space="preserve">02/28/2008
489950 --&gt; 474995
02/23/2008
499950 --&gt; 489950
</t>
        </r>
      </text>
    </comment>
    <comment ref="B363" authorId="1">
      <text>
        <r>
          <rPr>
            <sz val="8"/>
            <color indexed="81"/>
            <rFont val="Tahoma"/>
            <charset val="1"/>
          </rPr>
          <t xml:space="preserve">03/13/2008
Active --&gt; Subject To Inspection
</t>
        </r>
      </text>
    </comment>
    <comment ref="B364" authorId="0">
      <text>
        <r>
          <rPr>
            <sz val="9"/>
            <color indexed="81"/>
            <rFont val="Tahoma"/>
            <charset val="1"/>
          </rPr>
          <t xml:space="preserve">02/29/2008
Active --&gt; Subject To Inspection
</t>
        </r>
      </text>
    </comment>
    <comment ref="F368" authorId="1">
      <text>
        <r>
          <rPr>
            <sz val="8"/>
            <color indexed="81"/>
            <rFont val="Tahoma"/>
            <charset val="1"/>
          </rPr>
          <t xml:space="preserve">03/13/2008
499999 --&gt; 489999
</t>
        </r>
      </text>
    </comment>
    <comment ref="F369" authorId="0">
      <text>
        <r>
          <rPr>
            <sz val="9"/>
            <color indexed="81"/>
            <rFont val="Tahoma"/>
            <charset val="1"/>
          </rPr>
          <t xml:space="preserve">03/19/2008
500000 --&gt; 480000
02/28/2008
499999 --&gt; 500000
</t>
        </r>
      </text>
    </comment>
    <comment ref="J369" authorId="1">
      <text>
        <r>
          <rPr>
            <sz val="8"/>
            <color indexed="81"/>
            <rFont val="Tahoma"/>
            <charset val="1"/>
          </rPr>
          <t xml:space="preserve">03/18/2008
4 --&gt; 3
</t>
        </r>
      </text>
    </comment>
    <comment ref="F371" authorId="1">
      <text>
        <r>
          <rPr>
            <sz val="8"/>
            <color indexed="81"/>
            <rFont val="Tahoma"/>
            <charset val="1"/>
          </rPr>
          <t xml:space="preserve">03/13/2008
500000 --&gt; 495000
</t>
        </r>
      </text>
    </comment>
    <comment ref="E372" authorId="0">
      <text>
        <r>
          <rPr>
            <sz val="9"/>
            <color indexed="81"/>
            <rFont val="Tahoma"/>
            <charset val="1"/>
          </rPr>
          <t xml:space="preserve">02/19/2008
4108 Greenwood Ave N --&gt; 4108 Greenwood (Not Busy) Ave N
</t>
        </r>
      </text>
    </comment>
    <comment ref="B375" authorId="1">
      <text>
        <r>
          <rPr>
            <sz val="8"/>
            <color indexed="81"/>
            <rFont val="Tahoma"/>
            <charset val="1"/>
          </rPr>
          <t xml:space="preserve">03/13/2008
Active --&gt; Subject To Inspection
</t>
        </r>
      </text>
    </comment>
    <comment ref="F375" authorId="1">
      <text>
        <r>
          <rPr>
            <sz val="8"/>
            <color indexed="81"/>
            <rFont val="Tahoma"/>
            <charset val="1"/>
          </rPr>
          <t xml:space="preserve">03/13/2008
524924 --&gt; 509000
</t>
        </r>
      </text>
    </comment>
    <comment ref="B377" authorId="1">
      <text>
        <r>
          <rPr>
            <sz val="8"/>
            <color indexed="81"/>
            <rFont val="Tahoma"/>
            <charset val="1"/>
          </rPr>
          <t xml:space="preserve">03/13/2008
Active --&gt; Subject To Inspection
</t>
        </r>
      </text>
    </comment>
    <comment ref="F378" authorId="1">
      <text>
        <r>
          <rPr>
            <sz val="8"/>
            <color indexed="81"/>
            <rFont val="Tahoma"/>
            <charset val="1"/>
          </rPr>
          <t xml:space="preserve">03/13/2008
535000 --&gt; 514950
</t>
        </r>
      </text>
    </comment>
    <comment ref="F380" authorId="0">
      <text>
        <r>
          <rPr>
            <sz val="9"/>
            <color indexed="81"/>
            <rFont val="Tahoma"/>
            <charset val="1"/>
          </rPr>
          <t xml:space="preserve">02/23/2008
549500 --&gt; 539500
</t>
        </r>
      </text>
    </comment>
    <comment ref="B381" authorId="0">
      <text>
        <r>
          <rPr>
            <sz val="9"/>
            <color indexed="81"/>
            <rFont val="Tahoma"/>
            <charset val="1"/>
          </rPr>
          <t xml:space="preserve">02/29/2008
Active --&gt; Subject To Inspection
</t>
        </r>
      </text>
    </comment>
    <comment ref="F382" authorId="0">
      <text>
        <r>
          <rPr>
            <sz val="9"/>
            <color indexed="81"/>
            <rFont val="Tahoma"/>
            <charset val="1"/>
          </rPr>
          <t xml:space="preserve">02/20/2008
549950 --&gt; 535000
</t>
        </r>
      </text>
    </comment>
    <comment ref="B385" authorId="1">
      <text>
        <r>
          <rPr>
            <sz val="8"/>
            <color indexed="81"/>
            <rFont val="Tahoma"/>
            <charset val="1"/>
          </rPr>
          <t xml:space="preserve">03/13/2008
Active --&gt; Subject To Inspection
</t>
        </r>
      </text>
    </comment>
    <comment ref="F385" authorId="0">
      <text>
        <r>
          <rPr>
            <sz val="9"/>
            <color indexed="81"/>
            <rFont val="Tahoma"/>
            <charset val="1"/>
          </rPr>
          <t xml:space="preserve">02/28/2008
559000 --&gt; 509000
</t>
        </r>
      </text>
    </comment>
    <comment ref="H385" authorId="0">
      <text>
        <r>
          <rPr>
            <sz val="9"/>
            <color indexed="81"/>
            <rFont val="Tahoma"/>
            <charset val="1"/>
          </rPr>
          <t xml:space="preserve">02/28/2008
2360 --&gt; 1962
</t>
        </r>
      </text>
    </comment>
    <comment ref="B388" authorId="1">
      <text>
        <r>
          <rPr>
            <sz val="8"/>
            <color indexed="81"/>
            <rFont val="Tahoma"/>
            <charset val="1"/>
          </rPr>
          <t xml:space="preserve">03/18/2008
Active --&gt; Subject To Inspection
</t>
        </r>
      </text>
    </comment>
    <comment ref="D388" authorId="0">
      <text>
        <r>
          <rPr>
            <sz val="9"/>
            <color indexed="81"/>
            <rFont val="Tahoma"/>
            <charset val="1"/>
          </rPr>
          <t xml:space="preserve">02/21/2008
Crown Hill --&gt; Ballard
</t>
        </r>
      </text>
    </comment>
    <comment ref="F388" authorId="0">
      <text>
        <r>
          <rPr>
            <sz val="9"/>
            <color indexed="81"/>
            <rFont val="Tahoma"/>
            <charset val="1"/>
          </rPr>
          <t xml:space="preserve">03/06/2008
554950 --&gt; 539950
02/19/2008
564950 --&gt; 554950
</t>
        </r>
      </text>
    </comment>
    <comment ref="B389" authorId="0">
      <text>
        <r>
          <rPr>
            <sz val="9"/>
            <color indexed="81"/>
            <rFont val="Tahoma"/>
            <charset val="1"/>
          </rPr>
          <t xml:space="preserve">02/23/2008
Active --&gt; Subject To Inspection
</t>
        </r>
      </text>
    </comment>
    <comment ref="F390" authorId="1">
      <text>
        <r>
          <rPr>
            <sz val="8"/>
            <color indexed="81"/>
            <rFont val="Tahoma"/>
            <charset val="1"/>
          </rPr>
          <t xml:space="preserve">03/18/2008
575000 --&gt; 550000
</t>
        </r>
      </text>
    </comment>
    <comment ref="F391" authorId="0">
      <text>
        <r>
          <rPr>
            <sz val="9"/>
            <color indexed="81"/>
            <rFont val="Tahoma"/>
            <charset val="1"/>
          </rPr>
          <t xml:space="preserve">02/27/2008
575000 --&gt; 565000
</t>
        </r>
      </text>
    </comment>
    <comment ref="F393" authorId="1">
      <text>
        <r>
          <rPr>
            <sz val="8"/>
            <color indexed="81"/>
            <rFont val="Tahoma"/>
            <charset val="1"/>
          </rPr>
          <t xml:space="preserve">03/13/2008
585000 --&gt; 575000
</t>
        </r>
      </text>
    </comment>
    <comment ref="F399" authorId="0">
      <text>
        <r>
          <rPr>
            <sz val="9"/>
            <color indexed="81"/>
            <rFont val="Tahoma"/>
            <family val="2"/>
          </rPr>
          <t xml:space="preserve">03/02/2008
599000 --&gt; 589000
</t>
        </r>
      </text>
    </comment>
    <comment ref="F401" authorId="0">
      <text>
        <r>
          <rPr>
            <sz val="9"/>
            <color indexed="81"/>
            <rFont val="Tahoma"/>
            <charset val="1"/>
          </rPr>
          <t xml:space="preserve">03/15/2008
599900 --&gt; 585000
02/25/2008
615000 --&gt; 599900
</t>
        </r>
      </text>
    </comment>
    <comment ref="F402" authorId="1">
      <text>
        <r>
          <rPr>
            <sz val="8"/>
            <color indexed="81"/>
            <rFont val="Tahoma"/>
            <charset val="1"/>
          </rPr>
          <t xml:space="preserve">03/13/2008
618000 --&gt; 599950
</t>
        </r>
      </text>
    </comment>
    <comment ref="AS403" authorId="0">
      <text>
        <r>
          <rPr>
            <sz val="9"/>
            <color indexed="81"/>
            <rFont val="Tahoma"/>
            <charset val="1"/>
          </rPr>
          <t xml:space="preserve">03/04/2008
http://www.windermere.com/index.cfm?fuseaction=Listing.ListingDetail&amp;ListingID=18900215 --&gt; http://www.windermere.com/index.cfm?fuseaction=Listing.ListingDetail&amp;ListingID=19481214
</t>
        </r>
      </text>
    </comment>
    <comment ref="AT403" authorId="0">
      <text>
        <r>
          <rPr>
            <sz val="9"/>
            <color indexed="81"/>
            <rFont val="Tahoma"/>
            <charset val="1"/>
          </rPr>
          <t xml:space="preserve">03/04/2008
18900215 --&gt; 19481214
</t>
        </r>
      </text>
    </comment>
    <comment ref="F404" authorId="1">
      <text>
        <r>
          <rPr>
            <sz val="8"/>
            <color indexed="81"/>
            <rFont val="Tahoma"/>
            <charset val="1"/>
          </rPr>
          <t xml:space="preserve">03/15/2008
625000 --&gt; 612500
</t>
        </r>
      </text>
    </comment>
    <comment ref="J404" authorId="0">
      <text>
        <r>
          <rPr>
            <sz val="9"/>
            <color indexed="81"/>
            <rFont val="Tahoma"/>
            <charset val="1"/>
          </rPr>
          <t xml:space="preserve">03/04/2008
3 --&gt; 4
</t>
        </r>
      </text>
    </comment>
    <comment ref="F409" authorId="0">
      <text>
        <r>
          <rPr>
            <sz val="9"/>
            <color indexed="81"/>
            <rFont val="Tahoma"/>
            <charset val="1"/>
          </rPr>
          <t xml:space="preserve">02/23/2008
675000 --&gt; 629950
</t>
        </r>
      </text>
    </comment>
    <comment ref="F411" authorId="0">
      <text>
        <r>
          <rPr>
            <sz val="9"/>
            <color indexed="81"/>
            <rFont val="Tahoma"/>
            <charset val="1"/>
          </rPr>
          <t xml:space="preserve">02/23/2008
699950 --&gt; 689950
</t>
        </r>
      </text>
    </comment>
    <comment ref="F412" authorId="0">
      <text>
        <r>
          <rPr>
            <sz val="9"/>
            <color indexed="81"/>
            <rFont val="Tahoma"/>
            <charset val="1"/>
          </rPr>
          <t xml:space="preserve">02/23/2008
699950 --&gt; 689950
</t>
        </r>
      </text>
    </comment>
    <comment ref="F413" authorId="0">
      <text>
        <r>
          <rPr>
            <sz val="9"/>
            <color indexed="81"/>
            <rFont val="Tahoma"/>
            <charset val="1"/>
          </rPr>
          <t xml:space="preserve">02/23/2008
699950 --&gt; 689950
</t>
        </r>
      </text>
    </comment>
    <comment ref="F414" authorId="0">
      <text>
        <r>
          <rPr>
            <sz val="9"/>
            <color indexed="81"/>
            <rFont val="Tahoma"/>
            <charset val="1"/>
          </rPr>
          <t xml:space="preserve">02/23/2008
699950 --&gt; 694950
</t>
        </r>
      </text>
    </comment>
    <comment ref="F416" authorId="0">
      <text>
        <r>
          <rPr>
            <sz val="9"/>
            <color indexed="81"/>
            <rFont val="Tahoma"/>
            <charset val="1"/>
          </rPr>
          <t xml:space="preserve">02/23/2008
709950 --&gt; 689950
</t>
        </r>
      </text>
    </comment>
    <comment ref="F417" authorId="0">
      <text>
        <r>
          <rPr>
            <sz val="9"/>
            <color indexed="81"/>
            <rFont val="Tahoma"/>
            <charset val="1"/>
          </rPr>
          <t xml:space="preserve">02/23/2008
719950 --&gt; 699950
</t>
        </r>
      </text>
    </comment>
    <comment ref="H418" authorId="1">
      <text>
        <r>
          <rPr>
            <sz val="8"/>
            <color indexed="81"/>
            <rFont val="Tahoma"/>
            <charset val="1"/>
          </rPr>
          <t xml:space="preserve">03/13/2008
2240 --&gt; 2200
</t>
        </r>
      </text>
    </comment>
    <comment ref="F420" authorId="0">
      <text>
        <r>
          <rPr>
            <sz val="9"/>
            <color indexed="81"/>
            <rFont val="Tahoma"/>
            <charset val="1"/>
          </rPr>
          <t xml:space="preserve">02/23/2008
749950 --&gt; 725950
</t>
        </r>
      </text>
    </comment>
    <comment ref="D421" authorId="0">
      <text>
        <r>
          <rPr>
            <sz val="9"/>
            <color indexed="81"/>
            <rFont val="Tahoma"/>
            <charset val="1"/>
          </rPr>
          <t xml:space="preserve">03/13/2008
North Beach Water, Mountain Views --&gt; North Beach Open Sat, 3/15, 1-4
03/06/2008
Open March 2, 1-4 p.m. North Beach View --&gt; North Beach Water, Mountain Views
02/29/2008
North Beach Mountain &amp;amp; Sound Views --&gt; Open March 2, 1-4 p.m. North Beach View
02/20/2008
Open Feb. 17 from 1-4 --&gt; North Beach Mountain &amp;amp; Sound Views
</t>
        </r>
      </text>
    </comment>
    <comment ref="F421" authorId="0">
      <text>
        <r>
          <rPr>
            <sz val="9"/>
            <color indexed="81"/>
            <rFont val="Tahoma"/>
            <family val="2"/>
          </rPr>
          <t xml:space="preserve">03/02/2008
776000 --&gt; 751800
</t>
        </r>
      </text>
    </comment>
    <comment ref="K421" authorId="1">
      <text>
        <r>
          <rPr>
            <sz val="8"/>
            <color indexed="81"/>
            <rFont val="Tahoma"/>
            <charset val="1"/>
          </rPr>
          <t xml:space="preserve">03/15/2008
1.75 --&gt; 2
</t>
        </r>
      </text>
    </comment>
    <comment ref="F422" authorId="1">
      <text>
        <r>
          <rPr>
            <sz val="8"/>
            <color indexed="81"/>
            <rFont val="Tahoma"/>
            <charset val="1"/>
          </rPr>
          <t xml:space="preserve">03/13/2008
799000 --&gt; 789000
</t>
        </r>
      </text>
    </comment>
    <comment ref="B423" authorId="0">
      <text>
        <r>
          <rPr>
            <sz val="9"/>
            <color indexed="81"/>
            <rFont val="Tahoma"/>
            <charset val="1"/>
          </rPr>
          <t xml:space="preserve">02/27/2008
Active --&gt; Subject To Inspection
</t>
        </r>
      </text>
    </comment>
    <comment ref="B428" authorId="0">
      <text>
        <r>
          <rPr>
            <sz val="9"/>
            <color indexed="81"/>
            <rFont val="Tahoma"/>
            <charset val="1"/>
          </rPr>
          <t xml:space="preserve">02/25/2008
Active --&gt; Subject To Inspection
</t>
        </r>
      </text>
    </comment>
    <comment ref="F430" authorId="0">
      <text>
        <r>
          <rPr>
            <sz val="9"/>
            <color indexed="81"/>
            <rFont val="Tahoma"/>
            <charset val="1"/>
          </rPr>
          <t xml:space="preserve">02/29/2008
968950 --&gt; 948950
</t>
        </r>
      </text>
    </comment>
    <comment ref="F432" authorId="1">
      <text>
        <r>
          <rPr>
            <sz val="8"/>
            <color indexed="81"/>
            <rFont val="Tahoma"/>
            <charset val="1"/>
          </rPr>
          <t xml:space="preserve">03/13/2008
997000 --&gt; 969500
</t>
        </r>
      </text>
    </comment>
    <comment ref="D433" authorId="0">
      <text>
        <r>
          <rPr>
            <sz val="9"/>
            <color indexed="81"/>
            <rFont val="Tahoma"/>
            <charset val="1"/>
          </rPr>
          <t xml:space="preserve">02/21/2008
North Beach --&gt; New Construction in North Beach
</t>
        </r>
      </text>
    </comment>
    <comment ref="F433" authorId="0">
      <text>
        <r>
          <rPr>
            <sz val="9"/>
            <color indexed="81"/>
            <rFont val="Tahoma"/>
            <charset val="1"/>
          </rPr>
          <t xml:space="preserve">03/06/2008
1089000 --&gt; 1049000
</t>
        </r>
      </text>
    </comment>
    <comment ref="B435" authorId="0">
      <text>
        <r>
          <rPr>
            <sz val="9"/>
            <color indexed="81"/>
            <rFont val="Tahoma"/>
            <charset val="1"/>
          </rPr>
          <t xml:space="preserve">02/20/2008
Active --&gt; Subject To Inspection
</t>
        </r>
      </text>
    </comment>
    <comment ref="F437" authorId="0">
      <text>
        <r>
          <rPr>
            <sz val="9"/>
            <color indexed="81"/>
            <rFont val="Tahoma"/>
            <charset val="1"/>
          </rPr>
          <t xml:space="preserve">03/04/2008
1250000 --&gt; 1149950
</t>
        </r>
      </text>
    </comment>
    <comment ref="F441" authorId="0">
      <text>
        <r>
          <rPr>
            <sz val="9"/>
            <color indexed="81"/>
            <rFont val="Tahoma"/>
            <charset val="1"/>
          </rPr>
          <t xml:space="preserve">03/18/2008
1575000 --&gt; 1500000
02/29/2008
1592000 --&gt; 1575000
</t>
        </r>
      </text>
    </comment>
    <comment ref="J441" authorId="1">
      <text>
        <r>
          <rPr>
            <sz val="8"/>
            <color indexed="81"/>
            <rFont val="Tahoma"/>
            <charset val="1"/>
          </rPr>
          <t xml:space="preserve">03/18/2008
4 --&gt; 5
</t>
        </r>
      </text>
    </comment>
    <comment ref="AS441" authorId="0">
      <text>
        <r>
          <rPr>
            <sz val="9"/>
            <color indexed="81"/>
            <rFont val="Tahoma"/>
            <charset val="1"/>
          </rPr>
          <t xml:space="preserve">02/29/2008
http://www.windermere.com/index.cfm?fuseaction=Listing.ListingDetail&amp;ListingID=19066189 --&gt; http://www.windermere.com/index.cfm?fuseaction=Listing.ListingDetail&amp;ListingID=19461870
</t>
        </r>
      </text>
    </comment>
    <comment ref="AT441" authorId="0">
      <text>
        <r>
          <rPr>
            <sz val="9"/>
            <color indexed="81"/>
            <rFont val="Tahoma"/>
            <charset val="1"/>
          </rPr>
          <t xml:space="preserve">02/29/2008
19066189 --&gt; 19461870
</t>
        </r>
      </text>
    </comment>
    <comment ref="F445" authorId="1">
      <text>
        <r>
          <rPr>
            <sz val="8"/>
            <color indexed="81"/>
            <rFont val="Tahoma"/>
            <charset val="1"/>
          </rPr>
          <t xml:space="preserve">03/13/2008
376900 --&gt; 369950
</t>
        </r>
      </text>
    </comment>
    <comment ref="F446" authorId="1">
      <text>
        <r>
          <rPr>
            <sz val="8"/>
            <color indexed="81"/>
            <rFont val="Tahoma"/>
            <charset val="1"/>
          </rPr>
          <t xml:space="preserve">03/13/2008
376900 --&gt; 359950
</t>
        </r>
      </text>
    </comment>
    <comment ref="B447" authorId="1">
      <text>
        <r>
          <rPr>
            <sz val="8"/>
            <color indexed="81"/>
            <rFont val="Tahoma"/>
            <charset val="1"/>
          </rPr>
          <t xml:space="preserve">03/13/2008
Active --&gt; Subject To Inspection
</t>
        </r>
      </text>
    </comment>
    <comment ref="B448" authorId="0">
      <text>
        <r>
          <rPr>
            <sz val="9"/>
            <color indexed="81"/>
            <rFont val="Tahoma"/>
            <charset val="1"/>
          </rPr>
          <t xml:space="preserve">02/25/2008
Active --&gt; Subject To Inspection
</t>
        </r>
      </text>
    </comment>
    <comment ref="B449" authorId="0">
      <text>
        <r>
          <rPr>
            <sz val="9"/>
            <color indexed="81"/>
            <rFont val="Tahoma"/>
            <charset val="1"/>
          </rPr>
          <t xml:space="preserve">02/23/2008
Active --&gt; Subject To Inspection
</t>
        </r>
      </text>
    </comment>
    <comment ref="B450" authorId="0">
      <text>
        <r>
          <rPr>
            <sz val="9"/>
            <color indexed="81"/>
            <rFont val="Tahoma"/>
            <charset val="1"/>
          </rPr>
          <t xml:space="preserve">02/23/2008
Active --&gt; Subject To Inspection
</t>
        </r>
      </text>
    </comment>
    <comment ref="B452" authorId="1">
      <text>
        <r>
          <rPr>
            <sz val="8"/>
            <color indexed="81"/>
            <rFont val="Tahoma"/>
            <charset val="1"/>
          </rPr>
          <t xml:space="preserve">03/13/2008
Active --&gt; Subject To Inspection
</t>
        </r>
      </text>
    </comment>
    <comment ref="F452" authorId="0">
      <text>
        <r>
          <rPr>
            <sz val="9"/>
            <color indexed="81"/>
            <rFont val="Tahoma"/>
            <charset val="1"/>
          </rPr>
          <t xml:space="preserve">03/04/2008
508000 --&gt; 495000
</t>
        </r>
      </text>
    </comment>
    <comment ref="B453" authorId="0">
      <text>
        <r>
          <rPr>
            <sz val="9"/>
            <color indexed="81"/>
            <rFont val="Tahoma"/>
            <charset val="1"/>
          </rPr>
          <t xml:space="preserve">03/06/2008
Active --&gt; Subject To Inspection
</t>
        </r>
      </text>
    </comment>
    <comment ref="K454" authorId="0">
      <text>
        <r>
          <rPr>
            <sz val="9"/>
            <color indexed="81"/>
            <rFont val="Tahoma"/>
            <charset val="1"/>
          </rPr>
          <t xml:space="preserve">02/25/2008
2.25 --&gt; 3.25
</t>
        </r>
      </text>
    </comment>
    <comment ref="B455" authorId="0">
      <text>
        <r>
          <rPr>
            <sz val="9"/>
            <color indexed="81"/>
            <rFont val="Tahoma"/>
            <charset val="1"/>
          </rPr>
          <t xml:space="preserve">02/25/2008
Active --&gt; Subject To Inspection
</t>
        </r>
      </text>
    </comment>
    <comment ref="H456" authorId="0">
      <text>
        <r>
          <rPr>
            <sz val="9"/>
            <color indexed="81"/>
            <rFont val="Tahoma"/>
            <charset val="1"/>
          </rPr>
          <t xml:space="preserve">03/04/2008
2280 --&gt; 1800
</t>
        </r>
      </text>
    </comment>
    <comment ref="B458" authorId="0">
      <text>
        <r>
          <rPr>
            <sz val="9"/>
            <color indexed="81"/>
            <rFont val="Tahoma"/>
            <family val="2"/>
          </rPr>
          <t xml:space="preserve">03/02/2008
Active --&gt; Contingent
</t>
        </r>
      </text>
    </comment>
    <comment ref="B459" authorId="0">
      <text>
        <r>
          <rPr>
            <sz val="9"/>
            <color indexed="81"/>
            <rFont val="Tahoma"/>
            <charset val="1"/>
          </rPr>
          <t xml:space="preserve">02/23/2008
Active --&gt; Subject To Inspection
</t>
        </r>
      </text>
    </comment>
    <comment ref="D460" authorId="1">
      <text>
        <r>
          <rPr>
            <sz val="8"/>
            <color indexed="81"/>
            <rFont val="Tahoma"/>
            <charset val="1"/>
          </rPr>
          <t xml:space="preserve">03/13/2008
Broadview --&gt; Seattle
</t>
        </r>
      </text>
    </comment>
    <comment ref="F461" authorId="1">
      <text>
        <r>
          <rPr>
            <sz val="8"/>
            <color indexed="81"/>
            <rFont val="Tahoma"/>
            <charset val="1"/>
          </rPr>
          <t xml:space="preserve">03/15/2008
415000 --&gt; 394500
</t>
        </r>
      </text>
    </comment>
    <comment ref="E462" authorId="0">
      <text>
        <r>
          <rPr>
            <sz val="9"/>
            <color indexed="81"/>
            <rFont val="Tahoma"/>
            <charset val="1"/>
          </rPr>
          <t xml:space="preserve">02/23/2008
202 N 39th St --&gt; 204 N 39th St
</t>
        </r>
      </text>
    </comment>
    <comment ref="B463" authorId="0">
      <text>
        <r>
          <rPr>
            <sz val="9"/>
            <color indexed="81"/>
            <rFont val="Tahoma"/>
            <charset val="1"/>
          </rPr>
          <t xml:space="preserve">02/27/2008
Active --&gt; Subject To Inspection
</t>
        </r>
      </text>
    </comment>
    <comment ref="K463" authorId="0">
      <text>
        <r>
          <rPr>
            <sz val="9"/>
            <color indexed="81"/>
            <rFont val="Tahoma"/>
            <charset val="1"/>
          </rPr>
          <t xml:space="preserve">02/23/2008
3 --&gt; 2.5
</t>
        </r>
      </text>
    </comment>
    <comment ref="F465" authorId="0">
      <text>
        <r>
          <rPr>
            <sz val="9"/>
            <color indexed="81"/>
            <rFont val="Tahoma"/>
            <charset val="1"/>
          </rPr>
          <t xml:space="preserve">03/13/2008
474950 --&gt; 449950
03/04/2008
484950 --&gt; 474950
</t>
        </r>
      </text>
    </comment>
    <comment ref="AJ466" authorId="0">
      <text>
        <r>
          <rPr>
            <sz val="9"/>
            <color indexed="81"/>
            <rFont val="Tahoma"/>
            <charset val="1"/>
          </rPr>
          <t xml:space="preserve">02/27/2008
98170 --&gt; 98107
</t>
        </r>
      </text>
    </comment>
    <comment ref="B468" authorId="1">
      <text>
        <r>
          <rPr>
            <sz val="8"/>
            <color indexed="81"/>
            <rFont val="Tahoma"/>
            <charset val="1"/>
          </rPr>
          <t xml:space="preserve">03/13/2008
Active --&gt; Subject To Inspection
</t>
        </r>
      </text>
    </comment>
    <comment ref="K468" authorId="0">
      <text>
        <r>
          <rPr>
            <sz val="9"/>
            <color indexed="81"/>
            <rFont val="Tahoma"/>
            <charset val="1"/>
          </rPr>
          <t xml:space="preserve">02/25/2008
2.25 --&gt; 2
</t>
        </r>
      </text>
    </comment>
    <comment ref="F470" authorId="1">
      <text>
        <r>
          <rPr>
            <sz val="8"/>
            <color indexed="81"/>
            <rFont val="Tahoma"/>
            <charset val="1"/>
          </rPr>
          <t xml:space="preserve">03/15/2008
320000 --&gt; 305000
</t>
        </r>
      </text>
    </comment>
    <comment ref="AJ470" authorId="0">
      <text>
        <r>
          <rPr>
            <sz val="9"/>
            <color indexed="81"/>
            <rFont val="Tahoma"/>
            <charset val="1"/>
          </rPr>
          <t xml:space="preserve">02/27/2008
98115 --&gt; 98155
</t>
        </r>
      </text>
    </comment>
    <comment ref="B474" authorId="1">
      <text>
        <r>
          <rPr>
            <sz val="8"/>
            <color indexed="81"/>
            <rFont val="Tahoma"/>
            <charset val="1"/>
          </rPr>
          <t xml:space="preserve">03/13/2008
Active --&gt; Subject To Inspection
</t>
        </r>
      </text>
    </comment>
    <comment ref="F475" authorId="1">
      <text>
        <r>
          <rPr>
            <sz val="8"/>
            <color indexed="81"/>
            <rFont val="Tahoma"/>
            <charset val="1"/>
          </rPr>
          <t xml:space="preserve">03/19/2008
449950 --&gt; 429950
</t>
        </r>
      </text>
    </comment>
    <comment ref="B477" authorId="1">
      <text>
        <r>
          <rPr>
            <sz val="8"/>
            <color indexed="81"/>
            <rFont val="Tahoma"/>
            <charset val="1"/>
          </rPr>
          <t xml:space="preserve">03/13/2008
Active --&gt; Subject To Inspection
</t>
        </r>
      </text>
    </comment>
    <comment ref="F477" authorId="1">
      <text>
        <r>
          <rPr>
            <sz val="8"/>
            <color indexed="81"/>
            <rFont val="Tahoma"/>
            <charset val="1"/>
          </rPr>
          <t xml:space="preserve">03/13/2008
482800 --&gt; 475500
</t>
        </r>
      </text>
    </comment>
    <comment ref="B478" authorId="0">
      <text>
        <r>
          <rPr>
            <sz val="9"/>
            <color indexed="81"/>
            <rFont val="Tahoma"/>
            <charset val="1"/>
          </rPr>
          <t xml:space="preserve">02/27/2008
Active --&gt; Subject To Inspection
</t>
        </r>
      </text>
    </comment>
    <comment ref="F481" authorId="1">
      <text>
        <r>
          <rPr>
            <sz val="8"/>
            <color indexed="81"/>
            <rFont val="Tahoma"/>
            <charset val="1"/>
          </rPr>
          <t xml:space="preserve">03/18/2008
714950 --&gt; 699950
</t>
        </r>
      </text>
    </comment>
    <comment ref="B484" authorId="0">
      <text>
        <r>
          <rPr>
            <sz val="9"/>
            <color indexed="81"/>
            <rFont val="Tahoma"/>
            <charset val="1"/>
          </rPr>
          <t xml:space="preserve">03/05/2008
Active --&gt; Subject To Inspection
</t>
        </r>
      </text>
    </comment>
    <comment ref="B485" authorId="0">
      <text>
        <r>
          <rPr>
            <sz val="9"/>
            <color indexed="81"/>
            <rFont val="Tahoma"/>
            <charset val="1"/>
          </rPr>
          <t xml:space="preserve">03/04/2008
Active --&gt; Subject To Inspection
</t>
        </r>
      </text>
    </comment>
    <comment ref="F487" authorId="0">
      <text>
        <r>
          <rPr>
            <sz val="9"/>
            <color indexed="81"/>
            <rFont val="Tahoma"/>
            <charset val="1"/>
          </rPr>
          <t xml:space="preserve">03/13/2008
439950 --&gt; 419950
02/28/2008
455000 --&gt; 439950
</t>
        </r>
      </text>
    </comment>
    <comment ref="B488" authorId="0">
      <text>
        <r>
          <rPr>
            <sz val="9"/>
            <color indexed="81"/>
            <rFont val="Tahoma"/>
            <family val="2"/>
          </rPr>
          <t xml:space="preserve">03/02/2008
Active --&gt; Subject To Inspection
</t>
        </r>
      </text>
    </comment>
    <comment ref="F494" authorId="1">
      <text>
        <r>
          <rPr>
            <sz val="8"/>
            <color indexed="81"/>
            <rFont val="Tahoma"/>
            <charset val="1"/>
          </rPr>
          <t xml:space="preserve">03/13/2008
360000 --&gt; 350000
</t>
        </r>
      </text>
    </comment>
    <comment ref="B497" authorId="0">
      <text>
        <r>
          <rPr>
            <sz val="9"/>
            <color indexed="81"/>
            <rFont val="Tahoma"/>
            <family val="2"/>
          </rPr>
          <t xml:space="preserve">03/02/2008
Active --&gt; Subject To Inspection
</t>
        </r>
      </text>
    </comment>
    <comment ref="B498" authorId="1">
      <text>
        <r>
          <rPr>
            <sz val="8"/>
            <color indexed="81"/>
            <rFont val="Tahoma"/>
            <charset val="1"/>
          </rPr>
          <t xml:space="preserve">03/13/2008
Active --&gt; Subject To Inspection
</t>
        </r>
      </text>
    </comment>
    <comment ref="B501" authorId="0">
      <text>
        <r>
          <rPr>
            <sz val="9"/>
            <color indexed="81"/>
            <rFont val="Tahoma"/>
            <family val="2"/>
          </rPr>
          <t xml:space="preserve">03/02/2008
Active --&gt; Subject To Inspection
</t>
        </r>
      </text>
    </comment>
    <comment ref="B502" authorId="0">
      <text>
        <r>
          <rPr>
            <sz val="9"/>
            <color indexed="81"/>
            <rFont val="Tahoma"/>
            <charset val="1"/>
          </rPr>
          <t xml:space="preserve">03/05/2008
Active --&gt; Subject To Inspection
</t>
        </r>
      </text>
    </comment>
    <comment ref="B503" authorId="0">
      <text>
        <r>
          <rPr>
            <sz val="9"/>
            <color indexed="81"/>
            <rFont val="Tahoma"/>
            <charset val="1"/>
          </rPr>
          <t xml:space="preserve">03/04/2008
Active --&gt; Subject To Inspection
</t>
        </r>
      </text>
    </comment>
    <comment ref="F505" authorId="1">
      <text>
        <r>
          <rPr>
            <sz val="8"/>
            <color indexed="81"/>
            <rFont val="Tahoma"/>
            <charset val="1"/>
          </rPr>
          <t xml:space="preserve">03/13/2008
475000 --&gt; 450000
</t>
        </r>
      </text>
    </comment>
    <comment ref="E506" authorId="1">
      <text>
        <r>
          <rPr>
            <sz val="8"/>
            <color indexed="81"/>
            <rFont val="Tahoma"/>
            <charset val="1"/>
          </rPr>
          <t xml:space="preserve">03/18/2008
332 82nd St --&gt; 332 N 82nd St
</t>
        </r>
      </text>
    </comment>
    <comment ref="F506" authorId="1">
      <text>
        <r>
          <rPr>
            <sz val="8"/>
            <color indexed="81"/>
            <rFont val="Tahoma"/>
            <charset val="1"/>
          </rPr>
          <t xml:space="preserve">03/18/2008
475000 --&gt; 450000
</t>
        </r>
      </text>
    </comment>
    <comment ref="F512" authorId="1">
      <text>
        <r>
          <rPr>
            <sz val="8"/>
            <color indexed="81"/>
            <rFont val="Tahoma"/>
            <charset val="1"/>
          </rPr>
          <t xml:space="preserve">03/19/2008
725000 --&gt; 698950
</t>
        </r>
      </text>
    </comment>
    <comment ref="B513" authorId="0">
      <text>
        <r>
          <rPr>
            <sz val="9"/>
            <color indexed="81"/>
            <rFont val="Tahoma"/>
            <charset val="1"/>
          </rPr>
          <t xml:space="preserve">03/04/2008
Active --&gt; Subject To Inspection
</t>
        </r>
      </text>
    </comment>
    <comment ref="F514" authorId="1">
      <text>
        <r>
          <rPr>
            <sz val="8"/>
            <color indexed="81"/>
            <rFont val="Tahoma"/>
            <charset val="1"/>
          </rPr>
          <t xml:space="preserve">03/13/2008
375000 --&gt; 360000
</t>
        </r>
      </text>
    </comment>
    <comment ref="F516" authorId="1">
      <text>
        <r>
          <rPr>
            <sz val="8"/>
            <color indexed="81"/>
            <rFont val="Tahoma"/>
            <charset val="1"/>
          </rPr>
          <t xml:space="preserve">03/18/2008
463500 --&gt; 449000
</t>
        </r>
      </text>
    </comment>
    <comment ref="B517" authorId="1">
      <text>
        <r>
          <rPr>
            <sz val="8"/>
            <color indexed="81"/>
            <rFont val="Tahoma"/>
            <charset val="1"/>
          </rPr>
          <t xml:space="preserve">03/18/2008
Subject To Inspection --&gt; Active
03/13/2008
Active --&gt; Subject To Inspection
</t>
        </r>
      </text>
    </comment>
    <comment ref="D517" authorId="0">
      <text>
        <r>
          <rPr>
            <sz val="9"/>
            <color indexed="81"/>
            <rFont val="Tahoma"/>
            <charset val="1"/>
          </rPr>
          <t xml:space="preserve">02/29/2008
University District --&gt; Bryant
</t>
        </r>
      </text>
    </comment>
    <comment ref="F517" authorId="1">
      <text>
        <r>
          <rPr>
            <sz val="8"/>
            <color indexed="81"/>
            <rFont val="Tahoma"/>
            <charset val="1"/>
          </rPr>
          <t xml:space="preserve">03/13/2008
474800 --&gt; 468000
</t>
        </r>
      </text>
    </comment>
    <comment ref="D522" authorId="0">
      <text>
        <r>
          <rPr>
            <sz val="9"/>
            <color indexed="81"/>
            <rFont val="Tahoma"/>
            <charset val="1"/>
          </rPr>
          <t xml:space="preserve">03/04/2008
Pinehurst --&gt; Victory Heights
</t>
        </r>
      </text>
    </comment>
    <comment ref="E526" authorId="0">
      <text>
        <r>
          <rPr>
            <sz val="9"/>
            <color indexed="81"/>
            <rFont val="Tahoma"/>
            <family val="2"/>
          </rPr>
          <t xml:space="preserve">03/02/2008
6505 NW 56th St C --&gt; 6505 16th Ave NW C
</t>
        </r>
      </text>
    </comment>
    <comment ref="B527" authorId="1">
      <text>
        <r>
          <rPr>
            <sz val="8"/>
            <color indexed="81"/>
            <rFont val="Tahoma"/>
            <charset val="1"/>
          </rPr>
          <t xml:space="preserve">03/13/2008
Active --&gt; Subject To Inspection
</t>
        </r>
      </text>
    </comment>
    <comment ref="B528" authorId="0">
      <text>
        <r>
          <rPr>
            <sz val="9"/>
            <color indexed="81"/>
            <rFont val="Tahoma"/>
            <charset val="1"/>
          </rPr>
          <t xml:space="preserve">03/05/2008
Active --&gt; Subject To Inspection
</t>
        </r>
      </text>
    </comment>
    <comment ref="D530" authorId="1">
      <text>
        <r>
          <rPr>
            <sz val="8"/>
            <color indexed="81"/>
            <rFont val="Tahoma"/>
            <charset val="1"/>
          </rPr>
          <t xml:space="preserve">03/18/2008
Sand Point --&gt; Mathews Beach
</t>
        </r>
      </text>
    </comment>
    <comment ref="F530" authorId="1">
      <text>
        <r>
          <rPr>
            <sz val="8"/>
            <color indexed="81"/>
            <rFont val="Tahoma"/>
            <charset val="1"/>
          </rPr>
          <t xml:space="preserve">03/19/2008
439950 --&gt; 419500
</t>
        </r>
      </text>
    </comment>
    <comment ref="B534" authorId="1">
      <text>
        <r>
          <rPr>
            <sz val="8"/>
            <color indexed="81"/>
            <rFont val="Tahoma"/>
            <charset val="1"/>
          </rPr>
          <t xml:space="preserve">03/13/2008
Active --&gt; Subject To Inspection
</t>
        </r>
      </text>
    </comment>
    <comment ref="B535" authorId="0">
      <text>
        <r>
          <rPr>
            <sz val="9"/>
            <color indexed="81"/>
            <rFont val="Tahoma"/>
            <charset val="1"/>
          </rPr>
          <t xml:space="preserve">03/05/2008
Active --&gt; Subject To Inspection
</t>
        </r>
      </text>
    </comment>
    <comment ref="B536" authorId="1">
      <text>
        <r>
          <rPr>
            <sz val="8"/>
            <color indexed="81"/>
            <rFont val="Tahoma"/>
            <charset val="1"/>
          </rPr>
          <t xml:space="preserve">03/13/2008
Active --&gt; Subject To Inspection
</t>
        </r>
      </text>
    </comment>
    <comment ref="B537" authorId="0">
      <text>
        <r>
          <rPr>
            <sz val="9"/>
            <color indexed="81"/>
            <rFont val="Tahoma"/>
            <charset val="1"/>
          </rPr>
          <t xml:space="preserve">03/06/2008
Active --&gt; Subject To Inspection
</t>
        </r>
      </text>
    </comment>
    <comment ref="B541" authorId="1">
      <text>
        <r>
          <rPr>
            <sz val="8"/>
            <color indexed="81"/>
            <rFont val="Tahoma"/>
            <charset val="1"/>
          </rPr>
          <t xml:space="preserve">03/13/2008
Active --&gt; Subject To Inspection
</t>
        </r>
      </text>
    </comment>
    <comment ref="B543" authorId="0">
      <text>
        <r>
          <rPr>
            <sz val="9"/>
            <color indexed="81"/>
            <rFont val="Tahoma"/>
            <charset val="1"/>
          </rPr>
          <t xml:space="preserve">03/05/2008
Active --&gt; Subject To Inspection
</t>
        </r>
      </text>
    </comment>
    <comment ref="F545" authorId="0">
      <text>
        <r>
          <rPr>
            <sz val="9"/>
            <color indexed="81"/>
            <rFont val="Tahoma"/>
            <family val="2"/>
          </rPr>
          <t xml:space="preserve">03/18/2008
459000 --&gt; 449950
03/13/2008
469000 --&gt; 459000
03/06/2008
474000 --&gt; 469000
03/02/2008
484000 --&gt; 474000
03/02/2008
489000 --&gt; 484000
</t>
        </r>
      </text>
    </comment>
    <comment ref="J545" authorId="1">
      <text>
        <r>
          <rPr>
            <sz val="8"/>
            <color indexed="81"/>
            <rFont val="Tahoma"/>
            <charset val="1"/>
          </rPr>
          <t xml:space="preserve">03/13/2008
6 --&gt; 5
</t>
        </r>
      </text>
    </comment>
    <comment ref="B554" authorId="1">
      <text>
        <r>
          <rPr>
            <sz val="8"/>
            <color indexed="81"/>
            <rFont val="Tahoma"/>
            <charset val="1"/>
          </rPr>
          <t xml:space="preserve">03/19/2008
Active --&gt; Subject To Inspection
</t>
        </r>
      </text>
    </comment>
    <comment ref="B557" authorId="1">
      <text>
        <r>
          <rPr>
            <sz val="8"/>
            <color indexed="81"/>
            <rFont val="Tahoma"/>
            <charset val="1"/>
          </rPr>
          <t xml:space="preserve">03/13/2008
Active --&gt; Subject To Inspection
</t>
        </r>
      </text>
    </comment>
    <comment ref="B558" authorId="1">
      <text>
        <r>
          <rPr>
            <sz val="8"/>
            <color indexed="81"/>
            <rFont val="Tahoma"/>
            <charset val="1"/>
          </rPr>
          <t xml:space="preserve">03/13/2008
Active --&gt; Subject To Inspection
</t>
        </r>
      </text>
    </comment>
    <comment ref="E558" authorId="1">
      <text>
        <r>
          <rPr>
            <sz val="8"/>
            <color indexed="81"/>
            <rFont val="Tahoma"/>
            <charset val="1"/>
          </rPr>
          <t xml:space="preserve">03/13/2008
0 363X Palatine Ave N A --&gt; 3638 Palatine Ave N A
</t>
        </r>
      </text>
    </comment>
    <comment ref="B570" authorId="1">
      <text>
        <r>
          <rPr>
            <sz val="8"/>
            <color indexed="81"/>
            <rFont val="Tahoma"/>
            <charset val="1"/>
          </rPr>
          <t xml:space="preserve">03/13/2008
Active --&gt; Subject To Inspection
</t>
        </r>
      </text>
    </comment>
    <comment ref="B573" authorId="1">
      <text>
        <r>
          <rPr>
            <sz val="8"/>
            <color indexed="81"/>
            <rFont val="Tahoma"/>
            <charset val="1"/>
          </rPr>
          <t xml:space="preserve">03/13/2008
Active --&gt; Subject To Inspection
</t>
        </r>
      </text>
    </comment>
    <comment ref="B575" authorId="1">
      <text>
        <r>
          <rPr>
            <sz val="8"/>
            <color indexed="81"/>
            <rFont val="Tahoma"/>
            <charset val="1"/>
          </rPr>
          <t xml:space="preserve">03/19/2008
Subject To Inspection --&gt; Active
03/15/2008
Active --&gt; Subject To Inspection
</t>
        </r>
      </text>
    </comment>
    <comment ref="B579" authorId="0">
      <text>
        <r>
          <rPr>
            <sz val="9"/>
            <color indexed="81"/>
            <rFont val="Tahoma"/>
            <charset val="1"/>
          </rPr>
          <t xml:space="preserve">03/15/2008
Subject To Inspection --&gt; Active
03/06/2008
Active --&gt; Subject To Inspection
</t>
        </r>
      </text>
    </comment>
    <comment ref="B580" authorId="1">
      <text>
        <r>
          <rPr>
            <sz val="8"/>
            <color indexed="81"/>
            <rFont val="Tahoma"/>
            <charset val="1"/>
          </rPr>
          <t xml:space="preserve">03/13/2008
Active --&gt; Subject To Inspection
</t>
        </r>
      </text>
    </comment>
    <comment ref="B585" authorId="1">
      <text>
        <r>
          <rPr>
            <sz val="8"/>
            <color indexed="81"/>
            <rFont val="Tahoma"/>
            <charset val="1"/>
          </rPr>
          <t xml:space="preserve">03/13/2008
Active --&gt; Subject To Inspection
</t>
        </r>
      </text>
    </comment>
    <comment ref="F585" authorId="0">
      <text>
        <r>
          <rPr>
            <sz val="9"/>
            <color indexed="81"/>
            <rFont val="Tahoma"/>
            <charset val="1"/>
          </rPr>
          <t xml:space="preserve">03/06/2008
359950 --&gt; 355000
</t>
        </r>
      </text>
    </comment>
    <comment ref="F594" authorId="1">
      <text>
        <r>
          <rPr>
            <sz val="8"/>
            <color indexed="81"/>
            <rFont val="Tahoma"/>
            <charset val="1"/>
          </rPr>
          <t xml:space="preserve">03/19/2008
499000 --&gt; 489000
</t>
        </r>
      </text>
    </comment>
    <comment ref="B598" authorId="1">
      <text>
        <r>
          <rPr>
            <sz val="8"/>
            <color indexed="81"/>
            <rFont val="Tahoma"/>
            <charset val="1"/>
          </rPr>
          <t xml:space="preserve">03/13/2008
Active --&gt; Subject To Inspection
</t>
        </r>
      </text>
    </comment>
    <comment ref="E604" authorId="1">
      <text>
        <r>
          <rPr>
            <sz val="8"/>
            <color indexed="81"/>
            <rFont val="Tahoma"/>
            <charset val="1"/>
          </rPr>
          <t xml:space="preserve">03/13/2008
8805 Dibble Ave N --&gt; 8805 Dibble Ave NW
</t>
        </r>
      </text>
    </comment>
    <comment ref="B616" authorId="1">
      <text>
        <r>
          <rPr>
            <sz val="8"/>
            <color indexed="81"/>
            <rFont val="Tahoma"/>
            <charset val="1"/>
          </rPr>
          <t xml:space="preserve">03/15/2008
Active --&gt; Subject To Inspection
</t>
        </r>
      </text>
    </comment>
    <comment ref="AJ624" authorId="1">
      <text>
        <r>
          <rPr>
            <sz val="8"/>
            <color indexed="81"/>
            <rFont val="Tahoma"/>
            <charset val="1"/>
          </rPr>
          <t xml:space="preserve">03/19/2008
98116 --&gt; 98115
</t>
        </r>
      </text>
    </comment>
    <comment ref="B631" authorId="1">
      <text>
        <r>
          <rPr>
            <sz val="8"/>
            <color indexed="81"/>
            <rFont val="Tahoma"/>
            <charset val="1"/>
          </rPr>
          <t xml:space="preserve">03/18/2008
Active --&gt; Subject To Inspection
</t>
        </r>
      </text>
    </comment>
    <comment ref="B632" authorId="1">
      <text>
        <r>
          <rPr>
            <sz val="8"/>
            <color indexed="81"/>
            <rFont val="Tahoma"/>
            <charset val="1"/>
          </rPr>
          <t xml:space="preserve">03/15/2008
Subject To Inspection --&gt; Active
</t>
        </r>
      </text>
    </comment>
    <comment ref="B633" authorId="1">
      <text>
        <r>
          <rPr>
            <sz val="8"/>
            <color indexed="81"/>
            <rFont val="Tahoma"/>
            <charset val="1"/>
          </rPr>
          <t xml:space="preserve">03/18/2008
Active --&gt; Subject To Inspection
</t>
        </r>
      </text>
    </comment>
    <comment ref="F634" authorId="1">
      <text>
        <r>
          <rPr>
            <sz val="8"/>
            <color indexed="81"/>
            <rFont val="Tahoma"/>
            <charset val="1"/>
          </rPr>
          <t xml:space="preserve">03/15/2008
405000 --&gt; 392500
</t>
        </r>
      </text>
    </comment>
    <comment ref="B638" authorId="1">
      <text>
        <r>
          <rPr>
            <sz val="8"/>
            <color indexed="81"/>
            <rFont val="Tahoma"/>
            <charset val="1"/>
          </rPr>
          <t xml:space="preserve">03/18/2008
Active --&gt; Subject To Inspection
</t>
        </r>
      </text>
    </comment>
    <comment ref="AS638" authorId="1">
      <text>
        <r>
          <rPr>
            <sz val="8"/>
            <color indexed="81"/>
            <rFont val="Tahoma"/>
            <charset val="1"/>
          </rPr>
          <t xml:space="preserve">03/18/2008
http://www.windermere.com/index.cfm?fuseaction=Listing.ListingDetail&amp;ListingID=19520803 --&gt; http://www.windermere.com/index.cfm?fuseaction=Listing.ListingDetail&amp;ListingID=19560889
</t>
        </r>
      </text>
    </comment>
    <comment ref="AT638" authorId="1">
      <text>
        <r>
          <rPr>
            <sz val="8"/>
            <color indexed="81"/>
            <rFont val="Tahoma"/>
            <charset val="1"/>
          </rPr>
          <t xml:space="preserve">03/18/2008
19520803 --&gt; 19560889
</t>
        </r>
      </text>
    </comment>
    <comment ref="B641" authorId="1">
      <text>
        <r>
          <rPr>
            <sz val="8"/>
            <color indexed="81"/>
            <rFont val="Tahoma"/>
            <charset val="1"/>
          </rPr>
          <t xml:space="preserve">03/19/2008
Active --&gt; Subject To Inspection
</t>
        </r>
      </text>
    </comment>
    <comment ref="B650" authorId="1">
      <text>
        <r>
          <rPr>
            <sz val="8"/>
            <color indexed="81"/>
            <rFont val="Tahoma"/>
            <charset val="1"/>
          </rPr>
          <t xml:space="preserve">03/18/2008
Active --&gt; Subject To Inspection
</t>
        </r>
      </text>
    </comment>
    <comment ref="K650" authorId="1">
      <text>
        <r>
          <rPr>
            <sz val="8"/>
            <color indexed="81"/>
            <rFont val="Tahoma"/>
            <charset val="1"/>
          </rPr>
          <t xml:space="preserve">03/13/2008
1 --&gt; 1.5
</t>
        </r>
      </text>
    </comment>
    <comment ref="B658" authorId="1">
      <text>
        <r>
          <rPr>
            <sz val="8"/>
            <color indexed="81"/>
            <rFont val="Tahoma"/>
            <charset val="1"/>
          </rPr>
          <t xml:space="preserve">03/19/2008
Active --&gt; Subject To Inspection
</t>
        </r>
      </text>
    </comment>
    <comment ref="D659" authorId="1">
      <text>
        <r>
          <rPr>
            <sz val="8"/>
            <color indexed="81"/>
            <rFont val="Tahoma"/>
            <charset val="1"/>
          </rPr>
          <t xml:space="preserve">03/19/2008
Hawthorne Hills --&gt; Seattle
</t>
        </r>
      </text>
    </comment>
    <comment ref="B668" authorId="1">
      <text>
        <r>
          <rPr>
            <sz val="8"/>
            <color indexed="81"/>
            <rFont val="Tahoma"/>
            <charset val="1"/>
          </rPr>
          <t xml:space="preserve">03/19/2008
Subject To Inspection --&gt; Active
03/15/2008
Active --&gt; Subject To Inspection
</t>
        </r>
      </text>
    </comment>
    <comment ref="B669" authorId="1">
      <text>
        <r>
          <rPr>
            <sz val="8"/>
            <color indexed="81"/>
            <rFont val="Tahoma"/>
            <charset val="1"/>
          </rPr>
          <t xml:space="preserve">03/18/2008
Active --&gt; Subject To Inspection
</t>
        </r>
      </text>
    </comment>
    <comment ref="F673" authorId="1">
      <text>
        <r>
          <rPr>
            <sz val="8"/>
            <color indexed="81"/>
            <rFont val="Tahoma"/>
            <charset val="1"/>
          </rPr>
          <t xml:space="preserve">03/18/2008
625000 --&gt; 600000
</t>
        </r>
      </text>
    </comment>
    <comment ref="B677" authorId="1">
      <text>
        <r>
          <rPr>
            <sz val="8"/>
            <color indexed="81"/>
            <rFont val="Tahoma"/>
            <charset val="1"/>
          </rPr>
          <t xml:space="preserve">03/18/2008
Active --&gt; Subject To Inspection
</t>
        </r>
      </text>
    </comment>
    <comment ref="D688" authorId="1">
      <text>
        <r>
          <rPr>
            <sz val="8"/>
            <color indexed="81"/>
            <rFont val="Tahoma"/>
            <charset val="1"/>
          </rPr>
          <t xml:space="preserve">03/18/2008
Ballard --&gt; Phinney Ridge
</t>
        </r>
      </text>
    </comment>
    <comment ref="B697" authorId="1">
      <text>
        <r>
          <rPr>
            <sz val="8"/>
            <color indexed="81"/>
            <rFont val="Tahoma"/>
            <charset val="1"/>
          </rPr>
          <t xml:space="preserve">03/18/2008
Active --&gt; Subject To Inspection
</t>
        </r>
      </text>
    </comment>
  </commentList>
</comments>
</file>

<file path=xl/comments2.xml><?xml version="1.0" encoding="utf-8"?>
<comments xmlns="http://schemas.openxmlformats.org/spreadsheetml/2006/main">
  <authors>
    <author>davsmith</author>
  </authors>
  <commentList>
    <comment ref="F2" authorId="0">
      <text>
        <r>
          <rPr>
            <sz val="9"/>
            <color indexed="81"/>
            <rFont val="Tahoma"/>
            <charset val="1"/>
          </rPr>
          <t xml:space="preserve">02/21/2008
289950 --&gt; 269950
</t>
        </r>
      </text>
    </comment>
    <comment ref="B6" authorId="0">
      <text>
        <r>
          <rPr>
            <sz val="9"/>
            <color indexed="81"/>
            <rFont val="Tahoma"/>
            <charset val="1"/>
          </rPr>
          <t xml:space="preserve">02/20/2008
Active --&gt; Subject To Inspection
</t>
        </r>
      </text>
    </comment>
    <comment ref="B7" authorId="0">
      <text>
        <r>
          <rPr>
            <sz val="9"/>
            <color indexed="81"/>
            <rFont val="Tahoma"/>
            <charset val="1"/>
          </rPr>
          <t xml:space="preserve">02/20/2008
Active --&gt; Subject To Inspection
</t>
        </r>
      </text>
    </comment>
    <comment ref="B9" authorId="0">
      <text>
        <r>
          <rPr>
            <sz val="9"/>
            <color indexed="81"/>
            <rFont val="Tahoma"/>
            <charset val="1"/>
          </rPr>
          <t xml:space="preserve">02/20/2008
Active --&gt; Subject To Inspection
</t>
        </r>
      </text>
    </comment>
    <comment ref="B10" authorId="0">
      <text>
        <r>
          <rPr>
            <sz val="9"/>
            <color indexed="81"/>
            <rFont val="Tahoma"/>
            <charset val="1"/>
          </rPr>
          <t xml:space="preserve">02/29/2008
Active --&gt; Subject To Inspection
</t>
        </r>
      </text>
    </comment>
    <comment ref="H11" authorId="0">
      <text>
        <r>
          <rPr>
            <sz val="9"/>
            <color indexed="81"/>
            <rFont val="Tahoma"/>
            <charset val="1"/>
          </rPr>
          <t xml:space="preserve">02/18/2008
1610 --&gt; 1420
</t>
        </r>
      </text>
    </comment>
    <comment ref="B13" authorId="0">
      <text>
        <r>
          <rPr>
            <sz val="9"/>
            <color indexed="81"/>
            <rFont val="Tahoma"/>
            <charset val="1"/>
          </rPr>
          <t xml:space="preserve">02/23/2008
Active --&gt; Subject To Inspection
</t>
        </r>
      </text>
    </comment>
    <comment ref="B17" authorId="0">
      <text>
        <r>
          <rPr>
            <sz val="9"/>
            <color indexed="81"/>
            <rFont val="Tahoma"/>
            <charset val="1"/>
          </rPr>
          <t xml:space="preserve">02/20/2008
Subject To Inspection --&gt; Active
</t>
        </r>
      </text>
    </comment>
    <comment ref="F17" authorId="0">
      <text>
        <r>
          <rPr>
            <sz val="9"/>
            <color indexed="81"/>
            <rFont val="Tahoma"/>
            <charset val="1"/>
          </rPr>
          <t xml:space="preserve">02/23/2008
319888 --&gt; 309888
</t>
        </r>
      </text>
    </comment>
    <comment ref="F18" authorId="0">
      <text>
        <r>
          <rPr>
            <sz val="9"/>
            <color indexed="81"/>
            <rFont val="Tahoma"/>
            <charset val="1"/>
          </rPr>
          <t xml:space="preserve">02/23/2008
319888 --&gt; 309888
</t>
        </r>
      </text>
    </comment>
    <comment ref="B24" authorId="0">
      <text>
        <r>
          <rPr>
            <sz val="9"/>
            <color indexed="81"/>
            <rFont val="Tahoma"/>
            <charset val="1"/>
          </rPr>
          <t xml:space="preserve">02/20/2008
Active --&gt; Subject To Inspection
</t>
        </r>
      </text>
    </comment>
    <comment ref="F28" authorId="0">
      <text>
        <r>
          <rPr>
            <sz val="9"/>
            <color indexed="81"/>
            <rFont val="Tahoma"/>
            <charset val="1"/>
          </rPr>
          <t xml:space="preserve">02/23/2008
324888 --&gt; 315888
</t>
        </r>
      </text>
    </comment>
    <comment ref="F31" authorId="0">
      <text>
        <r>
          <rPr>
            <sz val="9"/>
            <color indexed="81"/>
            <rFont val="Tahoma"/>
            <charset val="1"/>
          </rPr>
          <t xml:space="preserve">02/27/2008
325000 --&gt; 300000
</t>
        </r>
      </text>
    </comment>
    <comment ref="B32" authorId="0">
      <text>
        <r>
          <rPr>
            <sz val="9"/>
            <color indexed="81"/>
            <rFont val="Tahoma"/>
            <charset val="1"/>
          </rPr>
          <t xml:space="preserve">02/25/2008
Active --&gt; Subject To Inspection
</t>
        </r>
      </text>
    </comment>
    <comment ref="F38" authorId="0">
      <text>
        <r>
          <rPr>
            <sz val="9"/>
            <color indexed="81"/>
            <rFont val="Tahoma"/>
            <charset val="1"/>
          </rPr>
          <t xml:space="preserve">02/27/2008
329950 --&gt; 309950
</t>
        </r>
      </text>
    </comment>
    <comment ref="F40" authorId="0">
      <text>
        <r>
          <rPr>
            <sz val="9"/>
            <color indexed="81"/>
            <rFont val="Tahoma"/>
            <charset val="1"/>
          </rPr>
          <t xml:space="preserve">02/21/2008
334900 --&gt; 324900
</t>
        </r>
      </text>
    </comment>
    <comment ref="B42" authorId="0">
      <text>
        <r>
          <rPr>
            <sz val="9"/>
            <color indexed="81"/>
            <rFont val="Tahoma"/>
            <charset val="1"/>
          </rPr>
          <t xml:space="preserve">02/21/2008
Subject To Inspection --&gt; Active
</t>
        </r>
      </text>
    </comment>
    <comment ref="F42" authorId="0">
      <text>
        <r>
          <rPr>
            <sz val="9"/>
            <color indexed="81"/>
            <rFont val="Tahoma"/>
            <charset val="1"/>
          </rPr>
          <t xml:space="preserve">02/23/2008
335000 --&gt; 330000
</t>
        </r>
      </text>
    </comment>
    <comment ref="B43" authorId="0">
      <text>
        <r>
          <rPr>
            <sz val="9"/>
            <color indexed="81"/>
            <rFont val="Tahoma"/>
            <charset val="1"/>
          </rPr>
          <t xml:space="preserve">02/18/2008
Active --&gt; Subject To Inspection
</t>
        </r>
      </text>
    </comment>
    <comment ref="AS44" authorId="0">
      <text>
        <r>
          <rPr>
            <sz val="9"/>
            <color indexed="81"/>
            <rFont val="Tahoma"/>
            <charset val="1"/>
          </rPr>
          <t xml:space="preserve">02/23/2008
http://www.windermere.com/index.cfm?fuseaction=Listing.ListingDetail&amp;ListingID=19011301 --&gt; http://www.windermere.com/index.cfm?fuseaction=Listing.ListingDetail&amp;ListingID=19408389
</t>
        </r>
      </text>
    </comment>
    <comment ref="AT44" authorId="0">
      <text>
        <r>
          <rPr>
            <sz val="9"/>
            <color indexed="81"/>
            <rFont val="Tahoma"/>
            <charset val="1"/>
          </rPr>
          <t xml:space="preserve">02/23/2008
19011301 --&gt; 19408389
</t>
        </r>
      </text>
    </comment>
    <comment ref="F50" authorId="0">
      <text>
        <r>
          <rPr>
            <sz val="9"/>
            <color indexed="81"/>
            <rFont val="Tahoma"/>
            <charset val="1"/>
          </rPr>
          <t xml:space="preserve">02/25/2008
339950 --&gt; 319950
</t>
        </r>
      </text>
    </comment>
    <comment ref="K54" authorId="0">
      <text>
        <r>
          <rPr>
            <sz val="9"/>
            <color indexed="81"/>
            <rFont val="Tahoma"/>
            <charset val="1"/>
          </rPr>
          <t xml:space="preserve">02/25/2008
1.5 --&gt; 2.5
</t>
        </r>
      </text>
    </comment>
    <comment ref="B55" authorId="0">
      <text>
        <r>
          <rPr>
            <sz val="9"/>
            <color indexed="81"/>
            <rFont val="Tahoma"/>
            <charset val="1"/>
          </rPr>
          <t xml:space="preserve">02/21/2008
Active --&gt; Subject To Inspection
</t>
        </r>
      </text>
    </comment>
    <comment ref="B62" authorId="0">
      <text>
        <r>
          <rPr>
            <sz val="9"/>
            <color indexed="81"/>
            <rFont val="Tahoma"/>
            <charset val="1"/>
          </rPr>
          <t xml:space="preserve">02/21/2008
Active --&gt; Subject To Inspection
</t>
        </r>
      </text>
    </comment>
    <comment ref="B63" authorId="0">
      <text>
        <r>
          <rPr>
            <sz val="9"/>
            <color indexed="81"/>
            <rFont val="Tahoma"/>
            <charset val="1"/>
          </rPr>
          <t xml:space="preserve">02/18/2008
Active --&gt; Subject To Inspection
</t>
        </r>
      </text>
    </comment>
    <comment ref="B67" authorId="0">
      <text>
        <r>
          <rPr>
            <sz val="9"/>
            <color indexed="81"/>
            <rFont val="Tahoma"/>
            <charset val="1"/>
          </rPr>
          <t xml:space="preserve">02/28/2008
Active --&gt; Subject To Inspection
</t>
        </r>
      </text>
    </comment>
    <comment ref="F70" authorId="0">
      <text>
        <r>
          <rPr>
            <sz val="9"/>
            <color indexed="81"/>
            <rFont val="Tahoma"/>
            <charset val="1"/>
          </rPr>
          <t xml:space="preserve">02/28/2008
349888 --&gt; 344888
</t>
        </r>
      </text>
    </comment>
    <comment ref="B71" authorId="0">
      <text>
        <r>
          <rPr>
            <sz val="9"/>
            <color indexed="81"/>
            <rFont val="Tahoma"/>
            <charset val="1"/>
          </rPr>
          <t xml:space="preserve">02/29/2008
Active --&gt; Subject To Inspection
</t>
        </r>
      </text>
    </comment>
    <comment ref="F72" authorId="0">
      <text>
        <r>
          <rPr>
            <sz val="9"/>
            <color indexed="81"/>
            <rFont val="Tahoma"/>
            <charset val="1"/>
          </rPr>
          <t xml:space="preserve">02/23/2008
349900 --&gt; 339900
</t>
        </r>
      </text>
    </comment>
    <comment ref="B74" authorId="0">
      <text>
        <r>
          <rPr>
            <sz val="9"/>
            <color indexed="81"/>
            <rFont val="Tahoma"/>
            <charset val="1"/>
          </rPr>
          <t xml:space="preserve">02/19/2008
Active --&gt; Subject To Inspection
</t>
        </r>
      </text>
    </comment>
    <comment ref="B78" authorId="0">
      <text>
        <r>
          <rPr>
            <sz val="9"/>
            <color indexed="81"/>
            <rFont val="Tahoma"/>
            <charset val="1"/>
          </rPr>
          <t xml:space="preserve">02/27/2008
Active --&gt; Subject To Inspection
</t>
        </r>
      </text>
    </comment>
    <comment ref="F80" authorId="0">
      <text>
        <r>
          <rPr>
            <sz val="9"/>
            <color indexed="81"/>
            <rFont val="Tahoma"/>
            <charset val="1"/>
          </rPr>
          <t xml:space="preserve">02/20/2008
349950 --&gt; 335000
</t>
        </r>
      </text>
    </comment>
    <comment ref="B88" authorId="0">
      <text>
        <r>
          <rPr>
            <sz val="9"/>
            <color indexed="81"/>
            <rFont val="Tahoma"/>
            <charset val="1"/>
          </rPr>
          <t xml:space="preserve">02/28/2008
Active --&gt; Subject To Inspection
</t>
        </r>
      </text>
    </comment>
    <comment ref="B89" authorId="0">
      <text>
        <r>
          <rPr>
            <sz val="9"/>
            <color indexed="81"/>
            <rFont val="Tahoma"/>
            <charset val="1"/>
          </rPr>
          <t xml:space="preserve">02/20/2008
Active --&gt; Subject To Inspection
</t>
        </r>
      </text>
    </comment>
    <comment ref="F90" authorId="0">
      <text>
        <r>
          <rPr>
            <sz val="9"/>
            <color indexed="81"/>
            <rFont val="Tahoma"/>
            <charset val="1"/>
          </rPr>
          <t xml:space="preserve">02/25/2008
359950 --&gt; 349950
</t>
        </r>
      </text>
    </comment>
    <comment ref="F93" authorId="0">
      <text>
        <r>
          <rPr>
            <sz val="9"/>
            <color indexed="81"/>
            <rFont val="Tahoma"/>
            <charset val="1"/>
          </rPr>
          <t xml:space="preserve">02/18/2008
374500 --&gt; 362000
</t>
        </r>
      </text>
    </comment>
    <comment ref="B100" authorId="0">
      <text>
        <r>
          <rPr>
            <sz val="9"/>
            <color indexed="81"/>
            <rFont val="Tahoma"/>
            <charset val="1"/>
          </rPr>
          <t xml:space="preserve">02/20/2008
Active --&gt; Subject To Inspection
</t>
        </r>
      </text>
    </comment>
    <comment ref="F104" authorId="0">
      <text>
        <r>
          <rPr>
            <sz val="9"/>
            <color indexed="81"/>
            <rFont val="Tahoma"/>
            <charset val="1"/>
          </rPr>
          <t xml:space="preserve">02/25/2008
364950 --&gt; 354950
</t>
        </r>
      </text>
    </comment>
    <comment ref="F106" authorId="0">
      <text>
        <r>
          <rPr>
            <sz val="9"/>
            <color indexed="81"/>
            <rFont val="Tahoma"/>
            <charset val="1"/>
          </rPr>
          <t xml:space="preserve">02/19/2008
365000 --&gt; 355000
</t>
        </r>
      </text>
    </comment>
    <comment ref="F108" authorId="0">
      <text>
        <r>
          <rPr>
            <sz val="9"/>
            <color indexed="81"/>
            <rFont val="Tahoma"/>
            <charset val="1"/>
          </rPr>
          <t xml:space="preserve">02/21/2008
365000 --&gt; 348075
</t>
        </r>
      </text>
    </comment>
    <comment ref="F109" authorId="0">
      <text>
        <r>
          <rPr>
            <sz val="9"/>
            <color indexed="81"/>
            <rFont val="Tahoma"/>
            <charset val="1"/>
          </rPr>
          <t xml:space="preserve">02/27/2008
365000 --&gt; 355000
</t>
        </r>
      </text>
    </comment>
    <comment ref="B110" authorId="0">
      <text>
        <r>
          <rPr>
            <sz val="9"/>
            <color indexed="81"/>
            <rFont val="Tahoma"/>
            <charset val="1"/>
          </rPr>
          <t xml:space="preserve">02/27/2008
Active --&gt; Subject To Inspection
</t>
        </r>
      </text>
    </comment>
    <comment ref="F113" authorId="0">
      <text>
        <r>
          <rPr>
            <sz val="9"/>
            <color indexed="81"/>
            <rFont val="Tahoma"/>
            <charset val="1"/>
          </rPr>
          <t xml:space="preserve">02/20/2008
368000 --&gt; 359000
</t>
        </r>
      </text>
    </comment>
    <comment ref="K113" authorId="0">
      <text>
        <r>
          <rPr>
            <sz val="9"/>
            <color indexed="81"/>
            <rFont val="Tahoma"/>
            <charset val="1"/>
          </rPr>
          <t xml:space="preserve">02/25/2008
2.25 --&gt; 3.25
</t>
        </r>
      </text>
    </comment>
    <comment ref="B116" authorId="0">
      <text>
        <r>
          <rPr>
            <sz val="9"/>
            <color indexed="81"/>
            <rFont val="Tahoma"/>
            <charset val="1"/>
          </rPr>
          <t xml:space="preserve">02/21/2008
Subject To Inspection --&gt; Active
02/19/2008
Active --&gt; Subject To Inspection
</t>
        </r>
      </text>
    </comment>
    <comment ref="F117" authorId="0">
      <text>
        <r>
          <rPr>
            <sz val="9"/>
            <color indexed="81"/>
            <rFont val="Tahoma"/>
            <charset val="1"/>
          </rPr>
          <t xml:space="preserve">02/25/2008
369950 --&gt; 364950
</t>
        </r>
      </text>
    </comment>
    <comment ref="B122" authorId="0">
      <text>
        <r>
          <rPr>
            <sz val="9"/>
            <color indexed="81"/>
            <rFont val="Tahoma"/>
            <charset val="1"/>
          </rPr>
          <t xml:space="preserve">02/23/2008
Active --&gt; Subject To Inspection
</t>
        </r>
      </text>
    </comment>
    <comment ref="F124" authorId="0">
      <text>
        <r>
          <rPr>
            <sz val="9"/>
            <color indexed="81"/>
            <rFont val="Tahoma"/>
            <charset val="1"/>
          </rPr>
          <t xml:space="preserve">02/18/2008
390000 --&gt; 370000
</t>
        </r>
      </text>
    </comment>
    <comment ref="B127" authorId="0">
      <text>
        <r>
          <rPr>
            <sz val="9"/>
            <color indexed="81"/>
            <rFont val="Tahoma"/>
            <charset val="1"/>
          </rPr>
          <t xml:space="preserve">02/29/2008
Active --&gt; Subject To Inspection
</t>
        </r>
      </text>
    </comment>
    <comment ref="F127" authorId="0">
      <text>
        <r>
          <rPr>
            <sz val="9"/>
            <color indexed="81"/>
            <rFont val="Tahoma"/>
            <charset val="1"/>
          </rPr>
          <t xml:space="preserve">02/25/2008
369950 --&gt; 357000
02/23/2008
374950 --&gt; 369950
</t>
        </r>
      </text>
    </comment>
    <comment ref="B130" authorId="0">
      <text>
        <r>
          <rPr>
            <sz val="9"/>
            <color indexed="81"/>
            <rFont val="Tahoma"/>
            <charset val="1"/>
          </rPr>
          <t xml:space="preserve">02/20/2008
Subject To Inspection --&gt; Active
</t>
        </r>
      </text>
    </comment>
    <comment ref="B142" authorId="0">
      <text>
        <r>
          <rPr>
            <sz val="9"/>
            <color indexed="81"/>
            <rFont val="Tahoma"/>
            <charset val="1"/>
          </rPr>
          <t xml:space="preserve">02/27/2008
Active --&gt; Subject To Inspection
</t>
        </r>
      </text>
    </comment>
    <comment ref="B158" authorId="0">
      <text>
        <r>
          <rPr>
            <sz val="9"/>
            <color indexed="81"/>
            <rFont val="Tahoma"/>
            <charset val="1"/>
          </rPr>
          <t xml:space="preserve">02/25/2008
Active --&gt; Subject To Inspection
</t>
        </r>
      </text>
    </comment>
    <comment ref="F163" authorId="0">
      <text>
        <r>
          <rPr>
            <sz val="9"/>
            <color indexed="81"/>
            <rFont val="Tahoma"/>
            <charset val="1"/>
          </rPr>
          <t xml:space="preserve">02/23/2008
395000 --&gt; 379000
</t>
        </r>
      </text>
    </comment>
    <comment ref="B165" authorId="0">
      <text>
        <r>
          <rPr>
            <sz val="9"/>
            <color indexed="81"/>
            <rFont val="Tahoma"/>
            <charset val="1"/>
          </rPr>
          <t xml:space="preserve">02/23/2008
Active --&gt; Subject To Inspection
</t>
        </r>
      </text>
    </comment>
    <comment ref="F170" authorId="0">
      <text>
        <r>
          <rPr>
            <sz val="9"/>
            <color indexed="81"/>
            <rFont val="Tahoma"/>
            <charset val="1"/>
          </rPr>
          <t xml:space="preserve">02/25/2008
399000 --&gt; 389000
</t>
        </r>
      </text>
    </comment>
    <comment ref="F175" authorId="0">
      <text>
        <r>
          <rPr>
            <sz val="9"/>
            <color indexed="81"/>
            <rFont val="Tahoma"/>
            <charset val="1"/>
          </rPr>
          <t xml:space="preserve">02/27/2008
399950 --&gt; 375000
</t>
        </r>
      </text>
    </comment>
    <comment ref="F176" authorId="0">
      <text>
        <r>
          <rPr>
            <sz val="9"/>
            <color indexed="81"/>
            <rFont val="Tahoma"/>
            <charset val="1"/>
          </rPr>
          <t xml:space="preserve">02/27/2008
399950 --&gt; 375000
</t>
        </r>
      </text>
    </comment>
    <comment ref="F189" authorId="0">
      <text>
        <r>
          <rPr>
            <sz val="9"/>
            <color indexed="81"/>
            <rFont val="Tahoma"/>
            <charset val="1"/>
          </rPr>
          <t xml:space="preserve">02/28/2008
400000 --&gt; 350000
</t>
        </r>
      </text>
    </comment>
    <comment ref="B193" authorId="0">
      <text>
        <r>
          <rPr>
            <sz val="9"/>
            <color indexed="81"/>
            <rFont val="Tahoma"/>
            <charset val="1"/>
          </rPr>
          <t xml:space="preserve">02/23/2008
Active --&gt; Subject To Inspection
</t>
        </r>
      </text>
    </comment>
    <comment ref="F197" authorId="0">
      <text>
        <r>
          <rPr>
            <sz val="9"/>
            <color indexed="81"/>
            <rFont val="Tahoma"/>
            <charset val="1"/>
          </rPr>
          <t xml:space="preserve">02/28/2008
405000 --&gt; 399000
</t>
        </r>
      </text>
    </comment>
    <comment ref="F204" authorId="0">
      <text>
        <r>
          <rPr>
            <sz val="9"/>
            <color indexed="81"/>
            <rFont val="Tahoma"/>
            <charset val="1"/>
          </rPr>
          <t xml:space="preserve">02/21/2008
409950 --&gt; 399950
</t>
        </r>
      </text>
    </comment>
    <comment ref="F206" authorId="0">
      <text>
        <r>
          <rPr>
            <sz val="9"/>
            <color indexed="81"/>
            <rFont val="Tahoma"/>
            <charset val="1"/>
          </rPr>
          <t xml:space="preserve">02/20/2008
409950 --&gt; 399950
</t>
        </r>
      </text>
    </comment>
    <comment ref="F210" authorId="0">
      <text>
        <r>
          <rPr>
            <sz val="9"/>
            <color indexed="81"/>
            <rFont val="Tahoma"/>
            <charset val="1"/>
          </rPr>
          <t xml:space="preserve">02/19/2008
412500 --&gt; 399950
</t>
        </r>
      </text>
    </comment>
    <comment ref="B213" authorId="0">
      <text>
        <r>
          <rPr>
            <sz val="9"/>
            <color indexed="81"/>
            <rFont val="Tahoma"/>
            <charset val="1"/>
          </rPr>
          <t xml:space="preserve">02/20/2008
Active --&gt; Subject To Inspection
</t>
        </r>
      </text>
    </comment>
    <comment ref="B215" authorId="0">
      <text>
        <r>
          <rPr>
            <sz val="9"/>
            <color indexed="81"/>
            <rFont val="Tahoma"/>
            <charset val="1"/>
          </rPr>
          <t xml:space="preserve">02/21/2008
Active --&gt; Subject To Inspection
</t>
        </r>
      </text>
    </comment>
    <comment ref="B217" authorId="0">
      <text>
        <r>
          <rPr>
            <sz val="9"/>
            <color indexed="81"/>
            <rFont val="Tahoma"/>
            <charset val="1"/>
          </rPr>
          <t xml:space="preserve">02/28/2008
Active --&gt; Subject To Inspection
</t>
        </r>
      </text>
    </comment>
    <comment ref="B223" authorId="0">
      <text>
        <r>
          <rPr>
            <sz val="9"/>
            <color indexed="81"/>
            <rFont val="Tahoma"/>
            <charset val="1"/>
          </rPr>
          <t xml:space="preserve">02/20/2008
Active --&gt; Subject To Inspection
</t>
        </r>
      </text>
    </comment>
    <comment ref="E224" authorId="0">
      <text>
        <r>
          <rPr>
            <sz val="9"/>
            <color indexed="81"/>
            <rFont val="Tahoma"/>
            <charset val="1"/>
          </rPr>
          <t xml:space="preserve">02/28/2008
14354 19th Ave NE --&gt; 14356 19th Ave NE
</t>
        </r>
      </text>
    </comment>
    <comment ref="F224" authorId="0">
      <text>
        <r>
          <rPr>
            <sz val="9"/>
            <color indexed="81"/>
            <rFont val="Tahoma"/>
            <charset val="1"/>
          </rPr>
          <t xml:space="preserve">02/28/2008
424900 --&gt; 399950
</t>
        </r>
      </text>
    </comment>
    <comment ref="H225" authorId="0">
      <text>
        <r>
          <rPr>
            <sz val="9"/>
            <color indexed="81"/>
            <rFont val="Tahoma"/>
            <charset val="1"/>
          </rPr>
          <t xml:space="preserve">02/19/2008
1750 --&gt; 1800
</t>
        </r>
      </text>
    </comment>
    <comment ref="F228" authorId="0">
      <text>
        <r>
          <rPr>
            <sz val="9"/>
            <color indexed="81"/>
            <rFont val="Tahoma"/>
            <charset val="1"/>
          </rPr>
          <t xml:space="preserve">02/27/2008
425000 --&gt; 400000
</t>
        </r>
      </text>
    </comment>
    <comment ref="B231" authorId="0">
      <text>
        <r>
          <rPr>
            <sz val="9"/>
            <color indexed="81"/>
            <rFont val="Tahoma"/>
            <charset val="1"/>
          </rPr>
          <t xml:space="preserve">02/20/2008
Active --&gt; Subject To Inspection
</t>
        </r>
      </text>
    </comment>
    <comment ref="B232" authorId="0">
      <text>
        <r>
          <rPr>
            <sz val="9"/>
            <color indexed="81"/>
            <rFont val="Tahoma"/>
            <charset val="1"/>
          </rPr>
          <t xml:space="preserve">02/19/2008
Active --&gt; Subject To Inspection
</t>
        </r>
      </text>
    </comment>
    <comment ref="E237" authorId="0">
      <text>
        <r>
          <rPr>
            <sz val="9"/>
            <color indexed="81"/>
            <rFont val="Tahoma"/>
            <charset val="1"/>
          </rPr>
          <t xml:space="preserve">02/19/2008
2302 NE 92 St --&gt; 2302 NE 92nd St
</t>
        </r>
      </text>
    </comment>
    <comment ref="F242" authorId="0">
      <text>
        <r>
          <rPr>
            <sz val="9"/>
            <color indexed="81"/>
            <rFont val="Tahoma"/>
            <charset val="1"/>
          </rPr>
          <t xml:space="preserve">02/27/2008
430000 --&gt; 424950
</t>
        </r>
      </text>
    </comment>
    <comment ref="B248" authorId="0">
      <text>
        <r>
          <rPr>
            <sz val="9"/>
            <color indexed="81"/>
            <rFont val="Tahoma"/>
            <charset val="1"/>
          </rPr>
          <t xml:space="preserve">02/27/2008
Subject To Inspection --&gt; Contingent
</t>
        </r>
      </text>
    </comment>
    <comment ref="F259" authorId="0">
      <text>
        <r>
          <rPr>
            <sz val="9"/>
            <color indexed="81"/>
            <rFont val="Tahoma"/>
            <charset val="1"/>
          </rPr>
          <t xml:space="preserve">02/21/2008
444000 --&gt; 435000
</t>
        </r>
      </text>
    </comment>
    <comment ref="F262" authorId="0">
      <text>
        <r>
          <rPr>
            <sz val="9"/>
            <color indexed="81"/>
            <rFont val="Tahoma"/>
            <charset val="1"/>
          </rPr>
          <t xml:space="preserve">02/19/2008
449000 --&gt; 439000
</t>
        </r>
      </text>
    </comment>
    <comment ref="B264" authorId="0">
      <text>
        <r>
          <rPr>
            <sz val="9"/>
            <color indexed="81"/>
            <rFont val="Tahoma"/>
            <charset val="1"/>
          </rPr>
          <t xml:space="preserve">02/23/2008
Active --&gt; Subject To Inspection
</t>
        </r>
      </text>
    </comment>
    <comment ref="B267" authorId="0">
      <text>
        <r>
          <rPr>
            <sz val="9"/>
            <color indexed="81"/>
            <rFont val="Tahoma"/>
            <charset val="1"/>
          </rPr>
          <t xml:space="preserve">02/19/2008
Active --&gt; Subject To Inspection
</t>
        </r>
      </text>
    </comment>
    <comment ref="F268" authorId="0">
      <text>
        <r>
          <rPr>
            <sz val="9"/>
            <color indexed="81"/>
            <rFont val="Tahoma"/>
            <charset val="1"/>
          </rPr>
          <t xml:space="preserve">02/28/2008
449900 --&gt; 434900
</t>
        </r>
      </text>
    </comment>
    <comment ref="B271" authorId="0">
      <text>
        <r>
          <rPr>
            <sz val="9"/>
            <color indexed="81"/>
            <rFont val="Tahoma"/>
            <charset val="1"/>
          </rPr>
          <t xml:space="preserve">02/29/2008
Active --&gt; Subject To Inspection
</t>
        </r>
      </text>
    </comment>
    <comment ref="F271" authorId="0">
      <text>
        <r>
          <rPr>
            <sz val="9"/>
            <color indexed="81"/>
            <rFont val="Tahoma"/>
            <charset val="1"/>
          </rPr>
          <t xml:space="preserve">02/27/2008
449950 --&gt; 429950
</t>
        </r>
      </text>
    </comment>
    <comment ref="F280" authorId="0">
      <text>
        <r>
          <rPr>
            <sz val="9"/>
            <color indexed="81"/>
            <rFont val="Tahoma"/>
            <charset val="1"/>
          </rPr>
          <t xml:space="preserve">02/23/2008
455900 --&gt; 452900
</t>
        </r>
      </text>
    </comment>
    <comment ref="F281" authorId="0">
      <text>
        <r>
          <rPr>
            <sz val="9"/>
            <color indexed="81"/>
            <rFont val="Tahoma"/>
            <charset val="1"/>
          </rPr>
          <t xml:space="preserve">02/28/2008
457000 --&gt; 447000
</t>
        </r>
      </text>
    </comment>
    <comment ref="B283" authorId="0">
      <text>
        <r>
          <rPr>
            <sz val="9"/>
            <color indexed="81"/>
            <rFont val="Tahoma"/>
            <charset val="1"/>
          </rPr>
          <t xml:space="preserve">02/23/2008
Active --&gt; Subject To Inspection
02/21/2008
Subject To Inspection --&gt; Active
02/18/2008
Active --&gt; Subject To Inspection
</t>
        </r>
      </text>
    </comment>
    <comment ref="F284" authorId="0">
      <text>
        <r>
          <rPr>
            <sz val="9"/>
            <color indexed="81"/>
            <rFont val="Tahoma"/>
            <charset val="1"/>
          </rPr>
          <t xml:space="preserve">02/29/2008
459950 --&gt; 447950
</t>
        </r>
      </text>
    </comment>
    <comment ref="F285" authorId="0">
      <text>
        <r>
          <rPr>
            <sz val="9"/>
            <color indexed="81"/>
            <rFont val="Tahoma"/>
            <charset val="1"/>
          </rPr>
          <t xml:space="preserve">02/29/2008
459950 --&gt; 409950
</t>
        </r>
      </text>
    </comment>
    <comment ref="B288" authorId="0">
      <text>
        <r>
          <rPr>
            <sz val="9"/>
            <color indexed="81"/>
            <rFont val="Tahoma"/>
            <charset val="1"/>
          </rPr>
          <t xml:space="preserve">02/28/2008
Active --&gt; Subject To Inspection
</t>
        </r>
      </text>
    </comment>
    <comment ref="F291" authorId="0">
      <text>
        <r>
          <rPr>
            <sz val="9"/>
            <color indexed="81"/>
            <rFont val="Tahoma"/>
            <charset val="1"/>
          </rPr>
          <t xml:space="preserve">02/25/2008
465000 --&gt; 459000
</t>
        </r>
      </text>
    </comment>
    <comment ref="F295" authorId="0">
      <text>
        <r>
          <rPr>
            <sz val="9"/>
            <color indexed="81"/>
            <rFont val="Tahoma"/>
            <charset val="1"/>
          </rPr>
          <t xml:space="preserve">02/29/2008
469000 --&gt; 449950
</t>
        </r>
      </text>
    </comment>
    <comment ref="F296" authorId="0">
      <text>
        <r>
          <rPr>
            <sz val="9"/>
            <color indexed="81"/>
            <rFont val="Tahoma"/>
            <charset val="1"/>
          </rPr>
          <t xml:space="preserve">02/19/2008
469000 --&gt; 449000
</t>
        </r>
      </text>
    </comment>
    <comment ref="F297" authorId="0">
      <text>
        <r>
          <rPr>
            <sz val="9"/>
            <color indexed="81"/>
            <rFont val="Tahoma"/>
            <charset val="1"/>
          </rPr>
          <t xml:space="preserve">02/19/2008
469000 --&gt; 449000
</t>
        </r>
      </text>
    </comment>
    <comment ref="F298" authorId="0">
      <text>
        <r>
          <rPr>
            <sz val="9"/>
            <color indexed="81"/>
            <rFont val="Tahoma"/>
            <charset val="1"/>
          </rPr>
          <t xml:space="preserve">02/19/2008
469000 --&gt; 449000
</t>
        </r>
      </text>
    </comment>
    <comment ref="F299" authorId="0">
      <text>
        <r>
          <rPr>
            <sz val="9"/>
            <color indexed="81"/>
            <rFont val="Tahoma"/>
            <charset val="1"/>
          </rPr>
          <t xml:space="preserve">02/19/2008
469000 --&gt; 449000
</t>
        </r>
      </text>
    </comment>
    <comment ref="B304" authorId="0">
      <text>
        <r>
          <rPr>
            <sz val="9"/>
            <color indexed="81"/>
            <rFont val="Tahoma"/>
            <charset val="1"/>
          </rPr>
          <t xml:space="preserve">02/28/2008
Active --&gt; Subject To Inspection
</t>
        </r>
      </text>
    </comment>
    <comment ref="E304" authorId="0">
      <text>
        <r>
          <rPr>
            <sz val="9"/>
            <color indexed="81"/>
            <rFont val="Tahoma"/>
            <charset val="1"/>
          </rPr>
          <t xml:space="preserve">02/23/2008
5762 25 Ave NE --&gt; 5762 25th Ave NE
</t>
        </r>
      </text>
    </comment>
    <comment ref="F304" authorId="0">
      <text>
        <r>
          <rPr>
            <sz val="9"/>
            <color indexed="81"/>
            <rFont val="Tahoma"/>
            <charset val="1"/>
          </rPr>
          <t xml:space="preserve">02/23/2008
469950 --&gt; 429000
</t>
        </r>
      </text>
    </comment>
    <comment ref="F307" authorId="0">
      <text>
        <r>
          <rPr>
            <sz val="9"/>
            <color indexed="81"/>
            <rFont val="Tahoma"/>
            <charset val="1"/>
          </rPr>
          <t xml:space="preserve">02/28/2008
475000 --&gt; 449950
</t>
        </r>
      </text>
    </comment>
    <comment ref="B310" authorId="0">
      <text>
        <r>
          <rPr>
            <sz val="9"/>
            <color indexed="81"/>
            <rFont val="Tahoma"/>
            <charset val="1"/>
          </rPr>
          <t xml:space="preserve">02/19/2008
Active --&gt; Subject To Inspection
</t>
        </r>
      </text>
    </comment>
    <comment ref="AS312" authorId="0">
      <text>
        <r>
          <rPr>
            <sz val="9"/>
            <color indexed="81"/>
            <rFont val="Tahoma"/>
            <charset val="1"/>
          </rPr>
          <t xml:space="preserve">02/23/2008
http://www.windermere.com/index.cfm?fuseaction=Listing.ListingDetail&amp;ListingID=19355824 --&gt; http://www.windermere.com/index.cfm?fuseaction=Listing.ListingDetail&amp;ListingID=19408406
</t>
        </r>
      </text>
    </comment>
    <comment ref="AT312" authorId="0">
      <text>
        <r>
          <rPr>
            <sz val="9"/>
            <color indexed="81"/>
            <rFont val="Tahoma"/>
            <charset val="1"/>
          </rPr>
          <t xml:space="preserve">02/23/2008
19355824 --&gt; 19408406
</t>
        </r>
      </text>
    </comment>
    <comment ref="B314" authorId="0">
      <text>
        <r>
          <rPr>
            <sz val="9"/>
            <color indexed="81"/>
            <rFont val="Tahoma"/>
            <charset val="1"/>
          </rPr>
          <t xml:space="preserve">02/21/2008
Active --&gt; Subject To Inspection
</t>
        </r>
      </text>
    </comment>
    <comment ref="F317" authorId="0">
      <text>
        <r>
          <rPr>
            <sz val="9"/>
            <color indexed="81"/>
            <rFont val="Tahoma"/>
            <charset val="1"/>
          </rPr>
          <t xml:space="preserve">02/28/2008
479900 --&gt; 450000
</t>
        </r>
      </text>
    </comment>
    <comment ref="F320" authorId="0">
      <text>
        <r>
          <rPr>
            <sz val="9"/>
            <color indexed="81"/>
            <rFont val="Tahoma"/>
            <charset val="1"/>
          </rPr>
          <t xml:space="preserve">02/29/2008
479950 --&gt; 447950
</t>
        </r>
      </text>
    </comment>
    <comment ref="B330" authorId="0">
      <text>
        <r>
          <rPr>
            <sz val="9"/>
            <color indexed="81"/>
            <rFont val="Tahoma"/>
            <charset val="1"/>
          </rPr>
          <t xml:space="preserve">02/27/2008
Active --&gt; Subject To Inspection
</t>
        </r>
      </text>
    </comment>
    <comment ref="B332" authorId="0">
      <text>
        <r>
          <rPr>
            <sz val="9"/>
            <color indexed="81"/>
            <rFont val="Tahoma"/>
            <charset val="1"/>
          </rPr>
          <t xml:space="preserve">02/25/2008
Active --&gt; Subject To Inspection
</t>
        </r>
      </text>
    </comment>
    <comment ref="F337" authorId="0">
      <text>
        <r>
          <rPr>
            <sz val="9"/>
            <color indexed="81"/>
            <rFont val="Tahoma"/>
            <charset val="1"/>
          </rPr>
          <t xml:space="preserve">02/28/2008
489000 --&gt; 479950
</t>
        </r>
      </text>
    </comment>
    <comment ref="F338" authorId="0">
      <text>
        <r>
          <rPr>
            <sz val="9"/>
            <color indexed="81"/>
            <rFont val="Tahoma"/>
            <charset val="1"/>
          </rPr>
          <t xml:space="preserve">02/20/2008
489000 --&gt; 474950
</t>
        </r>
      </text>
    </comment>
    <comment ref="F348" authorId="0">
      <text>
        <r>
          <rPr>
            <sz val="9"/>
            <color indexed="81"/>
            <rFont val="Tahoma"/>
            <charset val="1"/>
          </rPr>
          <t xml:space="preserve">02/27/2008
495000 --&gt; 485000
</t>
        </r>
      </text>
    </comment>
    <comment ref="B350" authorId="0">
      <text>
        <r>
          <rPr>
            <sz val="9"/>
            <color indexed="81"/>
            <rFont val="Tahoma"/>
            <charset val="1"/>
          </rPr>
          <t xml:space="preserve">02/23/2008
Active --&gt; Subject To Inspection
</t>
        </r>
      </text>
    </comment>
    <comment ref="F352" authorId="0">
      <text>
        <r>
          <rPr>
            <sz val="9"/>
            <color indexed="81"/>
            <rFont val="Tahoma"/>
            <charset val="1"/>
          </rPr>
          <t xml:space="preserve">02/20/2008
499000 --&gt; 475000
</t>
        </r>
      </text>
    </comment>
    <comment ref="B353" authorId="0">
      <text>
        <r>
          <rPr>
            <sz val="9"/>
            <color indexed="81"/>
            <rFont val="Tahoma"/>
            <charset val="1"/>
          </rPr>
          <t xml:space="preserve">02/19/2008
Active --&gt; Subject To Inspection
</t>
        </r>
      </text>
    </comment>
    <comment ref="B355" authorId="0">
      <text>
        <r>
          <rPr>
            <sz val="9"/>
            <color indexed="81"/>
            <rFont val="Tahoma"/>
            <charset val="1"/>
          </rPr>
          <t xml:space="preserve">02/25/2008
Active --&gt; Subject To Inspection
</t>
        </r>
      </text>
    </comment>
    <comment ref="F360" authorId="0">
      <text>
        <r>
          <rPr>
            <sz val="9"/>
            <color indexed="81"/>
            <rFont val="Tahoma"/>
            <charset val="1"/>
          </rPr>
          <t xml:space="preserve">02/23/2008
499950 --&gt; 489950
</t>
        </r>
      </text>
    </comment>
    <comment ref="F361" authorId="0">
      <text>
        <r>
          <rPr>
            <sz val="9"/>
            <color indexed="81"/>
            <rFont val="Tahoma"/>
            <charset val="1"/>
          </rPr>
          <t xml:space="preserve">02/28/2008
489950 --&gt; 474995
02/23/2008
499950 --&gt; 489950
</t>
        </r>
      </text>
    </comment>
    <comment ref="B364" authorId="0">
      <text>
        <r>
          <rPr>
            <sz val="9"/>
            <color indexed="81"/>
            <rFont val="Tahoma"/>
            <charset val="1"/>
          </rPr>
          <t xml:space="preserve">02/29/2008
Active --&gt; Subject To Inspection
</t>
        </r>
      </text>
    </comment>
    <comment ref="F369" authorId="0">
      <text>
        <r>
          <rPr>
            <sz val="9"/>
            <color indexed="81"/>
            <rFont val="Tahoma"/>
            <charset val="1"/>
          </rPr>
          <t xml:space="preserve">02/28/2008
499999 --&gt; 500000
</t>
        </r>
      </text>
    </comment>
    <comment ref="E372" authorId="0">
      <text>
        <r>
          <rPr>
            <sz val="9"/>
            <color indexed="81"/>
            <rFont val="Tahoma"/>
            <charset val="1"/>
          </rPr>
          <t xml:space="preserve">02/19/2008
4108 Greenwood Ave N --&gt; 4108 Greenwood (Not Busy) Ave N
</t>
        </r>
      </text>
    </comment>
    <comment ref="F380" authorId="0">
      <text>
        <r>
          <rPr>
            <sz val="9"/>
            <color indexed="81"/>
            <rFont val="Tahoma"/>
            <charset val="1"/>
          </rPr>
          <t xml:space="preserve">02/23/2008
549500 --&gt; 539500
</t>
        </r>
      </text>
    </comment>
    <comment ref="B381" authorId="0">
      <text>
        <r>
          <rPr>
            <sz val="9"/>
            <color indexed="81"/>
            <rFont val="Tahoma"/>
            <charset val="1"/>
          </rPr>
          <t xml:space="preserve">02/29/2008
Active --&gt; Subject To Inspection
</t>
        </r>
      </text>
    </comment>
    <comment ref="F382" authorId="0">
      <text>
        <r>
          <rPr>
            <sz val="9"/>
            <color indexed="81"/>
            <rFont val="Tahoma"/>
            <charset val="1"/>
          </rPr>
          <t xml:space="preserve">02/20/2008
549950 --&gt; 535000
</t>
        </r>
      </text>
    </comment>
    <comment ref="F385" authorId="0">
      <text>
        <r>
          <rPr>
            <sz val="9"/>
            <color indexed="81"/>
            <rFont val="Tahoma"/>
            <charset val="1"/>
          </rPr>
          <t xml:space="preserve">02/28/2008
559000 --&gt; 509000
</t>
        </r>
      </text>
    </comment>
    <comment ref="H385" authorId="0">
      <text>
        <r>
          <rPr>
            <sz val="9"/>
            <color indexed="81"/>
            <rFont val="Tahoma"/>
            <charset val="1"/>
          </rPr>
          <t xml:space="preserve">02/28/2008
2360 --&gt; 1962
</t>
        </r>
      </text>
    </comment>
    <comment ref="D388" authorId="0">
      <text>
        <r>
          <rPr>
            <sz val="9"/>
            <color indexed="81"/>
            <rFont val="Tahoma"/>
            <charset val="1"/>
          </rPr>
          <t xml:space="preserve">02/21/2008
Crown Hill --&gt; Ballard
</t>
        </r>
      </text>
    </comment>
    <comment ref="F388" authorId="0">
      <text>
        <r>
          <rPr>
            <sz val="9"/>
            <color indexed="81"/>
            <rFont val="Tahoma"/>
            <charset val="1"/>
          </rPr>
          <t xml:space="preserve">02/19/2008
564950 --&gt; 554950
</t>
        </r>
      </text>
    </comment>
    <comment ref="B389" authorId="0">
      <text>
        <r>
          <rPr>
            <sz val="9"/>
            <color indexed="81"/>
            <rFont val="Tahoma"/>
            <charset val="1"/>
          </rPr>
          <t xml:space="preserve">02/23/2008
Active --&gt; Subject To Inspection
</t>
        </r>
      </text>
    </comment>
    <comment ref="F391" authorId="0">
      <text>
        <r>
          <rPr>
            <sz val="9"/>
            <color indexed="81"/>
            <rFont val="Tahoma"/>
            <charset val="1"/>
          </rPr>
          <t xml:space="preserve">02/27/2008
575000 --&gt; 565000
</t>
        </r>
      </text>
    </comment>
    <comment ref="F401" authorId="0">
      <text>
        <r>
          <rPr>
            <sz val="9"/>
            <color indexed="81"/>
            <rFont val="Tahoma"/>
            <charset val="1"/>
          </rPr>
          <t xml:space="preserve">02/25/2008
615000 --&gt; 599900
</t>
        </r>
      </text>
    </comment>
    <comment ref="F409" authorId="0">
      <text>
        <r>
          <rPr>
            <sz val="9"/>
            <color indexed="81"/>
            <rFont val="Tahoma"/>
            <charset val="1"/>
          </rPr>
          <t xml:space="preserve">02/23/2008
675000 --&gt; 629950
</t>
        </r>
      </text>
    </comment>
    <comment ref="F411" authorId="0">
      <text>
        <r>
          <rPr>
            <sz val="9"/>
            <color indexed="81"/>
            <rFont val="Tahoma"/>
            <charset val="1"/>
          </rPr>
          <t xml:space="preserve">02/23/2008
699950 --&gt; 689950
</t>
        </r>
      </text>
    </comment>
    <comment ref="F412" authorId="0">
      <text>
        <r>
          <rPr>
            <sz val="9"/>
            <color indexed="81"/>
            <rFont val="Tahoma"/>
            <charset val="1"/>
          </rPr>
          <t xml:space="preserve">02/23/2008
699950 --&gt; 689950
</t>
        </r>
      </text>
    </comment>
    <comment ref="F413" authorId="0">
      <text>
        <r>
          <rPr>
            <sz val="9"/>
            <color indexed="81"/>
            <rFont val="Tahoma"/>
            <charset val="1"/>
          </rPr>
          <t xml:space="preserve">02/23/2008
699950 --&gt; 689950
</t>
        </r>
      </text>
    </comment>
    <comment ref="F414" authorId="0">
      <text>
        <r>
          <rPr>
            <sz val="9"/>
            <color indexed="81"/>
            <rFont val="Tahoma"/>
            <charset val="1"/>
          </rPr>
          <t xml:space="preserve">02/23/2008
699950 --&gt; 694950
</t>
        </r>
      </text>
    </comment>
    <comment ref="F416" authorId="0">
      <text>
        <r>
          <rPr>
            <sz val="9"/>
            <color indexed="81"/>
            <rFont val="Tahoma"/>
            <charset val="1"/>
          </rPr>
          <t xml:space="preserve">02/23/2008
709950 --&gt; 689950
</t>
        </r>
      </text>
    </comment>
    <comment ref="F417" authorId="0">
      <text>
        <r>
          <rPr>
            <sz val="9"/>
            <color indexed="81"/>
            <rFont val="Tahoma"/>
            <charset val="1"/>
          </rPr>
          <t xml:space="preserve">02/23/2008
719950 --&gt; 699950
</t>
        </r>
      </text>
    </comment>
    <comment ref="F420" authorId="0">
      <text>
        <r>
          <rPr>
            <sz val="9"/>
            <color indexed="81"/>
            <rFont val="Tahoma"/>
            <charset val="1"/>
          </rPr>
          <t xml:space="preserve">02/23/2008
749950 --&gt; 725950
</t>
        </r>
      </text>
    </comment>
    <comment ref="D421" authorId="0">
      <text>
        <r>
          <rPr>
            <sz val="9"/>
            <color indexed="81"/>
            <rFont val="Tahoma"/>
            <charset val="1"/>
          </rPr>
          <t xml:space="preserve">02/29/2008
North Beach Mountain &amp;amp; Sound Views --&gt; Open March 2, 1-4 p.m. North Beach View
02/20/2008
Open Feb. 17 from 1-4 --&gt; North Beach Mountain &amp;amp; Sound Views
</t>
        </r>
      </text>
    </comment>
    <comment ref="B423" authorId="0">
      <text>
        <r>
          <rPr>
            <sz val="9"/>
            <color indexed="81"/>
            <rFont val="Tahoma"/>
            <charset val="1"/>
          </rPr>
          <t xml:space="preserve">02/27/2008
Active --&gt; Subject To Inspection
</t>
        </r>
      </text>
    </comment>
    <comment ref="B428" authorId="0">
      <text>
        <r>
          <rPr>
            <sz val="9"/>
            <color indexed="81"/>
            <rFont val="Tahoma"/>
            <charset val="1"/>
          </rPr>
          <t xml:space="preserve">02/25/2008
Active --&gt; Subject To Inspection
</t>
        </r>
      </text>
    </comment>
    <comment ref="F430" authorId="0">
      <text>
        <r>
          <rPr>
            <sz val="9"/>
            <color indexed="81"/>
            <rFont val="Tahoma"/>
            <charset val="1"/>
          </rPr>
          <t xml:space="preserve">02/29/2008
968950 --&gt; 948950
</t>
        </r>
      </text>
    </comment>
    <comment ref="D433" authorId="0">
      <text>
        <r>
          <rPr>
            <sz val="9"/>
            <color indexed="81"/>
            <rFont val="Tahoma"/>
            <charset val="1"/>
          </rPr>
          <t xml:space="preserve">02/21/2008
North Beach --&gt; New Construction in North Beach
</t>
        </r>
      </text>
    </comment>
    <comment ref="B435" authorId="0">
      <text>
        <r>
          <rPr>
            <sz val="9"/>
            <color indexed="81"/>
            <rFont val="Tahoma"/>
            <charset val="1"/>
          </rPr>
          <t xml:space="preserve">02/20/2008
Active --&gt; Subject To Inspection
</t>
        </r>
      </text>
    </comment>
    <comment ref="F441" authorId="0">
      <text>
        <r>
          <rPr>
            <sz val="9"/>
            <color indexed="81"/>
            <rFont val="Tahoma"/>
            <charset val="1"/>
          </rPr>
          <t xml:space="preserve">02/29/2008
1592000 --&gt; 1575000
</t>
        </r>
      </text>
    </comment>
    <comment ref="AS441" authorId="0">
      <text>
        <r>
          <rPr>
            <sz val="9"/>
            <color indexed="81"/>
            <rFont val="Tahoma"/>
            <charset val="1"/>
          </rPr>
          <t xml:space="preserve">02/29/2008
http://www.windermere.com/index.cfm?fuseaction=Listing.ListingDetail&amp;ListingID=19066189 --&gt; http://www.windermere.com/index.cfm?fuseaction=Listing.ListingDetail&amp;ListingID=19461870
</t>
        </r>
      </text>
    </comment>
    <comment ref="AT441" authorId="0">
      <text>
        <r>
          <rPr>
            <sz val="9"/>
            <color indexed="81"/>
            <rFont val="Tahoma"/>
            <charset val="1"/>
          </rPr>
          <t xml:space="preserve">02/29/2008
19066189 --&gt; 19461870
</t>
        </r>
      </text>
    </comment>
    <comment ref="B448" authorId="0">
      <text>
        <r>
          <rPr>
            <sz val="9"/>
            <color indexed="81"/>
            <rFont val="Tahoma"/>
            <charset val="1"/>
          </rPr>
          <t xml:space="preserve">02/25/2008
Active --&gt; Subject To Inspection
</t>
        </r>
      </text>
    </comment>
    <comment ref="B449" authorId="0">
      <text>
        <r>
          <rPr>
            <sz val="9"/>
            <color indexed="81"/>
            <rFont val="Tahoma"/>
            <charset val="1"/>
          </rPr>
          <t xml:space="preserve">02/23/2008
Active --&gt; Subject To Inspection
</t>
        </r>
      </text>
    </comment>
    <comment ref="B450" authorId="0">
      <text>
        <r>
          <rPr>
            <sz val="9"/>
            <color indexed="81"/>
            <rFont val="Tahoma"/>
            <charset val="1"/>
          </rPr>
          <t xml:space="preserve">02/23/2008
Active --&gt; Subject To Inspection
</t>
        </r>
      </text>
    </comment>
    <comment ref="K454" authorId="0">
      <text>
        <r>
          <rPr>
            <sz val="9"/>
            <color indexed="81"/>
            <rFont val="Tahoma"/>
            <charset val="1"/>
          </rPr>
          <t xml:space="preserve">02/25/2008
2.25 --&gt; 3.25
</t>
        </r>
      </text>
    </comment>
    <comment ref="B455" authorId="0">
      <text>
        <r>
          <rPr>
            <sz val="9"/>
            <color indexed="81"/>
            <rFont val="Tahoma"/>
            <charset val="1"/>
          </rPr>
          <t xml:space="preserve">02/25/2008
Active --&gt; Subject To Inspection
</t>
        </r>
      </text>
    </comment>
    <comment ref="B459" authorId="0">
      <text>
        <r>
          <rPr>
            <sz val="9"/>
            <color indexed="81"/>
            <rFont val="Tahoma"/>
            <charset val="1"/>
          </rPr>
          <t xml:space="preserve">02/23/2008
Active --&gt; Subject To Inspection
</t>
        </r>
      </text>
    </comment>
    <comment ref="E462" authorId="0">
      <text>
        <r>
          <rPr>
            <sz val="9"/>
            <color indexed="81"/>
            <rFont val="Tahoma"/>
            <charset val="1"/>
          </rPr>
          <t xml:space="preserve">02/23/2008
202 N 39th St --&gt; 204 N 39th St
</t>
        </r>
      </text>
    </comment>
    <comment ref="B463" authorId="0">
      <text>
        <r>
          <rPr>
            <sz val="9"/>
            <color indexed="81"/>
            <rFont val="Tahoma"/>
            <charset val="1"/>
          </rPr>
          <t xml:space="preserve">02/27/2008
Active --&gt; Subject To Inspection
</t>
        </r>
      </text>
    </comment>
    <comment ref="K463" authorId="0">
      <text>
        <r>
          <rPr>
            <sz val="9"/>
            <color indexed="81"/>
            <rFont val="Tahoma"/>
            <charset val="1"/>
          </rPr>
          <t xml:space="preserve">02/23/2008
3 --&gt; 2.5
</t>
        </r>
      </text>
    </comment>
    <comment ref="AJ466" authorId="0">
      <text>
        <r>
          <rPr>
            <sz val="9"/>
            <color indexed="81"/>
            <rFont val="Tahoma"/>
            <charset val="1"/>
          </rPr>
          <t xml:space="preserve">02/27/2008
98170 --&gt; 98107
</t>
        </r>
      </text>
    </comment>
    <comment ref="K468" authorId="0">
      <text>
        <r>
          <rPr>
            <sz val="9"/>
            <color indexed="81"/>
            <rFont val="Tahoma"/>
            <charset val="1"/>
          </rPr>
          <t xml:space="preserve">02/25/2008
2.25 --&gt; 2
</t>
        </r>
      </text>
    </comment>
    <comment ref="AJ470" authorId="0">
      <text>
        <r>
          <rPr>
            <sz val="9"/>
            <color indexed="81"/>
            <rFont val="Tahoma"/>
            <charset val="1"/>
          </rPr>
          <t xml:space="preserve">02/27/2008
98115 --&gt; 98155
</t>
        </r>
      </text>
    </comment>
    <comment ref="B478" authorId="0">
      <text>
        <r>
          <rPr>
            <sz val="9"/>
            <color indexed="81"/>
            <rFont val="Tahoma"/>
            <charset val="1"/>
          </rPr>
          <t xml:space="preserve">02/27/2008
Active --&gt; Subject To Inspection
</t>
        </r>
      </text>
    </comment>
    <comment ref="F487" authorId="0">
      <text>
        <r>
          <rPr>
            <sz val="9"/>
            <color indexed="81"/>
            <rFont val="Tahoma"/>
            <charset val="1"/>
          </rPr>
          <t xml:space="preserve">02/28/2008
455000 --&gt; 439950
</t>
        </r>
      </text>
    </comment>
    <comment ref="D517" authorId="0">
      <text>
        <r>
          <rPr>
            <sz val="9"/>
            <color indexed="81"/>
            <rFont val="Tahoma"/>
            <charset val="1"/>
          </rPr>
          <t xml:space="preserve">02/29/2008
University District --&gt; Bryant
</t>
        </r>
      </text>
    </comment>
  </commentList>
</comments>
</file>

<file path=xl/sharedStrings.xml><?xml version="1.0" encoding="utf-8"?>
<sst xmlns="http://schemas.openxmlformats.org/spreadsheetml/2006/main" count="9642" uniqueCount="1999">
  <si>
    <t>FileSpec:</t>
  </si>
  <si>
    <t>FilePath:</t>
  </si>
  <si>
    <t>BusNear</t>
  </si>
  <si>
    <t>Unit</t>
  </si>
  <si>
    <t>Address</t>
  </si>
  <si>
    <t>Status</t>
  </si>
  <si>
    <t>MLS</t>
  </si>
  <si>
    <t>County</t>
  </si>
  <si>
    <t>ListPrice</t>
  </si>
  <si>
    <t>SoldPrice</t>
  </si>
  <si>
    <t>Bedrooms</t>
  </si>
  <si>
    <t>Bathrooms</t>
  </si>
  <si>
    <t>FirePlaces</t>
  </si>
  <si>
    <t>HouseSize</t>
  </si>
  <si>
    <t>LotSizeAc</t>
  </si>
  <si>
    <t>LotSize</t>
  </si>
  <si>
    <t>MapLink</t>
  </si>
  <si>
    <t>PixLink</t>
  </si>
  <si>
    <t>MktgRemarks</t>
  </si>
  <si>
    <t>YearBuilt</t>
  </si>
  <si>
    <t>Area</t>
  </si>
  <si>
    <t>Community</t>
  </si>
  <si>
    <t>Map</t>
  </si>
  <si>
    <t>Grid</t>
  </si>
  <si>
    <t>Pool</t>
  </si>
  <si>
    <t>BusRoute</t>
  </si>
  <si>
    <t>Heat_Cool</t>
  </si>
  <si>
    <t>Energy</t>
  </si>
  <si>
    <t>Water</t>
  </si>
  <si>
    <t>Sewer</t>
  </si>
  <si>
    <t>Flooring</t>
  </si>
  <si>
    <t>Appliances</t>
  </si>
  <si>
    <t>View</t>
  </si>
  <si>
    <t>Basement</t>
  </si>
  <si>
    <t>WaterHeater</t>
  </si>
  <si>
    <t>TaxYear</t>
  </si>
  <si>
    <t>TaxesAnnual</t>
  </si>
  <si>
    <t>Directions</t>
  </si>
  <si>
    <t>InteriorFeatures</t>
  </si>
  <si>
    <t>SiteFeatures</t>
  </si>
  <si>
    <t xml:space="preserve"> </t>
  </si>
  <si>
    <t>King</t>
  </si>
  <si>
    <t>Haller Lake</t>
  </si>
  <si>
    <t>A-4</t>
  </si>
  <si>
    <t>Yes</t>
  </si>
  <si>
    <t>Wall</t>
  </si>
  <si>
    <t>Electric</t>
  </si>
  <si>
    <t>Public</t>
  </si>
  <si>
    <t>Sewer Connected</t>
  </si>
  <si>
    <t>Dishwasher, Dryer, Garbage Disposal, Microwave, Range/Oven, Refrigerator, Washer</t>
  </si>
  <si>
    <t>None</t>
  </si>
  <si>
    <t>Dble Pane/Strm Windw</t>
  </si>
  <si>
    <t>Baseboard</t>
  </si>
  <si>
    <t>Dryer, Range/Oven, Refrigerator, Washer</t>
  </si>
  <si>
    <t>Daylight, Fully Finished</t>
  </si>
  <si>
    <t>Greenwood</t>
  </si>
  <si>
    <t>Forced Air</t>
  </si>
  <si>
    <t>Electric, Natural Gas</t>
  </si>
  <si>
    <t>Dishwasher, Dryer, Range/Oven, Refrigerator, Washer</t>
  </si>
  <si>
    <t>Outbuildings</t>
  </si>
  <si>
    <t>Green Lake</t>
  </si>
  <si>
    <t>J-7</t>
  </si>
  <si>
    <t>Fully Finished</t>
  </si>
  <si>
    <t>Ballard</t>
  </si>
  <si>
    <t>F-2</t>
  </si>
  <si>
    <t>Electric, Wood</t>
  </si>
  <si>
    <t>Seattle</t>
  </si>
  <si>
    <t>Natural Gas</t>
  </si>
  <si>
    <t>Ceramic Tile, Hardwood, Vinyl, Wall to Wall Carpet</t>
  </si>
  <si>
    <t>Ceramic Tile, Hardwood, Slate, Wall to Wall Carpet</t>
  </si>
  <si>
    <t>Broadview</t>
  </si>
  <si>
    <t>H-5</t>
  </si>
  <si>
    <t>Oil</t>
  </si>
  <si>
    <t>Laminate, Vinyl, Wall to Wall Carpet</t>
  </si>
  <si>
    <t>Dining Room, Dble Pane/Strm Windw</t>
  </si>
  <si>
    <t>Cable TV</t>
  </si>
  <si>
    <t>Dishwasher, Dryer, Microwave, Range/Oven, Refrigerator, Washer</t>
  </si>
  <si>
    <t>Partially Finished</t>
  </si>
  <si>
    <t>Loyal Heights</t>
  </si>
  <si>
    <t>D-2</t>
  </si>
  <si>
    <t>Hardwood</t>
  </si>
  <si>
    <t>H-3</t>
  </si>
  <si>
    <t>Baseboard, Forced Air</t>
  </si>
  <si>
    <t>Hardwood, Vinyl, Wall to Wall Carpet</t>
  </si>
  <si>
    <t>Dishwasher, Garbage Disposal, Range/Oven, Refrigerator</t>
  </si>
  <si>
    <t>Ceramic Tile, Hardwood, Wall to Wall Carpet</t>
  </si>
  <si>
    <t>Dishwasher, Dryer, Garbage Disposal, Range/Oven, Refrigerator, Washer</t>
  </si>
  <si>
    <t>Hardwood, Wall to Wall Carpet</t>
  </si>
  <si>
    <t>Phinney Ridge</t>
  </si>
  <si>
    <t>E-1</t>
  </si>
  <si>
    <t>Daylight, Partially Finished</t>
  </si>
  <si>
    <t>G-7</t>
  </si>
  <si>
    <t>G-3</t>
  </si>
  <si>
    <t>Baseboard, Forced Air, Wall</t>
  </si>
  <si>
    <t>Electric, Oil</t>
  </si>
  <si>
    <t>Unfinished</t>
  </si>
  <si>
    <t>Electric/Basement</t>
  </si>
  <si>
    <t>G-1</t>
  </si>
  <si>
    <t>Concrete, Hardwood, Vinyl, Wall to Wall Carpet</t>
  </si>
  <si>
    <t>Crown Hill</t>
  </si>
  <si>
    <t>Fremont</t>
  </si>
  <si>
    <t>North Beach</t>
  </si>
  <si>
    <t>Vinyl, Wall to Wall Carpet</t>
  </si>
  <si>
    <t>Hardwood, Vinyl</t>
  </si>
  <si>
    <t>Range/Oven, Refrigerator</t>
  </si>
  <si>
    <t>D-3</t>
  </si>
  <si>
    <t>Dishwasher, Range/Oven, Refrigerator</t>
  </si>
  <si>
    <t>Gas</t>
  </si>
  <si>
    <t>Fir/Softwood, Vinyl, Wall to Wall Carpet</t>
  </si>
  <si>
    <t>Wallingford</t>
  </si>
  <si>
    <t>Dining Room</t>
  </si>
  <si>
    <t>Cable TV, Fenced-Partially, Nat. Gas Available</t>
  </si>
  <si>
    <t>Dining Room, Security System</t>
  </si>
  <si>
    <t>Cable TV, Deck, Fenced-Partially</t>
  </si>
  <si>
    <t>Cable TV, Fenced-Partially, Patio, RV Parking</t>
  </si>
  <si>
    <t>Cable TV, Nat. Gas Available</t>
  </si>
  <si>
    <t>Main Picture</t>
  </si>
  <si>
    <t>Latitude</t>
  </si>
  <si>
    <t>Longitude</t>
  </si>
  <si>
    <t>City</t>
  </si>
  <si>
    <t>Zip</t>
  </si>
  <si>
    <t>Lot</t>
  </si>
  <si>
    <t>HyperLink</t>
  </si>
  <si>
    <t>1322 N 122nd St</t>
  </si>
  <si>
    <t>_1950</t>
  </si>
  <si>
    <t>_1945</t>
  </si>
  <si>
    <t>_1918</t>
  </si>
  <si>
    <t>9219 Stone Ave N</t>
  </si>
  <si>
    <t>_2005</t>
  </si>
  <si>
    <t>_1925</t>
  </si>
  <si>
    <t>_1953</t>
  </si>
  <si>
    <t>_1955</t>
  </si>
  <si>
    <t>_1952</t>
  </si>
  <si>
    <t>10538 Evanston Ave N</t>
  </si>
  <si>
    <t>_1928</t>
  </si>
  <si>
    <t>_1926</t>
  </si>
  <si>
    <t>2818 NW 80th St</t>
  </si>
  <si>
    <t>_1947</t>
  </si>
  <si>
    <t>_1981</t>
  </si>
  <si>
    <t>_1902</t>
  </si>
  <si>
    <t>_1905</t>
  </si>
  <si>
    <t>6753 27th Ave NW</t>
  </si>
  <si>
    <t>_1913</t>
  </si>
  <si>
    <t>_1995</t>
  </si>
  <si>
    <t>_1916</t>
  </si>
  <si>
    <t>9556 6th Ave NW</t>
  </si>
  <si>
    <t>_1940</t>
  </si>
  <si>
    <t>_2007</t>
  </si>
  <si>
    <t>6249 6th Ave NW</t>
  </si>
  <si>
    <t>_1930</t>
  </si>
  <si>
    <t>12011 Dayton Ave N</t>
  </si>
  <si>
    <t>_1929</t>
  </si>
  <si>
    <t>636 NW 87th St</t>
  </si>
  <si>
    <t>_1931</t>
  </si>
  <si>
    <t>_1908</t>
  </si>
  <si>
    <t>12258 1st Ave NW</t>
  </si>
  <si>
    <t>_1948</t>
  </si>
  <si>
    <t>_1951</t>
  </si>
  <si>
    <t>7514 28th Ave NW</t>
  </si>
  <si>
    <t>_1927</t>
  </si>
  <si>
    <t>7545 25th Ave NW</t>
  </si>
  <si>
    <t>_1941</t>
  </si>
  <si>
    <t>_1946</t>
  </si>
  <si>
    <t>8907 31st Ave NW</t>
  </si>
  <si>
    <t>_1938</t>
  </si>
  <si>
    <t>1150 N 83rd St</t>
  </si>
  <si>
    <t>1515 N 38th St</t>
  </si>
  <si>
    <t>602 NW 87th St</t>
  </si>
  <si>
    <t>_1949</t>
  </si>
  <si>
    <t>2838 NW 70th St</t>
  </si>
  <si>
    <t>_1911</t>
  </si>
  <si>
    <t>_1965</t>
  </si>
  <si>
    <t>_1906</t>
  </si>
  <si>
    <t>_1914</t>
  </si>
  <si>
    <t>8836 1st Ave NE</t>
  </si>
  <si>
    <t>340 NE 55th St</t>
  </si>
  <si>
    <t>_1942</t>
  </si>
  <si>
    <t>_1912</t>
  </si>
  <si>
    <t>1133 NW 63rd St</t>
  </si>
  <si>
    <t>_1900</t>
  </si>
  <si>
    <t>_1924</t>
  </si>
  <si>
    <t>_1904</t>
  </si>
  <si>
    <t>_1907</t>
  </si>
  <si>
    <t>Rating</t>
  </si>
  <si>
    <t>Pinehurst</t>
  </si>
  <si>
    <t>1716 NE 125th St</t>
  </si>
  <si>
    <t>_1939</t>
  </si>
  <si>
    <t>C-4</t>
  </si>
  <si>
    <t>Meadowbrook</t>
  </si>
  <si>
    <t>11040 34th Ave NE</t>
  </si>
  <si>
    <t>Roosevelt</t>
  </si>
  <si>
    <t>_1921</t>
  </si>
  <si>
    <t>Maple Leaf</t>
  </si>
  <si>
    <t>1524 NE 97th St</t>
  </si>
  <si>
    <t>Wedgwood</t>
  </si>
  <si>
    <t>Cable TV, Fenced-Fully, Nat. Gas Available, Patio</t>
  </si>
  <si>
    <t>3253 NE 97th St</t>
  </si>
  <si>
    <t>4110 NE 105th St</t>
  </si>
  <si>
    <t>Forced Air, Wall</t>
  </si>
  <si>
    <t>Olympic Hills</t>
  </si>
  <si>
    <t>_1959</t>
  </si>
  <si>
    <t>Deck</t>
  </si>
  <si>
    <t>Victory Heights</t>
  </si>
  <si>
    <t>D-5</t>
  </si>
  <si>
    <t>Jackson Park</t>
  </si>
  <si>
    <t>13624 4th Ave NE</t>
  </si>
  <si>
    <t>Ceiling Fan(s), Dining Room, 2nd Kitchen</t>
  </si>
  <si>
    <t>Bryant</t>
  </si>
  <si>
    <t>_1915</t>
  </si>
  <si>
    <t>11538 31st Ave NE</t>
  </si>
  <si>
    <t>Bath Off Master, Dining Room, Walk-in Closet</t>
  </si>
  <si>
    <t>E-5</t>
  </si>
  <si>
    <t>Dishwasher, Garbage Disposal, Microwave, Range/Oven, Refrigerator</t>
  </si>
  <si>
    <t>Cedar Park</t>
  </si>
  <si>
    <t>9746 45th Ave NE</t>
  </si>
  <si>
    <t>_1986</t>
  </si>
  <si>
    <t>F-7</t>
  </si>
  <si>
    <t>8516 5th Ave NE</t>
  </si>
  <si>
    <t>Ravenna</t>
  </si>
  <si>
    <t>_1971</t>
  </si>
  <si>
    <t>10716 19th Ave NE</t>
  </si>
  <si>
    <t>French Doors</t>
  </si>
  <si>
    <t>C-2</t>
  </si>
  <si>
    <t>12010 36th Ave NE</t>
  </si>
  <si>
    <t>See Remarks</t>
  </si>
  <si>
    <t>Fir/Softwood</t>
  </si>
  <si>
    <t>University District</t>
  </si>
  <si>
    <t>_1923</t>
  </si>
  <si>
    <t>Title</t>
  </si>
  <si>
    <t>Query</t>
  </si>
  <si>
    <t>Comments</t>
  </si>
  <si>
    <t>nwmls</t>
  </si>
  <si>
    <t>Viewing</t>
  </si>
  <si>
    <t>H:\Data\FolderShare\Home\RentalData</t>
  </si>
  <si>
    <t>Feb16Query</t>
  </si>
  <si>
    <t>7030 Dibble Ave NW</t>
  </si>
  <si>
    <t>_1962</t>
  </si>
  <si>
    <t>8323 Dibble Ave NW</t>
  </si>
  <si>
    <t>355 NW 88th St</t>
  </si>
  <si>
    <t>8337 26th Ave NW</t>
  </si>
  <si>
    <t>_1958</t>
  </si>
  <si>
    <t>Windermere</t>
  </si>
  <si>
    <t>Descriptor (Short)</t>
  </si>
  <si>
    <t>http://www.windermere.com/+string</t>
  </si>
  <si>
    <t>WindermereID</t>
  </si>
  <si>
    <t>Extents</t>
  </si>
  <si>
    <t>Windermere ID</t>
  </si>
  <si>
    <t>_2008</t>
  </si>
  <si>
    <t>_1999</t>
  </si>
  <si>
    <t>8351 10th Ave NW</t>
  </si>
  <si>
    <t>http://www.windermere.com/index.cfm?fuseaction=Listing.ListingDetail&amp;ListingID=19242886</t>
  </si>
  <si>
    <t>9709 6th Ave NW</t>
  </si>
  <si>
    <t>_1982</t>
  </si>
  <si>
    <t>http://www.windermere.com/index.cfm?fuseaction=Listing.ListingDetail&amp;ListingID=18868122</t>
  </si>
  <si>
    <t>657 NW 87th St</t>
  </si>
  <si>
    <t>http://www.windermere.com/index.cfm?fuseaction=Listing.ListingDetail&amp;ListingID=18801515</t>
  </si>
  <si>
    <t>_2003</t>
  </si>
  <si>
    <t>632 NW 85 St</t>
  </si>
  <si>
    <t>http://www.windermere.com/index.cfm?fuseaction=Listing.ListingDetail&amp;ListingID=19219494</t>
  </si>
  <si>
    <t>3051 NW 69th St</t>
  </si>
  <si>
    <t>http://www.windermere.com/index.cfm?fuseaction=Listing.ListingDetail&amp;ListingID=19125238</t>
  </si>
  <si>
    <t>6749 Alonzo Ave NW</t>
  </si>
  <si>
    <t>http://www.windermere.com/index.cfm?fuseaction=Listing.ListingDetail&amp;ListingID=19377896</t>
  </si>
  <si>
    <t>8352 18th Ave NW</t>
  </si>
  <si>
    <t>http://www.windermere.com/index.cfm?fuseaction=Listing.ListingDetail&amp;ListingID=19365411</t>
  </si>
  <si>
    <t>8534 30th Ave NW</t>
  </si>
  <si>
    <t>http://www.windermere.com/index.cfm?fuseaction=Listing.ListingDetail&amp;ListingID=18892187</t>
  </si>
  <si>
    <t>158 NW 74th St</t>
  </si>
  <si>
    <t>http://www.windermere.com/index.cfm?fuseaction=Listing.ListingDetail&amp;ListingID=19241417</t>
  </si>
  <si>
    <t>9527 9th Ave NW</t>
  </si>
  <si>
    <t>http://www.windermere.com/index.cfm?fuseaction=Listing.ListingDetail&amp;ListingID=19013395</t>
  </si>
  <si>
    <t>http://www.windermere.com/index.cfm?fuseaction=Listing.ListingDetail&amp;ListingID=19161435</t>
  </si>
  <si>
    <t>6708 Alonzo Ave NW</t>
  </si>
  <si>
    <t>http://www.windermere.com/index.cfm?fuseaction=Listing.ListingDetail&amp;ListingID=18825808</t>
  </si>
  <si>
    <t>936 97th St NW</t>
  </si>
  <si>
    <t>http://www.windermere.com/index.cfm?fuseaction=Listing.ListingDetail&amp;ListingID=19212202</t>
  </si>
  <si>
    <t>http://www.windermere.com/index.cfm?fuseaction=Listing.ListingDetail&amp;ListingID=18894488</t>
  </si>
  <si>
    <t>6725 32nd Ave NW</t>
  </si>
  <si>
    <t>8326 17th Ave NW</t>
  </si>
  <si>
    <t>http://www.windermere.com/index.cfm?fuseaction=Listing.ListingDetail&amp;ListingID=19351629</t>
  </si>
  <si>
    <t>http://www.windermere.com/index.cfm?fuseaction=Listing.ListingDetail&amp;ListingID=19320889</t>
  </si>
  <si>
    <t>http://www.windermere.com/index.cfm?fuseaction=Listing.ListingDetail&amp;ListingID=19375965</t>
  </si>
  <si>
    <t>http://www.windermere.com/index.cfm?fuseaction=Listing.ListingDetail&amp;ListingID=18820818</t>
  </si>
  <si>
    <t>Unique Sunset Hill Craftsman</t>
  </si>
  <si>
    <t>http://www.windermere.com/index.cfm?fuseaction=Listing.ListingDetail&amp;ListingID=19295761</t>
  </si>
  <si>
    <t>http://www.windermere.com/index.cfm?fuseaction=Listing.ListingDetail&amp;ListingID=18865361</t>
  </si>
  <si>
    <t>http://www.windermere.com/index.cfm?fuseaction=Listing.ListingDetail&amp;ListingID=19258580</t>
  </si>
  <si>
    <t>http://www.windermere.com/index.cfm?fuseaction=Listing.ListingDetail&amp;ListingID=19325789</t>
  </si>
  <si>
    <t>_1922</t>
  </si>
  <si>
    <t>http://www.windermere.com/index.cfm?fuseaction=Listing.ListingDetail&amp;ListingID=18817368</t>
  </si>
  <si>
    <t>6751 Alonzo Ave NW</t>
  </si>
  <si>
    <t>http://www.windermere.com/index.cfm?fuseaction=Listing.ListingDetail&amp;ListingID=19377990</t>
  </si>
  <si>
    <t>9219 8th Ave NW</t>
  </si>
  <si>
    <t>http://www.windermere.com/index.cfm?fuseaction=Listing.ListingDetail&amp;ListingID=19344194</t>
  </si>
  <si>
    <t>6743 B 24th Ave NW</t>
  </si>
  <si>
    <t>http://www.windermere.com/index.cfm?fuseaction=Listing.ListingDetail&amp;ListingID=19066064</t>
  </si>
  <si>
    <t>6718 4th Ave NW</t>
  </si>
  <si>
    <t>http://www.windermere.com/index.cfm?fuseaction=Listing.ListingDetail&amp;ListingID=18076483</t>
  </si>
  <si>
    <t>9038 Mary Ave NW A</t>
  </si>
  <si>
    <t>http://www.windermere.com/index.cfm?fuseaction=Listing.ListingDetail&amp;ListingID=18844703</t>
  </si>
  <si>
    <t>http://www.windermere.com/index.cfm?fuseaction=Listing.ListingDetail&amp;ListingID=19326790</t>
  </si>
  <si>
    <t>Date Added</t>
  </si>
  <si>
    <t>D:\FolderShare\Home\RentalData</t>
  </si>
  <si>
    <t>ExtentNorth</t>
  </si>
  <si>
    <t>ExtentSouth</t>
  </si>
  <si>
    <t>ExtentEast</t>
  </si>
  <si>
    <t>ExtentWest</t>
  </si>
  <si>
    <t>Source</t>
  </si>
  <si>
    <t>7748 17th Ave NW</t>
  </si>
  <si>
    <t>http://www.windermere.com/index.cfm?fuseaction=Listing.ListingDetail&amp;ListingID=19321801</t>
  </si>
  <si>
    <t>9043 Dibble Ave NW</t>
  </si>
  <si>
    <t>http://www.windermere.com/index.cfm?fuseaction=Listing.ListingDetail&amp;ListingID=19331172</t>
  </si>
  <si>
    <t>http://www.windermere.com/index.cfm?fuseaction=Listing.ListingDetail&amp;ListingID=19267253</t>
  </si>
  <si>
    <t>9523 B 8th Ave NW</t>
  </si>
  <si>
    <t>http://www.windermere.com/index.cfm?fuseaction=Listing.ListingDetail&amp;ListingID=18906882</t>
  </si>
  <si>
    <t>9517 B 8th Ave NW</t>
  </si>
  <si>
    <t>http://www.windermere.com/index.cfm?fuseaction=Listing.ListingDetail&amp;ListingID=19018885</t>
  </si>
  <si>
    <t>9519 A 8th Ave NW</t>
  </si>
  <si>
    <t>http://www.windermere.com/index.cfm?fuseaction=Listing.ListingDetail&amp;ListingID=18838362</t>
  </si>
  <si>
    <t>9519 B 8th Ave NW</t>
  </si>
  <si>
    <t>http://www.windermere.com/index.cfm?fuseaction=Listing.ListingDetail&amp;ListingID=18870272</t>
  </si>
  <si>
    <t>9521 B 8th Ave NW</t>
  </si>
  <si>
    <t>http://www.windermere.com/index.cfm?fuseaction=Listing.ListingDetail&amp;ListingID=18812719</t>
  </si>
  <si>
    <t>9523 A 8th Ave NW</t>
  </si>
  <si>
    <t>http://www.windermere.com/index.cfm?fuseaction=Listing.ListingDetail&amp;ListingID=18936713</t>
  </si>
  <si>
    <t>603 NW 85</t>
  </si>
  <si>
    <t>http://www.windermere.com/index.cfm?fuseaction=Listing.ListingDetail&amp;ListingID=19265907</t>
  </si>
  <si>
    <t>324 NW 80th</t>
  </si>
  <si>
    <t>http://www.windermere.com/index.cfm?fuseaction=Listing.ListingDetail&amp;ListingID=19239109</t>
  </si>
  <si>
    <t>6753 Alonzo Ave NW</t>
  </si>
  <si>
    <t>http://www.windermere.com/index.cfm?fuseaction=Listing.ListingDetail&amp;ListingID=19378000</t>
  </si>
  <si>
    <t>8524 9th Ave NW</t>
  </si>
  <si>
    <t>_1973</t>
  </si>
  <si>
    <t>http://www.windermere.com/index.cfm?fuseaction=Listing.ListingDetail&amp;ListingID=19098221</t>
  </si>
  <si>
    <t>9243 14th Ave NW</t>
  </si>
  <si>
    <t>http://www.windermere.com/index.cfm?fuseaction=Listing.ListingDetail&amp;ListingID=19246215</t>
  </si>
  <si>
    <t>334 NW 76th St</t>
  </si>
  <si>
    <t>http://www.windermere.com/index.cfm?fuseaction=Listing.ListingDetail&amp;ListingID=19361620</t>
  </si>
  <si>
    <t>8701 17th Ave NW</t>
  </si>
  <si>
    <t>http://www.windermere.com/index.cfm?fuseaction=Listing.ListingDetail&amp;ListingID=19021437</t>
  </si>
  <si>
    <t>8405 A 8th Ave NW</t>
  </si>
  <si>
    <t>http://www.windermere.com/index.cfm?fuseaction=Listing.ListingDetail&amp;ListingID=18860071</t>
  </si>
  <si>
    <t>8405 B 8th Ave NW</t>
  </si>
  <si>
    <t>http://www.windermere.com/index.cfm?fuseaction=Listing.ListingDetail&amp;ListingID=18859931</t>
  </si>
  <si>
    <t>8403 B 8th Ave NW</t>
  </si>
  <si>
    <t>http://www.windermere.com/index.cfm?fuseaction=Listing.ListingDetail&amp;ListingID=18860069</t>
  </si>
  <si>
    <t>8403 A 8th Ave NW</t>
  </si>
  <si>
    <t>http://www.windermere.com/index.cfm?fuseaction=Listing.ListingDetail&amp;ListingID=18860070</t>
  </si>
  <si>
    <t>7017 Alonzo Ave NW</t>
  </si>
  <si>
    <t>http://www.windermere.com/index.cfm?fuseaction=Listing.ListingDetail&amp;ListingID=19048334</t>
  </si>
  <si>
    <t>1109 NW 85th Ave B</t>
  </si>
  <si>
    <t>http://www.windermere.com/index.cfm?fuseaction=Listing.ListingDetail&amp;ListingID=19036976</t>
  </si>
  <si>
    <t>8357 11th Ave NW B</t>
  </si>
  <si>
    <t>http://www.windermere.com/index.cfm?fuseaction=Listing.ListingDetail&amp;ListingID=19273242</t>
  </si>
  <si>
    <t>8359 11th Ave NW</t>
  </si>
  <si>
    <t>http://www.windermere.com/index.cfm?fuseaction=Listing.ListingDetail&amp;ListingID=19050830</t>
  </si>
  <si>
    <t>8355 11th Ave NW B</t>
  </si>
  <si>
    <t>http://www.windermere.com/index.cfm?fuseaction=Listing.ListingDetail&amp;ListingID=19366086</t>
  </si>
  <si>
    <t>336 NW 84th St</t>
  </si>
  <si>
    <t>_1989</t>
  </si>
  <si>
    <t>http://www.windermere.com/index.cfm?fuseaction=Listing.ListingDetail&amp;ListingID=19343365</t>
  </si>
  <si>
    <t>152 NW 78th St</t>
  </si>
  <si>
    <t>http://www.windermere.com/index.cfm?fuseaction=Listing.ListingDetail&amp;ListingID=19193863</t>
  </si>
  <si>
    <t>2812 A NW 85th - Quiet side</t>
  </si>
  <si>
    <t>http://www.windermere.com/index.cfm?fuseaction=Listing.ListingDetail&amp;ListingID=19206266</t>
  </si>
  <si>
    <t>http://www.windermere.com/index.cfm?fuseaction=Listing.ListingDetail&amp;ListingID=19330920</t>
  </si>
  <si>
    <t>1214 NW 80th St</t>
  </si>
  <si>
    <t>http://www.windermere.com/index.cfm?fuseaction=Listing.ListingDetail&amp;ListingID=18898391</t>
  </si>
  <si>
    <t>8745 17th Ave NW</t>
  </si>
  <si>
    <t>http://www.windermere.com/index.cfm?fuseaction=Listing.ListingDetail&amp;ListingID=19169349</t>
  </si>
  <si>
    <t>Bellevue</t>
  </si>
  <si>
    <t>14338 Interlake Ave N</t>
  </si>
  <si>
    <t>http://www.windermere.com/index.cfm?fuseaction=Listing.ListingDetail&amp;ListingID=19134351</t>
  </si>
  <si>
    <t>9131 B 23rd Ave NE</t>
  </si>
  <si>
    <t>_2006</t>
  </si>
  <si>
    <t>http://www.windermere.com/index.cfm?fuseaction=Listing.ListingDetail&amp;ListingID=19161972</t>
  </si>
  <si>
    <t>12212 Dayton Ave N</t>
  </si>
  <si>
    <t>http://www.windermere.com/index.cfm?fuseaction=Listing.ListingDetail&amp;ListingID=19370194</t>
  </si>
  <si>
    <t>10342 Stone Ave N</t>
  </si>
  <si>
    <t>_1944</t>
  </si>
  <si>
    <t>http://www.windermere.com/index.cfm?fuseaction=Listing.ListingDetail&amp;ListingID=18883912</t>
  </si>
  <si>
    <t>734 N 127th St</t>
  </si>
  <si>
    <t>http://www.windermere.com/index.cfm?fuseaction=Listing.ListingDetail&amp;ListingID=19281164</t>
  </si>
  <si>
    <t>13720 Midvale Ave N B</t>
  </si>
  <si>
    <t>http://www.windermere.com/index.cfm?fuseaction=Listing.ListingDetail&amp;ListingID=19291014</t>
  </si>
  <si>
    <t>9242 A Interlake Ave N</t>
  </si>
  <si>
    <t>http://www.windermere.com/index.cfm?fuseaction=Listing.ListingDetail&amp;ListingID=19381850</t>
  </si>
  <si>
    <t>10008 Dibble Ave NW</t>
  </si>
  <si>
    <t>http://www.windermere.com/index.cfm?fuseaction=Listing.ListingDetail&amp;ListingID=19343180</t>
  </si>
  <si>
    <t>8516 Nesbit Ave N C</t>
  </si>
  <si>
    <t>http://www.windermere.com/index.cfm?fuseaction=Listing.ListingDetail&amp;ListingID=19127481</t>
  </si>
  <si>
    <t>8516 Nesbit Ave N A</t>
  </si>
  <si>
    <t>http://www.windermere.com/index.cfm?fuseaction=Listing.ListingDetail&amp;ListingID=19372503</t>
  </si>
  <si>
    <t>919 N 105th St</t>
  </si>
  <si>
    <t>_1919</t>
  </si>
  <si>
    <t>http://www.windermere.com/index.cfm?fuseaction=Listing.ListingDetail&amp;ListingID=18814919</t>
  </si>
  <si>
    <t>Shoreline</t>
  </si>
  <si>
    <t>2017 NE 137 St</t>
  </si>
  <si>
    <t>http://www.windermere.com/index.cfm?fuseaction=Listing.ListingDetail&amp;ListingID=19216145</t>
  </si>
  <si>
    <t>13549 Wallingford N</t>
  </si>
  <si>
    <t>http://www.windermere.com/index.cfm?fuseaction=Listing.ListingDetail&amp;ListingID=19206462</t>
  </si>
  <si>
    <t>12509 Evanston Ave N</t>
  </si>
  <si>
    <t>http://www.windermere.com/index.cfm?fuseaction=Listing.ListingDetail&amp;ListingID=19356881</t>
  </si>
  <si>
    <t>10309 B Midvale Ave N</t>
  </si>
  <si>
    <t>_2002</t>
  </si>
  <si>
    <t>http://www.windermere.com/index.cfm?fuseaction=Listing.ListingDetail&amp;ListingID=18673522</t>
  </si>
  <si>
    <t>747 N 95th St B</t>
  </si>
  <si>
    <t>http://www.windermere.com/index.cfm?fuseaction=Listing.ListingDetail&amp;ListingID=18645976</t>
  </si>
  <si>
    <t>747 N 95th St A</t>
  </si>
  <si>
    <t>http://www.windermere.com/index.cfm?fuseaction=Listing.ListingDetail&amp;ListingID=18645969</t>
  </si>
  <si>
    <t>749 N 95th St A</t>
  </si>
  <si>
    <t>http://www.windermere.com/index.cfm?fuseaction=Listing.ListingDetail&amp;ListingID=18854105</t>
  </si>
  <si>
    <t>745 N 95th St B</t>
  </si>
  <si>
    <t>http://www.windermere.com/index.cfm?fuseaction=Listing.ListingDetail&amp;ListingID=18521282</t>
  </si>
  <si>
    <t>1038 NE 127th St</t>
  </si>
  <si>
    <t>http://www.windermere.com/index.cfm?fuseaction=Listing.ListingDetail&amp;ListingID=19192648</t>
  </si>
  <si>
    <t>13718 Midvale Ave N A</t>
  </si>
  <si>
    <t>http://www.windermere.com/index.cfm?fuseaction=Listing.ListingDetail&amp;ListingID=19291015</t>
  </si>
  <si>
    <t>1829 N 149th St</t>
  </si>
  <si>
    <t>_1954</t>
  </si>
  <si>
    <t>http://www.windermere.com/index.cfm?fuseaction=Listing.ListingDetail&amp;ListingID=19349709</t>
  </si>
  <si>
    <t>14202 Roslyn Pl N</t>
  </si>
  <si>
    <t>http://www.windermere.com/index.cfm?fuseaction=Listing.ListingDetail&amp;ListingID=19246527</t>
  </si>
  <si>
    <t>1141 N 93rd St B</t>
  </si>
  <si>
    <t>_2000</t>
  </si>
  <si>
    <t>http://www.windermere.com/index.cfm?fuseaction=Listing.ListingDetail&amp;ListingID=18979832</t>
  </si>
  <si>
    <t>1745 NE 105 St</t>
  </si>
  <si>
    <t>http://www.windermere.com/index.cfm?fuseaction=Listing.ListingDetail&amp;ListingID=19183393</t>
  </si>
  <si>
    <t>9555 Interlake Ave N</t>
  </si>
  <si>
    <t>345 N 105th St B</t>
  </si>
  <si>
    <t>http://www.windermere.com/index.cfm?fuseaction=Listing.ListingDetail&amp;ListingID=18799513</t>
  </si>
  <si>
    <t>745 N 95th St A</t>
  </si>
  <si>
    <t>http://www.windermere.com/index.cfm?fuseaction=Listing.ListingDetail&amp;ListingID=18521283</t>
  </si>
  <si>
    <t>345 N 105th entr on Dayton St A</t>
  </si>
  <si>
    <t>http://www.windermere.com/index.cfm?fuseaction=Listing.ListingDetail&amp;ListingID=19261837</t>
  </si>
  <si>
    <t>13718 Midvale Ave N C</t>
  </si>
  <si>
    <t>http://www.windermere.com/index.cfm?fuseaction=Listing.ListingDetail&amp;ListingID=19293598</t>
  </si>
  <si>
    <t>14312 A Stone Ave N</t>
  </si>
  <si>
    <t>http://www.windermere.com/index.cfm?fuseaction=Listing.ListingDetail&amp;ListingID=19345068</t>
  </si>
  <si>
    <t>326 N 45th St</t>
  </si>
  <si>
    <t>_1909</t>
  </si>
  <si>
    <t>http://www.windermere.com/index.cfm?fuseaction=Listing.ListingDetail&amp;ListingID=19000289</t>
  </si>
  <si>
    <t>4243 Palatine Ave N</t>
  </si>
  <si>
    <t>_1960</t>
  </si>
  <si>
    <t>http://www.windermere.com/index.cfm?fuseaction=Listing.ListingDetail&amp;ListingID=19246531</t>
  </si>
  <si>
    <t>1805 N 105th St</t>
  </si>
  <si>
    <t>http://www.windermere.com/index.cfm?fuseaction=Listing.ListingDetail&amp;ListingID=18978903</t>
  </si>
  <si>
    <t>11014 A Greenwood Ave N</t>
  </si>
  <si>
    <t>http://www.windermere.com/index.cfm?fuseaction=Listing.ListingDetail&amp;ListingID=19305143</t>
  </si>
  <si>
    <t>11214 B Greenwood Ave N</t>
  </si>
  <si>
    <t>http://www.windermere.com/index.cfm?fuseaction=Listing.ListingDetail&amp;ListingID=18817082</t>
  </si>
  <si>
    <t>11214 A Greenwood Ave N</t>
  </si>
  <si>
    <t>http://www.windermere.com/index.cfm?fuseaction=Listing.ListingDetail&amp;ListingID=18883851</t>
  </si>
  <si>
    <t>11212 C Greenwood Ave N</t>
  </si>
  <si>
    <t>http://www.windermere.com/index.cfm?fuseaction=Listing.ListingDetail&amp;ListingID=18883850</t>
  </si>
  <si>
    <t>11212 B Greenwood Ave N</t>
  </si>
  <si>
    <t>http://www.windermere.com/index.cfm?fuseaction=Listing.ListingDetail&amp;ListingID=18883849</t>
  </si>
  <si>
    <t>11212 A Greenwood Ave N</t>
  </si>
  <si>
    <t>http://www.windermere.com/index.cfm?fuseaction=Listing.ListingDetail&amp;ListingID=18826288</t>
  </si>
  <si>
    <t>1015 NE 123rd St A</t>
  </si>
  <si>
    <t>http://www.windermere.com/index.cfm?fuseaction=Listing.ListingDetail&amp;ListingID=19344609</t>
  </si>
  <si>
    <t>706 N 143rd St</t>
  </si>
  <si>
    <t>http://www.windermere.com/index.cfm?fuseaction=Listing.ListingDetail&amp;ListingID=19304377</t>
  </si>
  <si>
    <t>1204 N 85th (not busy NE corner</t>
  </si>
  <si>
    <t>http://www.windermere.com/index.cfm?fuseaction=Listing.ListingDetail&amp;ListingID=19200062</t>
  </si>
  <si>
    <t>12333 B 10th Pl NE</t>
  </si>
  <si>
    <t>http://www.windermere.com/index.cfm?fuseaction=Listing.ListingDetail&amp;ListingID=19379306</t>
  </si>
  <si>
    <t>12333 C 10th Pl NE</t>
  </si>
  <si>
    <t>http://www.windermere.com/index.cfm?fuseaction=Listing.ListingDetail&amp;ListingID=19379299</t>
  </si>
  <si>
    <t>12333 A 10th Pl NE</t>
  </si>
  <si>
    <t>http://www.windermere.com/index.cfm?fuseaction=Listing.ListingDetail&amp;ListingID=19379302</t>
  </si>
  <si>
    <t>14324 wayne Pl N</t>
  </si>
  <si>
    <t>http://www.windermere.com/index.cfm?fuseaction=Listing.ListingDetail&amp;ListingID=19245355</t>
  </si>
  <si>
    <t>1142 N 92nd St A</t>
  </si>
  <si>
    <t>http://www.windermere.com/index.cfm?fuseaction=Listing.ListingDetail&amp;ListingID=18914260</t>
  </si>
  <si>
    <t>http://www.windermere.com/index.cfm?fuseaction=Listing.ListingDetail&amp;ListingID=18876585</t>
  </si>
  <si>
    <t>1017 NE 123rd St A</t>
  </si>
  <si>
    <t>http://www.windermere.com/index.cfm?fuseaction=Listing.ListingDetail&amp;ListingID=19344675</t>
  </si>
  <si>
    <t>11708 B Greenwood Ave N</t>
  </si>
  <si>
    <t>http://www.windermere.com/index.cfm?fuseaction=Listing.ListingDetail&amp;ListingID=19310679</t>
  </si>
  <si>
    <t>13732 Palatine Ave N</t>
  </si>
  <si>
    <t>http://www.windermere.com/index.cfm?fuseaction=Listing.ListingDetail&amp;ListingID=19336068</t>
  </si>
  <si>
    <t>4247 Palatine Ave N</t>
  </si>
  <si>
    <t>http://www.windermere.com/index.cfm?fuseaction=Listing.ListingDetail&amp;ListingID=19149402</t>
  </si>
  <si>
    <t>8516 Nesbit Ave N B</t>
  </si>
  <si>
    <t>http://www.windermere.com/index.cfm?fuseaction=Listing.ListingDetail&amp;ListingID=19195065</t>
  </si>
  <si>
    <t>2138 A N 113th St</t>
  </si>
  <si>
    <t>http://www.windermere.com/index.cfm?fuseaction=Listing.ListingDetail&amp;ListingID=19189952</t>
  </si>
  <si>
    <t>2708 NE 110th St</t>
  </si>
  <si>
    <t>http://www.windermere.com/index.cfm?fuseaction=Listing.ListingDetail&amp;ListingID=19155004</t>
  </si>
  <si>
    <t>9552 Palatine Ave N</t>
  </si>
  <si>
    <t>http://www.windermere.com/index.cfm?fuseaction=Listing.ListingDetail&amp;ListingID=19185353</t>
  </si>
  <si>
    <t>515 N 103rd St</t>
  </si>
  <si>
    <t>http://www.windermere.com/index.cfm?fuseaction=Listing.ListingDetail&amp;ListingID=18789512</t>
  </si>
  <si>
    <t>718 N 94th St I</t>
  </si>
  <si>
    <t>_1998</t>
  </si>
  <si>
    <t>http://www.windermere.com/index.cfm?fuseaction=Listing.ListingDetail&amp;ListingID=19342133</t>
  </si>
  <si>
    <t>10203 B 1st Ave NW</t>
  </si>
  <si>
    <t>http://www.windermere.com/index.cfm?fuseaction=Listing.ListingDetail&amp;ListingID=19079640</t>
  </si>
  <si>
    <t>2134 B N 113th St</t>
  </si>
  <si>
    <t>http://www.windermere.com/index.cfm?fuseaction=Listing.ListingDetail&amp;ListingID=19269794</t>
  </si>
  <si>
    <t>737 N 94th St C</t>
  </si>
  <si>
    <t>http://www.windermere.com/index.cfm?fuseaction=Listing.ListingDetail&amp;ListingID=18557407</t>
  </si>
  <si>
    <t>8518 A Midvale Ave N</t>
  </si>
  <si>
    <t>http://www.windermere.com/index.cfm?fuseaction=Listing.ListingDetail&amp;ListingID=19310131</t>
  </si>
  <si>
    <t>938 N 86 St</t>
  </si>
  <si>
    <t>http://www.windermere.com/index.cfm?fuseaction=Listing.ListingDetail&amp;ListingID=18424718</t>
  </si>
  <si>
    <t>12619 8th Ave NE</t>
  </si>
  <si>
    <t>http://www.windermere.com/index.cfm?fuseaction=Listing.ListingDetail&amp;ListingID=18678127</t>
  </si>
  <si>
    <t>http://www.windermere.com/index.cfm?fuseaction=Listing.ListingDetail&amp;ListingID=18858794</t>
  </si>
  <si>
    <t>908 N 95th St 1A</t>
  </si>
  <si>
    <t>http://www.windermere.com/index.cfm?fuseaction=Listing.ListingDetail&amp;ListingID=19194788</t>
  </si>
  <si>
    <t>11710 A Greenwood Ave N</t>
  </si>
  <si>
    <t>http://www.windermere.com/index.cfm?fuseaction=Listing.ListingDetail&amp;ListingID=19365753</t>
  </si>
  <si>
    <t>11030 B Greenwood Ave N B</t>
  </si>
  <si>
    <t>http://www.windermere.com/index.cfm?fuseaction=Listing.ListingDetail&amp;ListingID=19280728</t>
  </si>
  <si>
    <t>13051 28th Ave NE</t>
  </si>
  <si>
    <t>_1968</t>
  </si>
  <si>
    <t>http://www.windermere.com/index.cfm?fuseaction=Listing.ListingDetail&amp;ListingID=19340741</t>
  </si>
  <si>
    <t>10305 Midvale Ave N B</t>
  </si>
  <si>
    <t>http://www.windermere.com/index.cfm?fuseaction=Listing.ListingDetail&amp;ListingID=18898996</t>
  </si>
  <si>
    <t>737 N 94th St A</t>
  </si>
  <si>
    <t>http://www.windermere.com/index.cfm?fuseaction=Listing.ListingDetail&amp;ListingID=19060032</t>
  </si>
  <si>
    <t>1214 A N 85th St</t>
  </si>
  <si>
    <t>http://www.windermere.com/index.cfm?fuseaction=Listing.ListingDetail&amp;ListingID=19226990</t>
  </si>
  <si>
    <t>517 N 86 St</t>
  </si>
  <si>
    <t>http://www.windermere.com/index.cfm?fuseaction=Listing.ListingDetail&amp;ListingID=19206316</t>
  </si>
  <si>
    <t>1815 N 137th St</t>
  </si>
  <si>
    <t>http://www.windermere.com/index.cfm?fuseaction=Listing.ListingDetail&amp;ListingID=19299939</t>
  </si>
  <si>
    <t>11727 26th Ave NE</t>
  </si>
  <si>
    <t>_1935</t>
  </si>
  <si>
    <t>http://www.windermere.com/index.cfm?fuseaction=Listing.ListingDetail&amp;ListingID=19342899</t>
  </si>
  <si>
    <t>8609 23rd Ave NE 1</t>
  </si>
  <si>
    <t>http://www.windermere.com/index.cfm?fuseaction=Listing.ListingDetail&amp;ListingID=18779519</t>
  </si>
  <si>
    <t>8520 Stone Ave N A</t>
  </si>
  <si>
    <t>http://www.windermere.com/index.cfm?fuseaction=Listing.ListingDetail&amp;ListingID=19039296</t>
  </si>
  <si>
    <t>11012 A Greenwood Ave N</t>
  </si>
  <si>
    <t>http://www.windermere.com/index.cfm?fuseaction=Listing.ListingDetail&amp;ListingID=19305266</t>
  </si>
  <si>
    <t>12337 B 10th Pl NE</t>
  </si>
  <si>
    <t>http://www.windermere.com/index.cfm?fuseaction=Listing.ListingDetail&amp;ListingID=19379300</t>
  </si>
  <si>
    <t>12337 C 10th Pl NE</t>
  </si>
  <si>
    <t>http://www.windermere.com/index.cfm?fuseaction=Listing.ListingDetail&amp;ListingID=19379301</t>
  </si>
  <si>
    <t>9225 Fremont Ave N</t>
  </si>
  <si>
    <t>http://www.windermere.com/index.cfm?fuseaction=Listing.ListingDetail&amp;ListingID=19371247</t>
  </si>
  <si>
    <t>1915 N 137th St</t>
  </si>
  <si>
    <t>http://www.windermere.com/index.cfm?fuseaction=Listing.ListingDetail&amp;ListingID=19322811</t>
  </si>
  <si>
    <t>745 N 104th St</t>
  </si>
  <si>
    <t>http://www.windermere.com/index.cfm?fuseaction=Listing.ListingDetail&amp;ListingID=19370571</t>
  </si>
  <si>
    <t>839 123rd St NE</t>
  </si>
  <si>
    <t>http://www.windermere.com/index.cfm?fuseaction=Listing.ListingDetail&amp;ListingID=19344098</t>
  </si>
  <si>
    <t>8855 Ashworth Ave N</t>
  </si>
  <si>
    <t>http://www.windermere.com/index.cfm?fuseaction=Listing.ListingDetail&amp;ListingID=18991624</t>
  </si>
  <si>
    <t>1602 NE 137th St</t>
  </si>
  <si>
    <t>http://www.windermere.com/index.cfm?fuseaction=Listing.ListingDetail&amp;ListingID=19156147</t>
  </si>
  <si>
    <t>5807 5th Ave NE</t>
  </si>
  <si>
    <t>http://www.windermere.com/index.cfm?fuseaction=Listing.ListingDetail&amp;ListingID=19319974</t>
  </si>
  <si>
    <t>5217 8th Ave NW</t>
  </si>
  <si>
    <t>http://www.windermere.com/index.cfm?fuseaction=Listing.ListingDetail&amp;ListingID=19023075</t>
  </si>
  <si>
    <t>10711 28th Ave NE</t>
  </si>
  <si>
    <t>http://www.windermere.com/index.cfm?fuseaction=Listing.ListingDetail&amp;ListingID=19319599</t>
  </si>
  <si>
    <t>559 NE 79th St</t>
  </si>
  <si>
    <t>http://www.windermere.com/index.cfm?fuseaction=Listing.ListingDetail&amp;ListingID=19286628</t>
  </si>
  <si>
    <t>1021 B NE 123rd</t>
  </si>
  <si>
    <t>http://www.windermere.com/index.cfm?fuseaction=Listing.ListingDetail&amp;ListingID=19164242</t>
  </si>
  <si>
    <t>1023 B NE 123rd</t>
  </si>
  <si>
    <t>http://www.windermere.com/index.cfm?fuseaction=Listing.ListingDetail&amp;ListingID=18679666</t>
  </si>
  <si>
    <t>12337 A 10th Pl NE</t>
  </si>
  <si>
    <t>http://www.windermere.com/index.cfm?fuseaction=Listing.ListingDetail&amp;ListingID=18468108</t>
  </si>
  <si>
    <t>1916 NE 125th St</t>
  </si>
  <si>
    <t>http://www.windermere.com/index.cfm?fuseaction=Listing.ListingDetail&amp;ListingID=19340346</t>
  </si>
  <si>
    <t>8800 Ravenna Ave NE</t>
  </si>
  <si>
    <t>http://www.windermere.com/index.cfm?fuseaction=Listing.ListingDetail&amp;ListingID=19216135</t>
  </si>
  <si>
    <t>9241 A Ashworth Ave N</t>
  </si>
  <si>
    <t>http://www.windermere.com/index.cfm?fuseaction=Listing.ListingDetail&amp;ListingID=19036477</t>
  </si>
  <si>
    <t>9249 Ashworth Ave N B</t>
  </si>
  <si>
    <t>http://www.windermere.com/index.cfm?fuseaction=Listing.ListingDetail&amp;ListingID=19310678</t>
  </si>
  <si>
    <t>1907 A N 35th St</t>
  </si>
  <si>
    <t>http://www.windermere.com/index.cfm?fuseaction=Listing.ListingDetail&amp;ListingID=19382507</t>
  </si>
  <si>
    <t>8213 23rd Ave NE</t>
  </si>
  <si>
    <t>http://www.windermere.com/index.cfm?fuseaction=Listing.ListingDetail&amp;ListingID=19257593</t>
  </si>
  <si>
    <t>1023 A NE 123rd</t>
  </si>
  <si>
    <t>http://www.windermere.com/index.cfm?fuseaction=Listing.ListingDetail&amp;ListingID=18679639</t>
  </si>
  <si>
    <t>1023 C NE 123rd</t>
  </si>
  <si>
    <t>http://www.windermere.com/index.cfm?fuseaction=Listing.ListingDetail&amp;ListingID=19264129</t>
  </si>
  <si>
    <t>1027 A NE 123rd</t>
  </si>
  <si>
    <t>http://www.windermere.com/index.cfm?fuseaction=Listing.ListingDetail&amp;ListingID=19327123</t>
  </si>
  <si>
    <t>1027 C NE 123rd</t>
  </si>
  <si>
    <t>http://www.windermere.com/index.cfm?fuseaction=Listing.ListingDetail&amp;ListingID=19327718</t>
  </si>
  <si>
    <t>1021 A NE 123rd</t>
  </si>
  <si>
    <t>http://www.windermere.com/index.cfm?fuseaction=Listing.ListingDetail&amp;ListingID=19280440</t>
  </si>
  <si>
    <t>1021 C NE 123rd</t>
  </si>
  <si>
    <t>http://www.windermere.com/index.cfm?fuseaction=Listing.ListingDetail&amp;ListingID=19280441</t>
  </si>
  <si>
    <t>317 NW 103rd</t>
  </si>
  <si>
    <t>http://www.windermere.com/index.cfm?fuseaction=Listing.ListingDetail&amp;ListingID=19147164</t>
  </si>
  <si>
    <t>1911 A N 35th St</t>
  </si>
  <si>
    <t>http://www.windermere.com/index.cfm?fuseaction=Listing.ListingDetail&amp;ListingID=19382798</t>
  </si>
  <si>
    <t>1522 N 107th St</t>
  </si>
  <si>
    <t>http://www.windermere.com/index.cfm?fuseaction=Listing.ListingDetail&amp;ListingID=19332676</t>
  </si>
  <si>
    <t>8548 A Midvale Ave N</t>
  </si>
  <si>
    <t>_2004</t>
  </si>
  <si>
    <t>http://www.windermere.com/index.cfm?fuseaction=Listing.ListingDetail&amp;ListingID=18891692</t>
  </si>
  <si>
    <t>1415 A NW 61st St</t>
  </si>
  <si>
    <t>http://www.windermere.com/index.cfm?fuseaction=Listing.ListingDetail&amp;ListingID=18555463</t>
  </si>
  <si>
    <t>http://www.windermere.com/index.cfm?fuseaction=Listing.ListingDetail&amp;ListingID=18955854</t>
  </si>
  <si>
    <t>2015 B NW 59th St</t>
  </si>
  <si>
    <t>http://www.windermere.com/index.cfm?fuseaction=Listing.ListingDetail&amp;ListingID=18006149</t>
  </si>
  <si>
    <t>2631 B NW 58th St</t>
  </si>
  <si>
    <t>http://www.windermere.com/index.cfm?fuseaction=Listing.ListingDetail&amp;ListingID=18156528</t>
  </si>
  <si>
    <t>4056 5th Ave NE</t>
  </si>
  <si>
    <t>http://www.windermere.com/index.cfm?fuseaction=Listing.ListingDetail&amp;ListingID=18887114</t>
  </si>
  <si>
    <t>8509 A Interlake Ave N</t>
  </si>
  <si>
    <t>http://www.windermere.com/index.cfm?fuseaction=Listing.ListingDetail&amp;ListingID=19246786</t>
  </si>
  <si>
    <t>11550 25th Ave NE</t>
  </si>
  <si>
    <t>http://www.windermere.com/index.cfm?fuseaction=Listing.ListingDetail&amp;ListingID=19376193</t>
  </si>
  <si>
    <t>http://www.windermere.com/index.cfm?fuseaction=Listing.ListingDetail&amp;ListingID=18331929</t>
  </si>
  <si>
    <t>13002 15TH Ave NE</t>
  </si>
  <si>
    <t>http://www.windermere.com/index.cfm?fuseaction=Listing.ListingDetail&amp;ListingID=19302977</t>
  </si>
  <si>
    <t>_1961</t>
  </si>
  <si>
    <t>347 N 105th Not on busy strt St</t>
  </si>
  <si>
    <t>http://www.windermere.com/index.cfm?fuseaction=Listing.ListingDetail&amp;ListingID=18799514</t>
  </si>
  <si>
    <t>14350 Bagley N</t>
  </si>
  <si>
    <t>http://www.windermere.com/index.cfm?fuseaction=Listing.ListingDetail&amp;ListingID=19243145</t>
  </si>
  <si>
    <t>12542 5th Ave NE</t>
  </si>
  <si>
    <t>_1936</t>
  </si>
  <si>
    <t>http://www.windermere.com/index.cfm?fuseaction=Listing.ListingDetail&amp;ListingID=18577293</t>
  </si>
  <si>
    <t>14024 2nd Ave NW</t>
  </si>
  <si>
    <t>http://www.windermere.com/index.cfm?fuseaction=Listing.ListingDetail&amp;ListingID=19330852</t>
  </si>
  <si>
    <t>Remodeled Broadview Rambler</t>
  </si>
  <si>
    <t>12335 10th Pl NE</t>
  </si>
  <si>
    <t>http://www.windermere.com/index.cfm?fuseaction=Listing.ListingDetail&amp;ListingID=19285694</t>
  </si>
  <si>
    <t>3607 Albion Pl N</t>
  </si>
  <si>
    <t>http://www.windermere.com/index.cfm?fuseaction=Listing.ListingDetail&amp;ListingID=18672447</t>
  </si>
  <si>
    <t>3609 Albion Pl N</t>
  </si>
  <si>
    <t>http://www.windermere.com/index.cfm?fuseaction=Listing.ListingDetail&amp;ListingID=18672543</t>
  </si>
  <si>
    <t>3657 Greenwood Ave N</t>
  </si>
  <si>
    <t>http://www.windermere.com/index.cfm?fuseaction=Listing.ListingDetail&amp;ListingID=19088653</t>
  </si>
  <si>
    <t>2444 B NW 58th St</t>
  </si>
  <si>
    <t>http://www.windermere.com/index.cfm?fuseaction=Listing.ListingDetail&amp;ListingID=19338013</t>
  </si>
  <si>
    <t>5315 Latona Ave NE</t>
  </si>
  <si>
    <t>http://www.windermere.com/index.cfm?fuseaction=Listing.ListingDetail&amp;ListingID=19350453</t>
  </si>
  <si>
    <t>6816 25th Ave NE</t>
  </si>
  <si>
    <t>_1988</t>
  </si>
  <si>
    <t>http://www.windermere.com/index.cfm?fuseaction=Listing.ListingDetail&amp;ListingID=19074895</t>
  </si>
  <si>
    <t>314 N 103rd St</t>
  </si>
  <si>
    <t>_1991</t>
  </si>
  <si>
    <t>http://www.windermere.com/index.cfm?fuseaction=Listing.ListingDetail&amp;ListingID=19283285</t>
  </si>
  <si>
    <t>105 NW 101st St</t>
  </si>
  <si>
    <t>http://www.windermere.com/index.cfm?fuseaction=Listing.ListingDetail&amp;ListingID=19190230</t>
  </si>
  <si>
    <t>739 N 94th St A</t>
  </si>
  <si>
    <t>http://www.windermere.com/index.cfm?fuseaction=Listing.ListingDetail&amp;ListingID=19060033</t>
  </si>
  <si>
    <t>8520 2nd Ave NE</t>
  </si>
  <si>
    <t>http://www.windermere.com/index.cfm?fuseaction=Listing.ListingDetail&amp;ListingID=19252030</t>
  </si>
  <si>
    <t>1100 NE 123rd St</t>
  </si>
  <si>
    <t>_1956</t>
  </si>
  <si>
    <t>http://www.windermere.com/index.cfm?fuseaction=Listing.ListingDetail&amp;ListingID=19104551</t>
  </si>
  <si>
    <t>2633 A NW 58th St</t>
  </si>
  <si>
    <t>http://www.windermere.com/index.cfm?fuseaction=Listing.ListingDetail&amp;ListingID=18621558</t>
  </si>
  <si>
    <t>4337 4th Ave NW</t>
  </si>
  <si>
    <t>http://www.windermere.com/index.cfm?fuseaction=Listing.ListingDetail&amp;ListingID=19322649</t>
  </si>
  <si>
    <t>1025 N 36 St</t>
  </si>
  <si>
    <t>_1901</t>
  </si>
  <si>
    <t>http://www.windermere.com/index.cfm?fuseaction=Listing.ListingDetail&amp;ListingID=19360801</t>
  </si>
  <si>
    <t>2109 NE 100 St</t>
  </si>
  <si>
    <t>_1987</t>
  </si>
  <si>
    <t>http://www.windermere.com/index.cfm?fuseaction=Listing.ListingDetail&amp;ListingID=19362856</t>
  </si>
  <si>
    <t>10354 Densmore Ave N</t>
  </si>
  <si>
    <t>http://www.windermere.com/index.cfm?fuseaction=Listing.ListingDetail&amp;ListingID=19303929</t>
  </si>
  <si>
    <t>11715 Fremont Ave N</t>
  </si>
  <si>
    <t>http://www.windermere.com/index.cfm?fuseaction=Listing.ListingDetail&amp;ListingID=19342125</t>
  </si>
  <si>
    <t>5033 12th Ave NE A</t>
  </si>
  <si>
    <t>http://www.windermere.com/index.cfm?fuseaction=Listing.ListingDetail&amp;ListingID=19106819</t>
  </si>
  <si>
    <t>5033 12th Ave NE B</t>
  </si>
  <si>
    <t>http://www.windermere.com/index.cfm?fuseaction=Listing.ListingDetail&amp;ListingID=19254875</t>
  </si>
  <si>
    <t>6415 9th Ave NE A</t>
  </si>
  <si>
    <t>_2001</t>
  </si>
  <si>
    <t>http://www.windermere.com/index.cfm?fuseaction=Listing.ListingDetail&amp;ListingID=18588767</t>
  </si>
  <si>
    <t>7015 25th Ave NE</t>
  </si>
  <si>
    <t>http://www.windermere.com/index.cfm?fuseaction=Listing.ListingDetail&amp;ListingID=19365708</t>
  </si>
  <si>
    <t>751 N 83rd St</t>
  </si>
  <si>
    <t>http://www.windermere.com/index.cfm?fuseaction=Listing.ListingDetail&amp;ListingID=19128158</t>
  </si>
  <si>
    <t>825 NE 67th St B</t>
  </si>
  <si>
    <t>http://www.windermere.com/index.cfm?fuseaction=Listing.ListingDetail&amp;ListingID=18907358</t>
  </si>
  <si>
    <t>1433 NW 63rd St A</t>
  </si>
  <si>
    <t>http://www.windermere.com/index.cfm?fuseaction=Listing.ListingDetail&amp;ListingID=19136885</t>
  </si>
  <si>
    <t>1433 NW 63rd St B</t>
  </si>
  <si>
    <t>http://www.windermere.com/index.cfm?fuseaction=Listing.ListingDetail&amp;ListingID=18761619</t>
  </si>
  <si>
    <t>335 NW 46th St</t>
  </si>
  <si>
    <t>http://www.windermere.com/index.cfm?fuseaction=Listing.ListingDetail&amp;ListingID=19065829</t>
  </si>
  <si>
    <t>5519 B 28th Ave NW</t>
  </si>
  <si>
    <t>http://www.windermere.com/index.cfm?fuseaction=Listing.ListingDetail&amp;ListingID=19182427</t>
  </si>
  <si>
    <t>3653 Greenwood Ave N</t>
  </si>
  <si>
    <t>http://www.windermere.com/index.cfm?fuseaction=Listing.ListingDetail&amp;ListingID=19371422</t>
  </si>
  <si>
    <t>12739 Phinney Ave N</t>
  </si>
  <si>
    <t>http://www.windermere.com/index.cfm?fuseaction=Listing.ListingDetail&amp;ListingID=19194143</t>
  </si>
  <si>
    <t>2005 NE 85th St</t>
  </si>
  <si>
    <t>http://www.windermere.com/index.cfm?fuseaction=Listing.ListingDetail&amp;ListingID=19280733</t>
  </si>
  <si>
    <t>13544 22nd Ave NE</t>
  </si>
  <si>
    <t>http://www.windermere.com/index.cfm?fuseaction=Listing.ListingDetail&amp;ListingID=19174355</t>
  </si>
  <si>
    <t>11712 Fremont Ave N</t>
  </si>
  <si>
    <t>http://www.windermere.com/index.cfm?fuseaction=Listing.ListingDetail&amp;ListingID=18819961</t>
  </si>
  <si>
    <t>4018 B Linden Ave N</t>
  </si>
  <si>
    <t>http://www.windermere.com/index.cfm?fuseaction=Listing.ListingDetail&amp;ListingID=19346825</t>
  </si>
  <si>
    <t>3603 Albion Pl N</t>
  </si>
  <si>
    <t>http://www.windermere.com/index.cfm?fuseaction=Listing.ListingDetail&amp;ListingID=18672444</t>
  </si>
  <si>
    <t>823 NE 67th St A</t>
  </si>
  <si>
    <t>http://www.windermere.com/index.cfm?fuseaction=Listing.ListingDetail&amp;ListingID=18915737</t>
  </si>
  <si>
    <t>13514 23rd Ave NE</t>
  </si>
  <si>
    <t>http://www.windermere.com/index.cfm?fuseaction=Listing.ListingDetail&amp;ListingID=19327024</t>
  </si>
  <si>
    <t>2442 NW 59th St</t>
  </si>
  <si>
    <t>http://www.windermere.com/index.cfm?fuseaction=Listing.ListingDetail&amp;ListingID=19172134</t>
  </si>
  <si>
    <t>1103 NW 56th St</t>
  </si>
  <si>
    <t>http://www.windermere.com/index.cfm?fuseaction=Listing.ListingDetail&amp;ListingID=19341714</t>
  </si>
  <si>
    <t>http://www.windermere.com/index.cfm?fuseaction=Listing.ListingDetail&amp;ListingID=19145144</t>
  </si>
  <si>
    <t>1150 N 93rd St B</t>
  </si>
  <si>
    <t>http://www.windermere.com/index.cfm?fuseaction=Listing.ListingDetail&amp;ListingID=19221188</t>
  </si>
  <si>
    <t>2537 NE 97th St</t>
  </si>
  <si>
    <t>http://www.windermere.com/index.cfm?fuseaction=Listing.ListingDetail&amp;ListingID=19378564</t>
  </si>
  <si>
    <t>336 N 80th St</t>
  </si>
  <si>
    <t>_1920</t>
  </si>
  <si>
    <t>http://www.windermere.com/index.cfm?fuseaction=Listing.ListingDetail&amp;ListingID=19255159</t>
  </si>
  <si>
    <t>11536 4 Ave NE</t>
  </si>
  <si>
    <t>http://www.windermere.com/index.cfm?fuseaction=Listing.ListingDetail&amp;ListingID=19315502</t>
  </si>
  <si>
    <t>4756 4th Ave NE</t>
  </si>
  <si>
    <t>http://www.windermere.com/index.cfm?fuseaction=Listing.ListingDetail&amp;ListingID=19082312</t>
  </si>
  <si>
    <t>1925 NE 113th St</t>
  </si>
  <si>
    <t>http://www.windermere.com/index.cfm?fuseaction=Listing.ListingDetail&amp;ListingID=19102324</t>
  </si>
  <si>
    <t>http://www.windermere.com/index.cfm?fuseaction=Listing.ListingDetail&amp;ListingID=19357984</t>
  </si>
  <si>
    <t>1533 NW 51st St</t>
  </si>
  <si>
    <t>http://www.windermere.com/index.cfm?fuseaction=Listing.ListingDetail&amp;ListingID=19340919</t>
  </si>
  <si>
    <t>819 NE 102 St</t>
  </si>
  <si>
    <t>http://www.windermere.com/index.cfm?fuseaction=Listing.ListingDetail&amp;ListingID=19347523</t>
  </si>
  <si>
    <t>_1943</t>
  </si>
  <si>
    <t>13728 3rd Ave NW</t>
  </si>
  <si>
    <t>http://www.windermere.com/index.cfm?fuseaction=Listing.ListingDetail&amp;ListingID=19198666</t>
  </si>
  <si>
    <t>http://www.windermere.com/index.cfm?fuseaction=Listing.ListingDetail&amp;ListingID=18882240</t>
  </si>
  <si>
    <t>920 918 92nd St</t>
  </si>
  <si>
    <t>http://www.windermere.com/index.cfm?fuseaction=Listing.ListingDetail&amp;ListingID=19320055</t>
  </si>
  <si>
    <t>7503 5 Ave NE</t>
  </si>
  <si>
    <t>http://www.windermere.com/index.cfm?fuseaction=Listing.ListingDetail&amp;ListingID=19280257</t>
  </si>
  <si>
    <t>9749 Palatine Ave N</t>
  </si>
  <si>
    <t>http://www.windermere.com/index.cfm?fuseaction=Listing.ListingDetail&amp;ListingID=19336679</t>
  </si>
  <si>
    <t>8607 23rd Ave NE</t>
  </si>
  <si>
    <t>http://www.windermere.com/index.cfm?fuseaction=Listing.ListingDetail&amp;ListingID=18779507</t>
  </si>
  <si>
    <t>12833 Ashworth Ave N</t>
  </si>
  <si>
    <t>http://www.windermere.com/index.cfm?fuseaction=Listing.ListingDetail&amp;ListingID=19016079</t>
  </si>
  <si>
    <t>2600 NW 59th St</t>
  </si>
  <si>
    <t>http://www.windermere.com/index.cfm?fuseaction=Listing.ListingDetail&amp;ListingID=19373774</t>
  </si>
  <si>
    <t>817 NE 104th St</t>
  </si>
  <si>
    <t>_1979</t>
  </si>
  <si>
    <t>http://www.windermere.com/index.cfm?fuseaction=Listing.ListingDetail&amp;ListingID=19190530</t>
  </si>
  <si>
    <t>826 NW 62nd St B</t>
  </si>
  <si>
    <t>http://www.windermere.com/index.cfm?fuseaction=Listing.ListingDetail&amp;ListingID=19146140</t>
  </si>
  <si>
    <t>945 N 77th St</t>
  </si>
  <si>
    <t>http://www.windermere.com/index.cfm?fuseaction=Listing.ListingDetail&amp;ListingID=18928855</t>
  </si>
  <si>
    <t>6047 5th (not on freeway) Ave NE</t>
  </si>
  <si>
    <t>http://www.windermere.com/index.cfm?fuseaction=Listing.ListingDetail&amp;ListingID=19228455</t>
  </si>
  <si>
    <t>9055 Burke Ave N</t>
  </si>
  <si>
    <t>http://www.windermere.com/index.cfm?fuseaction=Listing.ListingDetail&amp;ListingID=19377706</t>
  </si>
  <si>
    <t>http://www.windermere.com/index.cfm?fuseaction=Listing.ListingDetail&amp;ListingID=18768523</t>
  </si>
  <si>
    <t>1768 N 128 St</t>
  </si>
  <si>
    <t>http://www.windermere.com/index.cfm?fuseaction=Listing.ListingDetail&amp;ListingID=19327829</t>
  </si>
  <si>
    <t>1422 C NW 64th St</t>
  </si>
  <si>
    <t>http://www.windermere.com/index.cfm?fuseaction=Listing.ListingDetail&amp;ListingID=19322432</t>
  </si>
  <si>
    <t>6035 25th Ave NE</t>
  </si>
  <si>
    <t>http://www.windermere.com/index.cfm?fuseaction=Listing.ListingDetail&amp;ListingID=19374487</t>
  </si>
  <si>
    <t>408 A N 49th St</t>
  </si>
  <si>
    <t>http://www.windermere.com/index.cfm?fuseaction=Listing.ListingDetail&amp;ListingID=19012321</t>
  </si>
  <si>
    <t>2427 NW 58th St A</t>
  </si>
  <si>
    <t>http://www.windermere.com/index.cfm?fuseaction=Listing.ListingDetail&amp;ListingID=19150106</t>
  </si>
  <si>
    <t>2131 N 86th St</t>
  </si>
  <si>
    <t>http://www.windermere.com/index.cfm?fuseaction=Listing.ListingDetail&amp;ListingID=19220502</t>
  </si>
  <si>
    <t>2444 A NW 58th St</t>
  </si>
  <si>
    <t>http://www.windermere.com/index.cfm?fuseaction=Listing.ListingDetail&amp;ListingID=19266059</t>
  </si>
  <si>
    <t>8063 Ravenna Ave NE</t>
  </si>
  <si>
    <t>http://www.windermere.com/index.cfm?fuseaction=Listing.ListingDetail&amp;ListingID=19037181</t>
  </si>
  <si>
    <t>1205 NE 125th St</t>
  </si>
  <si>
    <t>http://www.windermere.com/index.cfm?fuseaction=Listing.ListingDetail&amp;ListingID=18927434</t>
  </si>
  <si>
    <t>13732 B Corliss Ave N</t>
  </si>
  <si>
    <t>_1978</t>
  </si>
  <si>
    <t>http://www.windermere.com/index.cfm?fuseaction=Listing.ListingDetail&amp;ListingID=19281742</t>
  </si>
  <si>
    <t>http://www.windermere.com/index.cfm?fuseaction=Listing.ListingDetail&amp;ListingID=19272515</t>
  </si>
  <si>
    <t>http://www.windermere.com/index.cfm?fuseaction=Listing.ListingDetail&amp;ListingID=19163838</t>
  </si>
  <si>
    <t>http://www.windermere.com/index.cfm?fuseaction=Listing.ListingDetail&amp;ListingID=19342509</t>
  </si>
  <si>
    <t>10755 14TH Ave NE</t>
  </si>
  <si>
    <t>http://www.windermere.com/index.cfm?fuseaction=Listing.ListingDetail&amp;ListingID=19041872</t>
  </si>
  <si>
    <t>712 N 89th St</t>
  </si>
  <si>
    <t>http://www.windermere.com/index.cfm?fuseaction=Listing.ListingDetail&amp;ListingID=19246332</t>
  </si>
  <si>
    <t>102 NW 46th St</t>
  </si>
  <si>
    <t>http://www.windermere.com/index.cfm?fuseaction=Listing.ListingDetail&amp;ListingID=19288456</t>
  </si>
  <si>
    <t>8530 Wallingford Ave N</t>
  </si>
  <si>
    <t>http://www.windermere.com/index.cfm?fuseaction=Listing.ListingDetail&amp;ListingID=19295722</t>
  </si>
  <si>
    <t>5511 B 28th Ave NW</t>
  </si>
  <si>
    <t>http://www.windermere.com/index.cfm?fuseaction=Listing.ListingDetail&amp;ListingID=18918430</t>
  </si>
  <si>
    <t>3619 A Albion Pl N</t>
  </si>
  <si>
    <t>http://www.windermere.com/index.cfm?fuseaction=Listing.ListingDetail&amp;ListingID=18892582</t>
  </si>
  <si>
    <t>730 N 89th St</t>
  </si>
  <si>
    <t>_1985</t>
  </si>
  <si>
    <t>http://www.windermere.com/index.cfm?fuseaction=Listing.ListingDetail&amp;ListingID=19383016</t>
  </si>
  <si>
    <t>4809 A Stoneway Ave N.</t>
  </si>
  <si>
    <t>http://www.windermere.com/index.cfm?fuseaction=Listing.ListingDetail&amp;ListingID=19365702</t>
  </si>
  <si>
    <t>5311 5th Ave NE</t>
  </si>
  <si>
    <t>http://www.windermere.com/index.cfm?fuseaction=Listing.ListingDetail&amp;ListingID=19298354</t>
  </si>
  <si>
    <t>http://www.windermere.com/index.cfm?fuseaction=Listing.ListingDetail&amp;ListingID=18867060</t>
  </si>
  <si>
    <t>507 N 105th St</t>
  </si>
  <si>
    <t>http://www.windermere.com/index.cfm?fuseaction=Listing.ListingDetail&amp;ListingID=18930083</t>
  </si>
  <si>
    <t>http://www.windermere.com/index.cfm?fuseaction=Listing.ListingDetail&amp;ListingID=19278049</t>
  </si>
  <si>
    <t>12232 Fremont Ave N</t>
  </si>
  <si>
    <t>http://www.windermere.com/index.cfm?fuseaction=Listing.ListingDetail&amp;ListingID=19247940</t>
  </si>
  <si>
    <t>1420 B NW 64th St</t>
  </si>
  <si>
    <t>http://www.windermere.com/index.cfm?fuseaction=Listing.ListingDetail&amp;ListingID=19248441</t>
  </si>
  <si>
    <t>1420 A NW 64th St</t>
  </si>
  <si>
    <t>http://www.windermere.com/index.cfm?fuseaction=Listing.ListingDetail&amp;ListingID=19248438</t>
  </si>
  <si>
    <t>1424 A NW 64th St</t>
  </si>
  <si>
    <t>http://www.windermere.com/index.cfm?fuseaction=Listing.ListingDetail&amp;ListingID=19248416</t>
  </si>
  <si>
    <t>1424 B NW 64th St</t>
  </si>
  <si>
    <t>http://www.windermere.com/index.cfm?fuseaction=Listing.ListingDetail&amp;ListingID=19248425</t>
  </si>
  <si>
    <t>3423 Meridian Ave N</t>
  </si>
  <si>
    <t>http://www.windermere.com/index.cfm?fuseaction=Listing.ListingDetail&amp;ListingID=19064728</t>
  </si>
  <si>
    <t>1437 NW 62 St B</t>
  </si>
  <si>
    <t>http://www.windermere.com/index.cfm?fuseaction=Listing.ListingDetail&amp;ListingID=19353991</t>
  </si>
  <si>
    <t>http://www.windermere.com/index.cfm?fuseaction=Listing.ListingDetail&amp;ListingID=19345067</t>
  </si>
  <si>
    <t>5515 B 28th Ave NW</t>
  </si>
  <si>
    <t>http://www.windermere.com/index.cfm?fuseaction=Listing.ListingDetail&amp;ListingID=19309006</t>
  </si>
  <si>
    <t>13071 8th Ct NE</t>
  </si>
  <si>
    <t>http://www.windermere.com/index.cfm?fuseaction=Listing.ListingDetail&amp;ListingID=19379075</t>
  </si>
  <si>
    <t>2516 NE 137th St</t>
  </si>
  <si>
    <t>http://www.windermere.com/index.cfm?fuseaction=Listing.ListingDetail&amp;ListingID=19262687</t>
  </si>
  <si>
    <t>825 NW Market St</t>
  </si>
  <si>
    <t>http://www.windermere.com/index.cfm?fuseaction=Listing.ListingDetail&amp;ListingID=19288452</t>
  </si>
  <si>
    <t>4517 Thackeray Pl NE</t>
  </si>
  <si>
    <t>http://www.windermere.com/index.cfm?fuseaction=Listing.ListingDetail&amp;ListingID=19350454</t>
  </si>
  <si>
    <t>2144 N 51st St</t>
  </si>
  <si>
    <t>http://www.windermere.com/index.cfm?fuseaction=Listing.ListingDetail&amp;ListingID=19307351</t>
  </si>
  <si>
    <t>3611 B Interlake Ave N</t>
  </si>
  <si>
    <t>http://www.windermere.com/index.cfm?fuseaction=Listing.ListingDetail&amp;ListingID=19025633</t>
  </si>
  <si>
    <t>3421 Meridian Ave N</t>
  </si>
  <si>
    <t>http://www.windermere.com/index.cfm?fuseaction=Listing.ListingDetail&amp;ListingID=19212618</t>
  </si>
  <si>
    <t>846 NW 52nd St</t>
  </si>
  <si>
    <t>http://www.windermere.com/index.cfm?fuseaction=Listing.ListingDetail&amp;ListingID=18827147</t>
  </si>
  <si>
    <t>848 NW 52nd St</t>
  </si>
  <si>
    <t>http://www.windermere.com/index.cfm?fuseaction=Listing.ListingDetail&amp;ListingID=18827156</t>
  </si>
  <si>
    <t>http://www.windermere.com/index.cfm?fuseaction=Listing.ListingDetail&amp;ListingID=18790899</t>
  </si>
  <si>
    <t>545 N 78th St</t>
  </si>
  <si>
    <t>http://www.windermere.com/index.cfm?fuseaction=Listing.ListingDetail&amp;ListingID=19072165</t>
  </si>
  <si>
    <t>9240 Densmore Ave N</t>
  </si>
  <si>
    <t>http://www.windermere.com/index.cfm?fuseaction=Listing.ListingDetail&amp;ListingID=19376128</t>
  </si>
  <si>
    <t>3645 Greenwood Ave N</t>
  </si>
  <si>
    <t>http://www.windermere.com/index.cfm?fuseaction=Listing.ListingDetail&amp;ListingID=19221882</t>
  </si>
  <si>
    <t>3647 Greenwood Ave N</t>
  </si>
  <si>
    <t>http://www.windermere.com/index.cfm?fuseaction=Listing.ListingDetail&amp;ListingID=19088651</t>
  </si>
  <si>
    <t>3611 C Albion Pl N</t>
  </si>
  <si>
    <t>http://www.windermere.com/index.cfm?fuseaction=Listing.ListingDetail&amp;ListingID=18892529</t>
  </si>
  <si>
    <t>3615 C Albion Pl N</t>
  </si>
  <si>
    <t>http://www.windermere.com/index.cfm?fuseaction=Listing.ListingDetail&amp;ListingID=19247757</t>
  </si>
  <si>
    <t>213 B N 39th St</t>
  </si>
  <si>
    <t>http://www.windermere.com/index.cfm?fuseaction=Listing.ListingDetail&amp;ListingID=19088652</t>
  </si>
  <si>
    <t>4673 1st Ave NE</t>
  </si>
  <si>
    <t>http://www.windermere.com/index.cfm?fuseaction=Listing.ListingDetail&amp;ListingID=19303298</t>
  </si>
  <si>
    <t>5233 Russell Ave NW B</t>
  </si>
  <si>
    <t>http://www.windermere.com/index.cfm?fuseaction=Listing.ListingDetail&amp;ListingID=19235916</t>
  </si>
  <si>
    <t>5231 Russell Ave NW A</t>
  </si>
  <si>
    <t>http://www.windermere.com/index.cfm?fuseaction=Listing.ListingDetail&amp;ListingID=19236131</t>
  </si>
  <si>
    <t>5231 Russell Ave NW B</t>
  </si>
  <si>
    <t>http://www.windermere.com/index.cfm?fuseaction=Listing.ListingDetail&amp;ListingID=19236178</t>
  </si>
  <si>
    <t>5235 Russell Ave NW A</t>
  </si>
  <si>
    <t>http://www.windermere.com/index.cfm?fuseaction=Listing.ListingDetail&amp;ListingID=19175636</t>
  </si>
  <si>
    <t>9238 9240 Woodlawn Ave N</t>
  </si>
  <si>
    <t>http://www.windermere.com/index.cfm?fuseaction=Listing.ListingDetail&amp;ListingID=19321902</t>
  </si>
  <si>
    <t>6509 27th Ave NE</t>
  </si>
  <si>
    <t>http://www.windermere.com/index.cfm?fuseaction=Listing.ListingDetail&amp;ListingID=18791183</t>
  </si>
  <si>
    <t>http://www.windermere.com/index.cfm?fuseaction=Listing.ListingDetail&amp;ListingID=19179645</t>
  </si>
  <si>
    <t>7537 11th Ave NE</t>
  </si>
  <si>
    <t>http://www.windermere.com/index.cfm?fuseaction=Listing.ListingDetail&amp;ListingID=19312722</t>
  </si>
  <si>
    <t>10047 Wallingford Ave N</t>
  </si>
  <si>
    <t>http://www.windermere.com/index.cfm?fuseaction=Listing.ListingDetail&amp;ListingID=19308244</t>
  </si>
  <si>
    <t>3605 A Interlake Ave N</t>
  </si>
  <si>
    <t>http://www.windermere.com/index.cfm?fuseaction=Listing.ListingDetail&amp;ListingID=18940217</t>
  </si>
  <si>
    <t>http://www.windermere.com/index.cfm?fuseaction=Listing.ListingDetail&amp;ListingID=19158681</t>
  </si>
  <si>
    <t>_1910</t>
  </si>
  <si>
    <t>907 N 68th St</t>
  </si>
  <si>
    <t>http://www.windermere.com/index.cfm?fuseaction=Listing.ListingDetail&amp;ListingID=18620816</t>
  </si>
  <si>
    <t>3618 2nd Ave NW</t>
  </si>
  <si>
    <t>http://www.windermere.com/index.cfm?fuseaction=Listing.ListingDetail&amp;ListingID=19153177</t>
  </si>
  <si>
    <t>1517 NE 91st St</t>
  </si>
  <si>
    <t>http://www.windermere.com/index.cfm?fuseaction=Listing.ListingDetail&amp;ListingID=19168304</t>
  </si>
  <si>
    <t>907 N 67th St</t>
  </si>
  <si>
    <t>http://www.windermere.com/index.cfm?fuseaction=Listing.ListingDetail&amp;ListingID=19153814</t>
  </si>
  <si>
    <t>918 NW Market St</t>
  </si>
  <si>
    <t>http://www.windermere.com/index.cfm?fuseaction=Listing.ListingDetail&amp;ListingID=19154776</t>
  </si>
  <si>
    <t>450 N 39 St</t>
  </si>
  <si>
    <t>http://www.windermere.com/index.cfm?fuseaction=Listing.ListingDetail&amp;ListingID=19381434</t>
  </si>
  <si>
    <t>3633 Wallingford Ave N C</t>
  </si>
  <si>
    <t>http://www.windermere.com/index.cfm?fuseaction=Listing.ListingDetail&amp;ListingID=18941377</t>
  </si>
  <si>
    <t>3638 Palatine Ave N B</t>
  </si>
  <si>
    <t>http://www.windermere.com/index.cfm?fuseaction=Listing.ListingDetail&amp;ListingID=19336980</t>
  </si>
  <si>
    <t>213 A N 39th St</t>
  </si>
  <si>
    <t>http://www.windermere.com/index.cfm?fuseaction=Listing.ListingDetail&amp;ListingID=19371419</t>
  </si>
  <si>
    <t>213 C N 39th St</t>
  </si>
  <si>
    <t>http://www.windermere.com/index.cfm?fuseaction=Listing.ListingDetail&amp;ListingID=19371420</t>
  </si>
  <si>
    <t>5216 11 Ave NE B</t>
  </si>
  <si>
    <t>http://www.windermere.com/index.cfm?fuseaction=Listing.ListingDetail&amp;ListingID=19265102</t>
  </si>
  <si>
    <t>5216 11 Ave NE A</t>
  </si>
  <si>
    <t>http://www.windermere.com/index.cfm?fuseaction=Listing.ListingDetail&amp;ListingID=19265101</t>
  </si>
  <si>
    <t>103 N 97th St</t>
  </si>
  <si>
    <t>http://www.windermere.com/index.cfm?fuseaction=Listing.ListingDetail&amp;ListingID=19376679</t>
  </si>
  <si>
    <t>8614 Corliss Ave N</t>
  </si>
  <si>
    <t>http://www.windermere.com/index.cfm?fuseaction=Listing.ListingDetail&amp;ListingID=18632922</t>
  </si>
  <si>
    <t>11348 28th Ave NE</t>
  </si>
  <si>
    <t>http://www.windermere.com/index.cfm?fuseaction=Listing.ListingDetail&amp;ListingID=18803463</t>
  </si>
  <si>
    <t>http://www.windermere.com/index.cfm?fuseaction=Listing.ListingDetail&amp;ListingID=18548242</t>
  </si>
  <si>
    <t>http://www.windermere.com/index.cfm?fuseaction=Listing.ListingDetail&amp;ListingID=19378561</t>
  </si>
  <si>
    <t>Source_Windermere</t>
  </si>
  <si>
    <t>X</t>
  </si>
  <si>
    <t>http://locator.nwmls.com/scripts/mgrqispi.dll?APPNAME=Locator&amp;PRGNAME=MLSLogin&amp;ARGUMENT=lTGmPH3gZKprsGBYNIDVhCFOaHnTFxANWxSPePJhi5w%3D&amp;KeyRid=1</t>
  </si>
  <si>
    <t>NWMLS</t>
  </si>
  <si>
    <t>Source_CBBain</t>
  </si>
  <si>
    <t>Source_NWMLS</t>
  </si>
  <si>
    <t>130th St exit off I-5 &amp;amp; go West and turn North/Right onto Greenwood Ave N. West/Left on 137th Ave. North/Right on Palatine.</t>
  </si>
  <si>
    <t>Cable TV, Fenced-Partially, High Speed Internet, Nat. Gas Available</t>
  </si>
  <si>
    <t>Storybook Cottage with White Picket Fence ! Charming setting in the heart of Broadview. New Carpet &amp;amp; Paint. Old world charm and Move in Ready ! Serene backyard setting. Great Location close to parks and the Seattle Golf Club.</t>
  </si>
  <si>
    <t>Northgate</t>
  </si>
  <si>
    <t>From Northgate Way take a right on 107th.</t>
  </si>
  <si>
    <t>Dining Room, Dble Pane/Strm Windw, French Doors, Skylights</t>
  </si>
  <si>
    <t>Cable TV, Fenced-Fully, RV Parking</t>
  </si>
  <si>
    <t>Views of Nordstrom from this cute, cozy updated home. The woodwork is sure to amaze! Featuring hardwood floors, kitchen cabinets with mahogany inlays and a remarkable wood/stone crafted fireplace. The open spacious kitchen, enormous master bedroom and great bonus room make this everything you need in a home. Be sure to see the magnificant black walnut tree that encompasses this house. Detached structure would make a great office. All this and more... Superb location close to happening Northgate.</t>
  </si>
  <si>
    <t>A-6</t>
  </si>
  <si>
    <t>On 80th between 24th &amp;amp; 32nd on North side of street.</t>
  </si>
  <si>
    <t>Absolutely charming Loyal Heights bungalow. Beautiful hardwood floors, open floor plan, new interior paint, newly remodeled bath &amp;amp; new furnace. The newly built fireplace mantle is a classy addition to the original architecture. The kitchen has a butcher-block eating bar, newer appliances &amp;amp; original counter tiles. Light &amp;amp; bright corner lot with fenced yard, tons of seasonal flowers, custom stone patio, &amp;amp; beautiful landscaping. This home is super cute.</t>
  </si>
  <si>
    <t>From I-5 head west on 85th. South on 3rd Ave NW. Right on NW 44th St. Left on 4th Ave NW.</t>
  </si>
  <si>
    <t>1909 Bungalow with old world charm throughout. High ceilings, original millwork, period detailed windows and fir floors. Huge formal dining room has beautiful arched doorway. Period bathroom features hextile floor, claw foot tub and pedestal sink. Basement with rec room and plenty of storage. All appliances stay. Deck over looks backyard with mature landscaping such as cherry, peach, pear and fig trees. Excellent location across street from Ross Park.</t>
  </si>
  <si>
    <t>G-5</t>
  </si>
  <si>
    <t>Ceramic Tile, Laminate</t>
  </si>
  <si>
    <t>elec/bath</t>
  </si>
  <si>
    <t>Dibble is between 8th and 9th Aves NW</t>
  </si>
  <si>
    <t>A white picket fence welcomes you to this charming home with newer laminate floors, a warm &amp;amp; inviting living room and kitchen, light filled living spaces, &amp;amp; large windows that overlook lovely garden spaces. In the front yard is a brick patio surrounded by flowering trees and plants, while the backyard contains raised beds and additional garden areas. Situated on a residential street of bigger more expensive homes, this quaint cottage offers small home living at its finest.</t>
  </si>
  <si>
    <t>From Aurora (hwy 99) west on 125th and south on Fremont.</t>
  </si>
  <si>
    <t>Fenced-Fully, Nat. Gas Available, Outbuildings</t>
  </si>
  <si>
    <t>This sweet 1918 Craftsman Farmhouse is situated on a large sunny lot in the desirable Broadview area. Step up onto the classic front porch into the light and bright living room with hardwood floors, broad moldings and brick wood-burning fireplace which add to the old world charm feel. Cute country kitchen offers updated appliances with gas range and eating nook. The big very private fully fenced yard is perfect for BBQ's, play and pets. A must see!</t>
  </si>
  <si>
    <t>Insert, Radiant</t>
  </si>
  <si>
    <t>5, 358, 355</t>
  </si>
  <si>
    <t>Ceramic Tile, Concrete, Fir/Softwood, Vinyl, Wall to Wall Carpet</t>
  </si>
  <si>
    <t>From Aurora Ave North, go west on 125th, left on Fremont Ave N, home is on the left.</t>
  </si>
  <si>
    <t>Bath Off Master, Dble Pane/Strm Windw, Fireplace in Mstr BR, French Doors, Loft, Skylights, Vaulted Ceilings, Walk-in Closet, Walk In Pantry, 2nd Master</t>
  </si>
  <si>
    <t>Cable TV, Fenced-Partially, High Speed Internet, Nat. Gas Available, Patio</t>
  </si>
  <si>
    <t>Price just reduced! Great Condo or Townhouse alternative! Light &amp;amp; spacious, this home was remodeled to the studs in 2004 by a trend-setting eco-designer! New plumbing,electric,roof,windows,&amp;amp; heat w/water-based radiant floors. Great room w/artisan-stained concrete floors leads into the updated kitchen. 2 master bedrooms w/Spanish marble/designer tile work in bathrooms (one has a claw-foot tub!) Upper master is a studio w/loft &amp;amp; view of Cascades. Pvt yard w/mature landscape in quiet neighborhood.</t>
  </si>
  <si>
    <t>Dryer, Garbage Disposal, Range/Oven, Refrigerator, Washer</t>
  </si>
  <si>
    <t>From I -5 head West. Turn right on N 80th st. Left onto 8th Ave NW. Right on NW 56th st</t>
  </si>
  <si>
    <t>Solid brick Cape Cod in the heart of Ballard. This home features fresh interior paint, hardwood floors, tile countertops in kitchen, and newer gas furnace. Desirable L1 zoning with possible expansion for second unit in basement. Great corner lot with mature landscaping. Excellent location close to restaurants and shopping. A great home or investment property.</t>
  </si>
  <si>
    <t>F-4</t>
  </si>
  <si>
    <t>Concrete, Hardwood, Vinyl</t>
  </si>
  <si>
    <t>From I-5 West on NW 85th St. Turn right to Dibble Ave NW. Up 5 blocks on your left.</t>
  </si>
  <si>
    <t>Fenced-Partially, High Speed Internet, Patio</t>
  </si>
  <si>
    <t>Solid built rambler w/basement on a quiet street at Crown Hill near Carkeek Park. Spacious living rm w/Basalt fireplace, leading to an inviting dining area overlooking the park-like yard, three bedrooms on main level w/oak floors &amp;amp; fir trims, large kitchen w/ample counter space. Lower level features family/rec room, fireplace, 1/2 bath. Space for a den and 2-car garage w/utility room. Near to bus, stores and restaurants. Easy access to freeway, downtown and UW.</t>
  </si>
  <si>
    <t>From 15th Ave NW go West on 77th, then right on 17th.</t>
  </si>
  <si>
    <t>Great space and great location in this Ballard bungalow with 3 bdrm and 2.5 baths on 2 levels. This would make a great home or investment property, with private lower level entrance and finished basement. Large living rm with brick fireplace. Sm bdrm has 1/2 bath. Large 2 car detached garage with alley access. Copper plumbing, fairly new and newer electrical service. Close to Ballard's quaint shopping, Downtown, and Shilshole.</t>
  </si>
  <si>
    <t>Electric, Oil, Wood</t>
  </si>
  <si>
    <t>Fir/Softwood, Hardwood, Laminate, Vinyl, Wall to Wall Carpet</t>
  </si>
  <si>
    <t>Electric / basement</t>
  </si>
  <si>
    <t>From Aurora Ave N turn west on 92nd St up the hill about a block. Property on right side of street.</t>
  </si>
  <si>
    <t>Cable TV, Fenced-Partially, High Speed Internet, Patio</t>
  </si>
  <si>
    <t>Charming 1926 home has been converted to a duplex with the upstairs unit occupying the main floor and finished upstairs. This approx 1500sq ft unit is lightfilled with hrdwd floors, period molding, and a fireplace. The main floor includes a South facing livingrm, formal diningroom, kitchen w/cute eating nook. bdrm, bthrm, spare room, &amp;amp; 2 bedrooms upstairs. Basement has been converted to a 700 sqft 2 bdrm, 3/4 bath apartment. Both have own entries, separately metered &amp;amp; share laundry &amp;amp; large yard.</t>
  </si>
  <si>
    <t>Take the N. 85th st. ramp toward Aurora Ave. N.Turn slight right onto N 85th st. Turn left onto Dibble Ave NW.</t>
  </si>
  <si>
    <t>Cape Cod classic with wood floors, fireplace, built in bookcases, &amp;amp; crown molding. Kitchen features original tile. Sunny dining area with built-in corner hutches. Stone patio overlooks landscaped private, fully fenced backyard. Basement great for storage or potential for expansion.</t>
  </si>
  <si>
    <t>Ceramic Tile, Hardwood, Wall to Wall Carpet, See Remarks</t>
  </si>
  <si>
    <t>Electric/Lower</t>
  </si>
  <si>
    <t>I-5 to West on 85th to north on 3rd and west on 88th to the corner.</t>
  </si>
  <si>
    <t>Ceiling Fan(s), Dble Pane/Strm Windw</t>
  </si>
  <si>
    <t>Sunday Open House 1-4 pm. Foundation up remodel, new landscaping, quiet street, close to shopping and easy access to I-5. Light/bright corner lot for sunny exposre. Potential for MIL in basement that is plumbed &amp;amp; wired for kitchenette. Hardwood &amp;amp; tile floors, new windows, roof, siding, electrical, plumbing, sewer line, and speciality fixtures. Lower level bedroom is non-conforming, but is large and roomy. This is a rare find with quality of workmanship and a brand new makeover.</t>
  </si>
  <si>
    <t>Lake City</t>
  </si>
  <si>
    <t>Range/Oven</t>
  </si>
  <si>
    <t>Ceramic Tile, Concrete, Fir/Softwood, Hardwood, Wall to Wall Carpet</t>
  </si>
  <si>
    <t>From Lake City Way NE turn west up the hill for 2 blks than turn right. House will be on the left</t>
  </si>
  <si>
    <t>Ceiling Fan(s), Dining Room, Dble Pane/Strm Windw, French Doors, High Tech Cabling, Hot Tub/Spa, Jetted/Soaking Tub, Skylights</t>
  </si>
  <si>
    <t>Cable TV, Deck, Fenced-Fully, High Speed Internet, Hot Tub/Spa, Nat. Gas Available, Patio, RV Parking</t>
  </si>
  <si>
    <t>Opportunity knocks w/ this Diamond in the Rough! Huge in the city lot with gorgeous rear yard w/ multi-level deck w/ grape arbor, hot tub that needs repairs but looks great. Deck steps down to brick paver patio. Mature plum &amp;amp; apple trees in fenced yard. Home is of the 1935 era ith lots of the original molding in the home. Home needs repairs and being sold in as is condition. basement unfinished with 1 car garage. Build sweat equity! offered below assessed value!</t>
  </si>
  <si>
    <t>3228 NE 86th St</t>
  </si>
  <si>
    <t>From 35th Ave head West on 86th Street.</t>
  </si>
  <si>
    <t>Polished &amp;amp; absolutely gorgeous! Sophisticated urban Wedgwood rambler with a timeless style. Meticulous move-in condition. Gorgeous refinished oak floors. Updated kitchen with built in eating bench. Light &amp;amp; open with southern exposure &amp;amp; big picture windows. Beautifully landscaped backyard is great for kids &amp;amp; pets. Oversized garage with workshop area could easily be transformed to a 2-car garage. Insulated windows &amp;amp; gas heat. Coveted Wedgwood neighborhood walking distance to shops, schools, etc...</t>
  </si>
  <si>
    <t>Dishwasher, Dryer, Microwave, Range/Oven, Refrigerator, Washer, See Remarks</t>
  </si>
  <si>
    <t>New in '05 electric crawlspace</t>
  </si>
  <si>
    <t>West from Lake City Wy or East from Roosevelt Wy.Driveway N side NE 125th St in the middle of the 1900 Blk. Pull right in the driveway or park across the street church.Can't see house from the street.</t>
  </si>
  <si>
    <t>Cable TV, Dog Run, Fenced-Fully, High Speed Internet, Outbuildings, Patio</t>
  </si>
  <si>
    <t xml:space="preserve"> Please see attached legal</t>
  </si>
  <si>
    <t>Don't miss this tastefully remodeled &amp;amp; updated Pinehurst rambler. From newer flooring to fresh interior paint, this one is worth a look. Vinyl windows, new insulation throughout (that's right, the entire house) a cozy living room with fireplace to keep you warm and the heat in. Updated bath, bright kitchen with great eating space &amp;amp; new '05 cabinets, flooring &amp;amp; appliances. Elevated high above the street you will enjoy privacy &amp;amp; meticulous landscaping with lots of room to play and entertain.</t>
  </si>
  <si>
    <t>Matthews Beach</t>
  </si>
  <si>
    <t>9514 Sandpoint Way NE</t>
  </si>
  <si>
    <t>Electric / Garage</t>
  </si>
  <si>
    <t>From Lake City Way head East on NE 95th then turn North (Left) onto Sandpoint Way. House on your Right.</t>
  </si>
  <si>
    <t>Bath Off Master, Ceiling Fan(s), Dble Pane/Strm Windw, French Doors, Skylights, Vaulted Ceilings, Walk-in Closet</t>
  </si>
  <si>
    <t>Truly a gem!Ready to move-in.New Kitchen cabinets, countertops, sink, dishwasher.Newer range &amp;amp; stainless steel refri.Hardwood floors in kitchen w/french doors leading to private deck and fenced yard.Master suite w/walk-in closet and cathedral ceilings.New bathrooms w/tile floor, vanities &amp;amp; fixtures.Living room w/wood burning frplc &amp;amp; cathedral ceilings.New carpet thru-out.Freshly painted interior.Pristine condition.Single car attached garage.Part of 1031 tax exchange at no cost to buyer!</t>
  </si>
  <si>
    <t>I-5 N, Take exit 175 toward NE 145th St/WA-523, Merge onto 5th Ave NE, right at NE 145th St/WA-523, right at 22nd Ave NE, Continue on 23rd Ave NE</t>
  </si>
  <si>
    <t>Cable TV, Fenced-Fully, Nat. Gas Available</t>
  </si>
  <si>
    <t>Beautiful 4 bedroom, 2 bath, 2200 Sq Ft house in Olympic Hills. This home has been completely remodeled and still boasts character and charm. Granite slab countertops, enormous kitchen with an abundance of cabinet storage, new gas furnace, tankless water system and new roof! Living room with wood burning fireplace, hardwood floors, new carpet, new paint, all new windows, new bathrooms, spacious family room downstairs also has a fireplace.</t>
  </si>
  <si>
    <t>N on lk city way right on 117th.</t>
  </si>
  <si>
    <t>There is a brand new roof and electric panel on this much loved and comfortable home that is on the market for the first time in 50 years. Main floor has a circular floor plan, large living room with wood burning fireplace, dining room, coved ceilings, spacious kitchen and lots of storage. The main floor bedroom has an adjoing bathroom. Upstairs has room for very large master suite. Lower level has rec room, 3/4 bath and laundry and a separate entrance. Attached 2 car tandem garage. Corner lot.</t>
  </si>
  <si>
    <t>Dryer, Washer, See Remarks</t>
  </si>
  <si>
    <t>From Northgate Way go North on 5th, turn Left on 115, Right on 4th. House on the east side of the road.</t>
  </si>
  <si>
    <t>Cable TV, Deck, Fenced-Partially, Nat. Gas Available, RV Parking</t>
  </si>
  <si>
    <t>Charming home w/circular flr plan where natural sunlight abounds,hrdwd flrs,cozy f/p,new paint inside/out,ample storage. Great deck &amp;amp; fenced yrd w/fruit trees. New roof,tile &amp;amp; carpet,newly finished lower lvl w/3rd bd,bth &amp;amp; den w/direct yrd access. Attchd gar,carport w/water&amp;amp;power for RV/boat &amp;amp; pkng for 4 more cars! Convenient location close to NW hospital,clinics,Mall,Lbry, Schools,Parks,Restaurants,bus,Park&amp;amp;Ride,NSCC,EZ freeway access! An urban retreat just minutes to downtown. Move in &amp;amp; enjoy!</t>
  </si>
  <si>
    <t>B-5</t>
  </si>
  <si>
    <t>From NE 80th go south on 11th Ave. NE to House</t>
  </si>
  <si>
    <t>Dining Room, Security System, Walk-in Closet</t>
  </si>
  <si>
    <t>Charming 1923 craftsman. Home loaded with character, including hardwood floors, fireplace, leaded windows, built in cabinets and a rocking chair porch. The warm living rm and dining rm are perfect for entertaining. Two bedrooms on upper level with new carpeting. Unfinished basement over 1000 sq.ft. with full height ceiling ready for your ideas. Close to Green Lake and all the 65th St. and Roosevelt Square shops. Excellent access to the freeway. Zoned for commercial opportunities.</t>
  </si>
  <si>
    <t>Natural Gas, Oil</t>
  </si>
  <si>
    <t>Dishwasher, Dryer, Range/Oven, Washer</t>
  </si>
  <si>
    <t>I-5 North. Take exit 174 (130th/Roosevelt Way). Left onto 130th for .4 miles. Left on Meridian Ave. N. R on N. 128th</t>
  </si>
  <si>
    <t>Cable TV, Fenced-Partially, High Speed Internet, Nat. Gas Available, RV Parking</t>
  </si>
  <si>
    <t>SHORT SALE, 1916 Farm House, 7 bedroom's, 1 3/4 Bathroom's,Hardwood floors,great mill work,formal dining room, kitchen with eating area, Full basement with lots of head room, 8840 SF lot,Wonderful front porch, SOLD AS IS, Make Offer! Great Value!</t>
  </si>
  <si>
    <t>Electric/Lower Level</t>
  </si>
  <si>
    <t>NW 85th to South on 26th Ave NW.</t>
  </si>
  <si>
    <t>A great floorplan makes this a very livable home. Three bedrooms on the main floor and one on the lower level. Low maintenance yard and covered boat/RV storage. Newer roof. Hardwood floors on main level. Kitchen with eating space. Great Loyal Heights location close to Golden Gardens and within walking distance of neighborhood amenities.</t>
  </si>
  <si>
    <t>Hardwood, Slate, Vinyl</t>
  </si>
  <si>
    <t>From 125th, north on 30th, west (left) on 133rd, south (left) on 28th, home is on the right. From 145th, south on 30th, west (right) on 133rd, south (left) on 28th, home is on the right.</t>
  </si>
  <si>
    <t>Fenced-Fully, Patio</t>
  </si>
  <si>
    <t>Welcome Home. This is the remodeled mid-century rambler you've been waiting for! Situated on a large, level lot on a dead end cul-de-sac, this home has been completely updated! Finally, a solid, quality home with modern finishes. New roof, hardwoods, bathroom, kitchen, interior and exterior paint, and hot water heater all in the last 3 years! Copper plumbing, gas heating and cooking, huge sunny backyard, deep attached garage. This is it!</t>
  </si>
  <si>
    <t>Laminate</t>
  </si>
  <si>
    <t>Gas/basement</t>
  </si>
  <si>
    <t>From Lake City Way, turn east on 107th. Left into cul-de-sac on 28th.</t>
  </si>
  <si>
    <t>High Tech Cabling, Security System</t>
  </si>
  <si>
    <t>Fenced-Fully, High Speed Internet, Nat. Gas Available, Patio, Shop</t>
  </si>
  <si>
    <t>This sweet Tudor cottage is nestled on a cul-de-sac with a deep level lot. Period charm abounds in this lovely home - leaded mullioned windows, original single hung windows &amp;amp; lathe &amp;amp; plaster walls. The cheery kitchen overlooks the peaceful back yard where you can dine alfresco on the patio. You'll love the big basement &amp;amp; garage with a workshop area &amp;amp; tons of storage. Good light makes this space a place you will enjoy working or working out. Great Meadowbrook location.</t>
  </si>
  <si>
    <t>D-6</t>
  </si>
  <si>
    <t>Zip98117</t>
  </si>
  <si>
    <t>Whittier</t>
  </si>
  <si>
    <t>Sunset Hill</t>
  </si>
  <si>
    <t>NWMLS query from Feb 17</t>
  </si>
  <si>
    <t>All houses in 98117 zip code</t>
  </si>
  <si>
    <t>Price_300_to_500</t>
  </si>
  <si>
    <t>Windermere Notes</t>
  </si>
  <si>
    <t>ar=</t>
  </si>
  <si>
    <t>Scope search to an MLS area (our house is 705)</t>
  </si>
  <si>
    <t>ptyp=</t>
  </si>
  <si>
    <t>Comma separated values</t>
  </si>
  <si>
    <t>1 = Residential</t>
  </si>
  <si>
    <t>2 = Condo Co-op</t>
  </si>
  <si>
    <t>3 = Land</t>
  </si>
  <si>
    <t>st=</t>
  </si>
  <si>
    <t>State</t>
  </si>
  <si>
    <t>wa = washington</t>
  </si>
  <si>
    <t>cou=</t>
  </si>
  <si>
    <t>County (?)</t>
  </si>
  <si>
    <t>17 = King</t>
  </si>
  <si>
    <t>705 = Greenlake to I-5</t>
  </si>
  <si>
    <t>710 = East of I-5</t>
  </si>
  <si>
    <t>700 = Magnolia to I-5</t>
  </si>
  <si>
    <t>701 = Downtown</t>
  </si>
  <si>
    <t>390 = South of 520 to I-90, Lake Washington to I-5 (Montlake, Capitol Hill, Madison Park)</t>
  </si>
  <si>
    <t>sortorder=</t>
  </si>
  <si>
    <t>The sort order of the query</t>
  </si>
  <si>
    <t>1 = High price to low price</t>
  </si>
  <si>
    <t>2 = Low price to high price</t>
  </si>
  <si>
    <t>cit=</t>
  </si>
  <si>
    <t>minPrice</t>
  </si>
  <si>
    <t>maxPrice</t>
  </si>
  <si>
    <t>searchMLS</t>
  </si>
  <si>
    <t>oh</t>
  </si>
  <si>
    <t>ammenities</t>
  </si>
  <si>
    <t>Minimum Price to be included in search</t>
  </si>
  <si>
    <t>Maximum Price to be included in search</t>
  </si>
  <si>
    <t>Kirkland</t>
  </si>
  <si>
    <t>extentNorth</t>
  </si>
  <si>
    <t>extentSouth</t>
  </si>
  <si>
    <t>extentEast</t>
  </si>
  <si>
    <t>extentWest</t>
  </si>
  <si>
    <t>The extents in lat/long of the boundaries of the search</t>
  </si>
  <si>
    <t>zoomLevel</t>
  </si>
  <si>
    <t>mapCenterX</t>
  </si>
  <si>
    <t>mapCenterY</t>
  </si>
  <si>
    <t>daysback=</t>
  </si>
  <si>
    <t>only show if listed in the specified number of days</t>
  </si>
  <si>
    <t>All houses in the 300-500k range in the 705 and 710 areas</t>
  </si>
  <si>
    <t>Template</t>
  </si>
  <si>
    <t>http://www.windermere.com/index.cfm?fuseaction=Listing.PropertySearchResults&amp;searchString=ptyp=1|st=|premier=|sss=|ar=|cou=|cit=|minPrice=|maxPrice=|br=|bth=|minSqft=|maxSqft=|water=|ybtMin=|ybtMax=|hsn=|stor=|vew=|daysback=|NC=|ls=|address=|ln=|sub=|zip=98117|searchAgentMetauser_ID=|showPhotos=1|extentNorth=|extentSouth=|extentEast=|extentWest=|zoomLevel=|mapCenterX=|mapCenterY=|mapExtentBorder=|mapExtentLeft=|mapExtentRight=|mapExtentTop=|mapExtentBottom=|listingAction=show|mapExtentLeftDefault=|mapExtentRightDefault=|mapExtentTopDefault=|mapExtentBottomDefault=|agencyID=|amenities=|sftype=listing.SearchPropertyMapv2|mapHeight=|mapWidth=|sortOrder=2|searchMLS=|oh=&amp;startrow=1</t>
  </si>
  <si>
    <t>http://www.windermere.com/index.cfm?fuseaction=Listing.PropertySearchResults&amp;searchString=ptyp=1|st=|premier=|sss=|ar=|cou=|cit=|minPrice=|maxPrice=|br=|bth=|minSqft=|maxSqft=|water=|ybtMin=|ybtMax=|hsn=|stor=|vew=|daysback=|NC=|ls=|address=|ln=|sub=|zip=|searchAgentMetauser_ID=|showPhotos=1|extentNorth=|extentSouth=|extentEast=|extentWest=|zoomLevel=|mapCenterX=|mapCenterY=|mapExtentBorder=|mapExtentLeft=|mapExtentRight=|mapExtentTop=|mapExtentBottom=|listingAction=show|mapExtentLeftDefault=|mapExtentRightDefault=|mapExtentTopDefault=|mapExtentBottomDefault=|agencyID=|amenities=|sftype=listing.SearchPropertyMapv2|mapHeight=|mapWidth=|sortOrder=2|searchMLS=|oh=&amp;startrow=1</t>
  </si>
  <si>
    <t>http://www.windermere.com/index.cfm?fuseaction=Listing.PropertySearchResults&amp;searchString=ptyp=1|st=|premier=|sss=|ar=705,710|cou=|cit=|minPrice=300000|maxPrice=500000|br=2|bth=|minSqft=|maxSqft=|water=|ybtMin=|ybtMax=|hsn=|stor=|vew=|daysback=|NC=|ls=|address=|ln=|sub=|zip=|searchAgentMetauser_ID=|showPhotos=1|extentNorth=|extentSouth=|extentEast=|extentWest=|zoomLevel=|mapCenterX=|mapCenterY=|mapExtentBorder=|mapExtentLeft=|mapExtentRight=|mapExtentTop=|mapExtentBottom=|listingAction=show|mapExtentLeftDefault=|mapExtentRightDefault=|mapExtentTopDefault=|mapExtentBottomDefault=|agencyID=|amenities=|sftype=listing.SearchPropertyMapv2|mapHeight=|mapWidth=|sortOrder=2|searchMLS=|oh=&amp;startrow=1</t>
  </si>
  <si>
    <t>300-500k range in the 705 and 710 areas</t>
  </si>
  <si>
    <t>EastSide</t>
  </si>
  <si>
    <t>Bellevue, Redmond, Kirkland</t>
  </si>
  <si>
    <t>Renton</t>
  </si>
  <si>
    <t>http://www.windermere.com/index.cfm?fuseaction=Listing.PropertySearchResults&amp;searchString=ptyp=1|st=wa|premier=|sss=|ar=|cou=|cit=Bellevue,Redmond,Kirkland|minPrice=200000|maxPrice=500000|br=2|bth=|minSqft=|maxSqft=|water=|ybtMin=|ybtMax=|hsn=|stor=|vew=|daysback=|NC=|ls=|address=|ln=|sub=|zip=|searchAgentMetauser_ID=|showPhotos=1|extentNorth=|extentSouth=|extentEast=|extentWest=|zoomLevel=|mapCenterX=|mapCenterY=|mapExtentBorder=|mapExtentLeft=|mapExtentRight=|mapExtentTop=|mapExtentBottom=|listingAction=show|mapExtentLeftDefault=|mapExtentRightDefault=|mapExtentTopDefault=|mapExtentBottomDefault=|agencyID=|amenities=|sftype=listing.SearchPropertyMapv2|mapHeight=|mapWidth=|sortOrder=2|searchMLS=|oh=&amp;startrow=1</t>
  </si>
  <si>
    <t>http://www.windermere.com/index.cfm?fuseaction=Listing.PropertySearchResults&amp;searchString=ptyp=1|st=wa|premier=|sss=|ar=|cou=|cit=Renton|minPrice=200000|maxPrice=500000|br=2|bth=|minSqft=|maxSqft=|water=|ybtMin=|ybtMax=|hsn=|stor=|vew=|daysback=|NC=|ls=|address=|ln=|sub=|zip=|searchAgentMetauser_ID=|showPhotos=1|extentNorth=|extentSouth=|extentEast=|extentWest=|zoomLevel=|mapCenterX=|mapCenterY=|mapExtentBorder=|mapExtentLeft=|mapExtentRight=|mapExtentTop=|mapExtentBottom=|listingAction=show|mapExtentLeftDefault=|mapExtentRightDefault=|mapExtentTopDefault=|mapExtentBottomDefault=|agencyID=|amenities=|sftype=listing.SearchPropertyMapv2|mapHeight=|mapWidth=|sortOrder=2|searchMLS=|oh=&amp;startrow=1</t>
  </si>
  <si>
    <t>12314 B 33 Ave NE</t>
  </si>
  <si>
    <t>http://www.windermere.com/index.cfm?fuseaction=Listing.ListingDetail&amp;ListingID=19267034</t>
  </si>
  <si>
    <t>12050 33rd Ave NE B</t>
  </si>
  <si>
    <t>http://www.windermere.com/index.cfm?fuseaction=Listing.ListingDetail&amp;ListingID=19320510</t>
  </si>
  <si>
    <t>14731 31st Ave NE</t>
  </si>
  <si>
    <t>http://www.windermere.com/index.cfm?fuseaction=Listing.ListingDetail&amp;ListingID=19341859</t>
  </si>
  <si>
    <t>Bitter Lake</t>
  </si>
  <si>
    <t>12019 C 32 Ave NE</t>
  </si>
  <si>
    <t>http://www.windermere.com/index.cfm?fuseaction=Listing.ListingDetail&amp;ListingID=19249638</t>
  </si>
  <si>
    <t>12314 A 33 Ave NE</t>
  </si>
  <si>
    <t>http://www.windermere.com/index.cfm?fuseaction=Listing.ListingDetail&amp;ListingID=19267024</t>
  </si>
  <si>
    <t>12721 35th Ave NE B</t>
  </si>
  <si>
    <t>http://www.windermere.com/index.cfm?fuseaction=Listing.ListingDetail&amp;ListingID=19148569</t>
  </si>
  <si>
    <t>12721 35th Ave NE A</t>
  </si>
  <si>
    <t>http://www.windermere.com/index.cfm?fuseaction=Listing.ListingDetail&amp;ListingID=19148568</t>
  </si>
  <si>
    <t>12042 35 Ave NE</t>
  </si>
  <si>
    <t>http://www.windermere.com/index.cfm?fuseaction=Listing.ListingDetail&amp;ListingID=19100576</t>
  </si>
  <si>
    <t>12723 35th Ave NE A</t>
  </si>
  <si>
    <t>http://www.windermere.com/index.cfm?fuseaction=Listing.ListingDetail&amp;ListingID=19148570</t>
  </si>
  <si>
    <t>12316 C 33 Ave NE</t>
  </si>
  <si>
    <t>http://www.windermere.com/index.cfm?fuseaction=Listing.ListingDetail&amp;ListingID=19154257</t>
  </si>
  <si>
    <t>14504 31st Ave NE</t>
  </si>
  <si>
    <t>http://www.windermere.com/index.cfm?fuseaction=Listing.ListingDetail&amp;ListingID=18938966</t>
  </si>
  <si>
    <t>http://www.windermere.com/index.cfm?fuseaction=Listing.ListingDetail&amp;ListingID=19315288</t>
  </si>
  <si>
    <t>14506 31st Ave NE</t>
  </si>
  <si>
    <t>http://www.windermere.com/index.cfm?fuseaction=Listing.ListingDetail&amp;ListingID=18953287</t>
  </si>
  <si>
    <t>14508 31st Ave NE</t>
  </si>
  <si>
    <t>http://www.windermere.com/index.cfm?fuseaction=Listing.ListingDetail&amp;ListingID=19083952</t>
  </si>
  <si>
    <t>North Ballard</t>
  </si>
  <si>
    <t>11517 30th Ave NE</t>
  </si>
  <si>
    <t>http://www.windermere.com/index.cfm?fuseaction=Listing.ListingDetail&amp;ListingID=19358299</t>
  </si>
  <si>
    <t>http://www.windermere.com/index.cfm?fuseaction=Listing.ListingDetail&amp;ListingID=19327601</t>
  </si>
  <si>
    <t>http://www.windermere.com/index.cfm?fuseaction=Listing.ListingDetail&amp;ListingID=18343551</t>
  </si>
  <si>
    <t>4205 88th St NE</t>
  </si>
  <si>
    <t>http://www.windermere.com/index.cfm?fuseaction=Listing.ListingDetail&amp;ListingID=19278247</t>
  </si>
  <si>
    <t>View Ridge</t>
  </si>
  <si>
    <t>4205 NE 75th Street</t>
  </si>
  <si>
    <t>http://www.windermere.com/index.cfm?fuseaction=Listing.ListingDetail&amp;ListingID=18039221</t>
  </si>
  <si>
    <t>4033 NE 88th St</t>
  </si>
  <si>
    <t>http://www.windermere.com/index.cfm?fuseaction=Listing.ListingDetail&amp;ListingID=19220500</t>
  </si>
  <si>
    <t>11520 40th Ave NE</t>
  </si>
  <si>
    <t>http://www.windermere.com/index.cfm?fuseaction=Listing.ListingDetail&amp;ListingID=18667036</t>
  </si>
  <si>
    <t>http://www.windermere.com/index.cfm?fuseaction=Listing.ListingDetail&amp;ListingID=19312784</t>
  </si>
  <si>
    <t>http://www.windermere.com/index.cfm?fuseaction=Listing.ListingDetail&amp;ListingID=19311311</t>
  </si>
  <si>
    <t>12026 40th Ave NE</t>
  </si>
  <si>
    <t>_1972</t>
  </si>
  <si>
    <t>http://www.windermere.com/index.cfm?fuseaction=Listing.ListingDetail&amp;ListingID=19275831</t>
  </si>
  <si>
    <t>3512 NE 105th</t>
  </si>
  <si>
    <t>http://www.windermere.com/index.cfm?fuseaction=Listing.ListingDetail&amp;ListingID=7018919</t>
  </si>
  <si>
    <t>Sand Point</t>
  </si>
  <si>
    <t>7548 44 Ave NE</t>
  </si>
  <si>
    <t>http://www.windermere.com/index.cfm?fuseaction=Listing.ListingDetail&amp;ListingID=18986871</t>
  </si>
  <si>
    <t>http://www.windermere.com/index.cfm?fuseaction=Listing.ListingDetail&amp;ListingID=19342196</t>
  </si>
  <si>
    <t>3261 NE 98th</t>
  </si>
  <si>
    <t>http://www.windermere.com/index.cfm?fuseaction=Listing.ListingDetail&amp;ListingID=19359305</t>
  </si>
  <si>
    <t>2819 NE 117th St</t>
  </si>
  <si>
    <t>_1957</t>
  </si>
  <si>
    <t>http://www.windermere.com/index.cfm?fuseaction=Listing.ListingDetail&amp;ListingID=19013768</t>
  </si>
  <si>
    <t>6715 32 Ave NW</t>
  </si>
  <si>
    <t>http://www.windermere.com/index.cfm?fuseaction=Listing.ListingDetail&amp;ListingID=19253521</t>
  </si>
  <si>
    <t>http://www.windermere.com/index.cfm?fuseaction=Listing.ListingDetail&amp;ListingID=19310141</t>
  </si>
  <si>
    <t>Woodland Park</t>
  </si>
  <si>
    <t>11333 Sand Point Way NE</t>
  </si>
  <si>
    <t>http://www.windermere.com/index.cfm?fuseaction=Listing.ListingDetail&amp;ListingID=19143675</t>
  </si>
  <si>
    <t>6534 B 34th Ave NE</t>
  </si>
  <si>
    <t>http://www.windermere.com/index.cfm?fuseaction=Listing.ListingDetail&amp;ListingID=18293706</t>
  </si>
  <si>
    <t>8018 44th Ave NE</t>
  </si>
  <si>
    <t>http://www.windermere.com/index.cfm?fuseaction=Listing.ListingDetail&amp;ListingID=19241094</t>
  </si>
  <si>
    <t>2754 NE 88th St</t>
  </si>
  <si>
    <t>http://www.windermere.com/index.cfm?fuseaction=Listing.ListingDetail&amp;ListingID=19174633</t>
  </si>
  <si>
    <t>10311 Sand Point Way NE</t>
  </si>
  <si>
    <t>http://www.windermere.com/index.cfm?fuseaction=Listing.ListingDetail&amp;ListingID=19261684</t>
  </si>
  <si>
    <t>Hawthorne Hills</t>
  </si>
  <si>
    <t>6230 40th Ave NE</t>
  </si>
  <si>
    <t>http://www.windermere.com/index.cfm?fuseaction=Listing.ListingDetail&amp;ListingID=19350736</t>
  </si>
  <si>
    <t>4216 NE 120th St</t>
  </si>
  <si>
    <t>http://www.windermere.com/index.cfm?fuseaction=Listing.ListingDetail&amp;ListingID=19318148</t>
  </si>
  <si>
    <t>http://www.windermere.com/index.cfm?fuseaction=Listing.ListingDetail&amp;ListingID=18734876</t>
  </si>
  <si>
    <t>3510 NE 93rd St</t>
  </si>
  <si>
    <t>http://www.windermere.com/index.cfm?fuseaction=Listing.ListingDetail&amp;ListingID=19336224</t>
  </si>
  <si>
    <t>8538 12th Ave NW</t>
  </si>
  <si>
    <t>http://www.windermere.com/index.cfm?fuseaction=Listing.ListingDetail&amp;ListingID=19287429</t>
  </si>
  <si>
    <t>9532 6th Ave NW</t>
  </si>
  <si>
    <t>http://www.windermere.com/index.cfm?fuseaction=Listing.ListingDetail&amp;ListingID=18779676</t>
  </si>
  <si>
    <t>Spacious Loyal Heights Cape Cod</t>
  </si>
  <si>
    <t>7052 Earl Ave NW</t>
  </si>
  <si>
    <t>http://www.windermere.com/index.cfm?fuseaction=Listing.ListingDetail&amp;ListingID=19264293</t>
  </si>
  <si>
    <t>6504 4th Ave NW</t>
  </si>
  <si>
    <t>http://www.windermere.com/index.cfm?fuseaction=Listing.ListingDetail&amp;ListingID=19296030</t>
  </si>
  <si>
    <t>7721 Earl Ave NW</t>
  </si>
  <si>
    <t>http://www.windermere.com/index.cfm?fuseaction=Listing.ListingDetail&amp;ListingID=19219049</t>
  </si>
  <si>
    <t>8012 9th Ave NW</t>
  </si>
  <si>
    <t>http://www.windermere.com/index.cfm?fuseaction=Listing.ListingDetail&amp;ListingID=19326308</t>
  </si>
  <si>
    <t>2716 NW 65th St</t>
  </si>
  <si>
    <t>http://www.windermere.com/index.cfm?fuseaction=Listing.ListingDetail&amp;ListingID=18613160</t>
  </si>
  <si>
    <t>6714 3rd Ave NW</t>
  </si>
  <si>
    <t>http://www.windermere.com/index.cfm?fuseaction=Listing.ListingDetail&amp;ListingID=19304182</t>
  </si>
  <si>
    <t>9602 26th Ave NW</t>
  </si>
  <si>
    <t>http://www.windermere.com/index.cfm?fuseaction=Listing.ListingDetail&amp;ListingID=19347056</t>
  </si>
  <si>
    <t>1203 NW 67th</t>
  </si>
  <si>
    <t>http://www.windermere.com/index.cfm?fuseaction=Listing.ListingDetail&amp;ListingID=18811833</t>
  </si>
  <si>
    <t>7031 3rd Ave NW</t>
  </si>
  <si>
    <t>http://www.windermere.com/index.cfm?fuseaction=Listing.ListingDetail&amp;ListingID=19215921</t>
  </si>
  <si>
    <t>9701 12th Ave NW</t>
  </si>
  <si>
    <t>http://www.windermere.com/index.cfm?fuseaction=Listing.ListingDetail&amp;ListingID=19327126</t>
  </si>
  <si>
    <t>941 NW 96th St</t>
  </si>
  <si>
    <t>_1976</t>
  </si>
  <si>
    <t>http://www.windermere.com/index.cfm?fuseaction=Listing.ListingDetail&amp;ListingID=18370665</t>
  </si>
  <si>
    <t>9202 9th Ave NW</t>
  </si>
  <si>
    <t>http://www.windermere.com/index.cfm?fuseaction=Listing.ListingDetail&amp;ListingID=18631941</t>
  </si>
  <si>
    <t>827 NW 65th St</t>
  </si>
  <si>
    <t>http://www.windermere.com/index.cfm?fuseaction=Listing.ListingDetail&amp;ListingID=19038432</t>
  </si>
  <si>
    <t>632 NW 84th St</t>
  </si>
  <si>
    <t>http://www.windermere.com/index.cfm?fuseaction=Listing.ListingDetail&amp;ListingID=19308826</t>
  </si>
  <si>
    <t>8020 16th Ave NW</t>
  </si>
  <si>
    <t>http://www.windermere.com/index.cfm?fuseaction=Listing.ListingDetail&amp;ListingID=19295724</t>
  </si>
  <si>
    <t>8537 19th Ave NW</t>
  </si>
  <si>
    <t>http://www.windermere.com/index.cfm?fuseaction=Listing.ListingDetail&amp;ListingID=19368908</t>
  </si>
  <si>
    <t>6516 32nd Ave NW</t>
  </si>
  <si>
    <t>http://www.windermere.com/index.cfm?fuseaction=Listing.ListingDetail&amp;ListingID=19187084</t>
  </si>
  <si>
    <t>110 NW 77th St</t>
  </si>
  <si>
    <t>http://www.windermere.com/index.cfm?fuseaction=Listing.ListingDetail&amp;ListingID=19146533</t>
  </si>
  <si>
    <t>Olympic Manor</t>
  </si>
  <si>
    <t>8739 21st Ave NW</t>
  </si>
  <si>
    <t>http://www.windermere.com/index.cfm?fuseaction=Listing.ListingDetail&amp;ListingID=19103376</t>
  </si>
  <si>
    <t>8051 30th Ave NW</t>
  </si>
  <si>
    <t>http://www.windermere.com/index.cfm?fuseaction=Listing.ListingDetail&amp;ListingID=19234794</t>
  </si>
  <si>
    <t>7520 30th Ave NW</t>
  </si>
  <si>
    <t>http://www.windermere.com/index.cfm?fuseaction=Listing.ListingDetail&amp;ListingID=19182010</t>
  </si>
  <si>
    <t>3228 NW 65th St</t>
  </si>
  <si>
    <t>http://www.windermere.com/index.cfm?fuseaction=Listing.ListingDetail&amp;ListingID=19146142</t>
  </si>
  <si>
    <t>8035 30th Ave NW</t>
  </si>
  <si>
    <t>http://www.windermere.com/index.cfm?fuseaction=Listing.ListingDetail&amp;ListingID=19141822</t>
  </si>
  <si>
    <t>8326 Earl Ave NW</t>
  </si>
  <si>
    <t>_1983</t>
  </si>
  <si>
    <t>http://www.windermere.com/index.cfm?fuseaction=Listing.ListingDetail&amp;ListingID=19338665</t>
  </si>
  <si>
    <t>2851 NW 67th St</t>
  </si>
  <si>
    <t>http://www.windermere.com/index.cfm?fuseaction=Listing.ListingDetail&amp;ListingID=19227645</t>
  </si>
  <si>
    <t>7741 29th Ave NW</t>
  </si>
  <si>
    <t>http://www.windermere.com/index.cfm?fuseaction=Listing.ListingDetail&amp;ListingID=19115696</t>
  </si>
  <si>
    <t>6540 2nd Avenue NW</t>
  </si>
  <si>
    <t>http://www.windermere.com/index.cfm?fuseaction=Listing.ListingDetail&amp;ListingID=19262546</t>
  </si>
  <si>
    <t>9615 12th ave NW</t>
  </si>
  <si>
    <t>http://www.windermere.com/index.cfm?fuseaction=Listing.ListingDetail&amp;ListingID=19378194</t>
  </si>
  <si>
    <t>9233 11th Ave NW</t>
  </si>
  <si>
    <t>http://www.windermere.com/index.cfm?fuseaction=Listing.ListingDetail&amp;ListingID=19342514</t>
  </si>
  <si>
    <t>9304 26th Pl NW</t>
  </si>
  <si>
    <t>http://www.windermere.com/index.cfm?fuseaction=Listing.ListingDetail&amp;ListingID=18900215</t>
  </si>
  <si>
    <t>202 NW 70th St</t>
  </si>
  <si>
    <t>http://www.windermere.com/index.cfm?fuseaction=Listing.ListingDetail&amp;ListingID=19356196</t>
  </si>
  <si>
    <t>2852 NW 90th Pl</t>
  </si>
  <si>
    <t>http://www.windermere.com/index.cfm?fuseaction=Listing.ListingDetail&amp;ListingID=19351026</t>
  </si>
  <si>
    <t>6710 Alonzo Ave NW</t>
  </si>
  <si>
    <t>http://www.windermere.com/index.cfm?fuseaction=Listing.ListingDetail&amp;ListingID=18825661</t>
  </si>
  <si>
    <t>7515 27th Ave NW</t>
  </si>
  <si>
    <t>http://www.windermere.com/index.cfm?fuseaction=Listing.ListingDetail&amp;ListingID=18992860</t>
  </si>
  <si>
    <t>132 NW 83rd St</t>
  </si>
  <si>
    <t>http://www.windermere.com/index.cfm?fuseaction=Listing.ListingDetail&amp;ListingID=19092155</t>
  </si>
  <si>
    <t>North Capitol Hill</t>
  </si>
  <si>
    <t>3118 A Franklin Ave E</t>
  </si>
  <si>
    <t>http://www.windermere.com/index.cfm?fuseaction=Listing.ListingDetail&amp;ListingID=19034826</t>
  </si>
  <si>
    <t>612 NW 73rd St</t>
  </si>
  <si>
    <t>http://www.windermere.com/index.cfm?fuseaction=Listing.ListingDetail&amp;ListingID=19243527</t>
  </si>
  <si>
    <t>3124 B Franklin Ave E</t>
  </si>
  <si>
    <t>http://www.windermere.com/index.cfm?fuseaction=Listing.ListingDetail&amp;ListingID=19181506</t>
  </si>
  <si>
    <t>3128 A Franklin Ave E</t>
  </si>
  <si>
    <t>http://www.windermere.com/index.cfm?fuseaction=Listing.ListingDetail&amp;ListingID=19181512</t>
  </si>
  <si>
    <t>3128 B Franklin Ave E</t>
  </si>
  <si>
    <t>http://www.windermere.com/index.cfm?fuseaction=Listing.ListingDetail&amp;ListingID=19181513</t>
  </si>
  <si>
    <t>3124 A Franklin Ave E</t>
  </si>
  <si>
    <t>http://www.windermere.com/index.cfm?fuseaction=Listing.ListingDetail&amp;ListingID=19181505</t>
  </si>
  <si>
    <t>8720 21st Ave NW</t>
  </si>
  <si>
    <t>http://www.windermere.com/index.cfm?fuseaction=Listing.ListingDetail&amp;ListingID=19373391</t>
  </si>
  <si>
    <t>3126 B Franklin Ave E</t>
  </si>
  <si>
    <t>http://www.windermere.com/index.cfm?fuseaction=Listing.ListingDetail&amp;ListingID=19181511</t>
  </si>
  <si>
    <t>3126 A Franklin Ave E</t>
  </si>
  <si>
    <t>http://www.windermere.com/index.cfm?fuseaction=Listing.ListingDetail&amp;ListingID=19181507</t>
  </si>
  <si>
    <t>2511 NW North Beach Dr</t>
  </si>
  <si>
    <t>http://www.windermere.com/index.cfm?fuseaction=Listing.ListingDetail&amp;ListingID=19143759</t>
  </si>
  <si>
    <t>Phinney Ridge Brick Classic</t>
  </si>
  <si>
    <t>6706 Sycamore Ave NW</t>
  </si>
  <si>
    <t>http://www.windermere.com/index.cfm?fuseaction=Listing.ListingDetail&amp;ListingID=19233166</t>
  </si>
  <si>
    <t>3118 B Franklin Ave E</t>
  </si>
  <si>
    <t>http://www.windermere.com/index.cfm?fuseaction=Listing.ListingDetail&amp;ListingID=18675948</t>
  </si>
  <si>
    <t>3251 NW Esplanade</t>
  </si>
  <si>
    <t>http://www.windermere.com/index.cfm?fuseaction=Listing.ListingDetail&amp;ListingID=19315379</t>
  </si>
  <si>
    <t>9226 Alvin Pl NW</t>
  </si>
  <si>
    <t>http://www.windermere.com/index.cfm?fuseaction=Listing.ListingDetail&amp;ListingID=19213443</t>
  </si>
  <si>
    <t>8322 25th Ave NW</t>
  </si>
  <si>
    <t>http://www.windermere.com/index.cfm?fuseaction=Listing.ListingDetail&amp;ListingID=18576148</t>
  </si>
  <si>
    <t>9215 20th Ave NW</t>
  </si>
  <si>
    <t>http://www.windermere.com/index.cfm?fuseaction=Listing.ListingDetail&amp;ListingID=19191851</t>
  </si>
  <si>
    <t>321 NW 81st St</t>
  </si>
  <si>
    <t>http://www.windermere.com/index.cfm?fuseaction=Listing.ListingDetail&amp;ListingID=18844447</t>
  </si>
  <si>
    <t>9514 12th Ave NW</t>
  </si>
  <si>
    <t>http://www.windermere.com/index.cfm?fuseaction=Listing.ListingDetail&amp;ListingID=19082599</t>
  </si>
  <si>
    <t>1906 NW 97th St</t>
  </si>
  <si>
    <t>http://www.windermere.com/index.cfm?fuseaction=Listing.ListingDetail&amp;ListingID=19361391</t>
  </si>
  <si>
    <t>349 NW 86th St</t>
  </si>
  <si>
    <t>http://www.windermere.com/index.cfm?fuseaction=Listing.ListingDetail&amp;ListingID=19247573</t>
  </si>
  <si>
    <t>6707 7th Ave NW</t>
  </si>
  <si>
    <t>http://www.windermere.com/index.cfm?fuseaction=Listing.ListingDetail&amp;ListingID=19311701</t>
  </si>
  <si>
    <t>8332 20th Ave NW</t>
  </si>
  <si>
    <t>http://www.windermere.com/index.cfm?fuseaction=Listing.ListingDetail&amp;ListingID=19280114</t>
  </si>
  <si>
    <t>8045 25th Ave NW</t>
  </si>
  <si>
    <t>http://www.windermere.com/index.cfm?fuseaction=Listing.ListingDetail&amp;ListingID=19305262</t>
  </si>
  <si>
    <t>7526 32nd Ave NW</t>
  </si>
  <si>
    <t>http://www.windermere.com/index.cfm?fuseaction=Listing.ListingDetail&amp;ListingID=19280039</t>
  </si>
  <si>
    <t>9648 26th Ave NW</t>
  </si>
  <si>
    <t>http://www.windermere.com/index.cfm?fuseaction=Listing.ListingDetail&amp;ListingID=19308744</t>
  </si>
  <si>
    <t>8812 Golden Gardens Dr NW</t>
  </si>
  <si>
    <t>http://www.windermere.com/index.cfm?fuseaction=Listing.ListingDetail&amp;ListingID=19048331</t>
  </si>
  <si>
    <t>2822 NW 68th St</t>
  </si>
  <si>
    <t>http://www.windermere.com/index.cfm?fuseaction=Listing.ListingDetail&amp;ListingID=18893411</t>
  </si>
  <si>
    <t>128 NW 75th St</t>
  </si>
  <si>
    <t>http://www.windermere.com/index.cfm?fuseaction=Listing.ListingDetail&amp;ListingID=19370188</t>
  </si>
  <si>
    <t>3422 NW 66th St</t>
  </si>
  <si>
    <t>http://www.windermere.com/index.cfm?fuseaction=Listing.ListingDetail&amp;ListingID=19147071</t>
  </si>
  <si>
    <t>9277 20th Ave NW</t>
  </si>
  <si>
    <t>_1966</t>
  </si>
  <si>
    <t>http://www.windermere.com/index.cfm?fuseaction=Listing.ListingDetail&amp;ListingID=18821044</t>
  </si>
  <si>
    <t>9037 View Ave NW</t>
  </si>
  <si>
    <t>http://www.windermere.com/index.cfm?fuseaction=Listing.ListingDetail&amp;ListingID=18622733</t>
  </si>
  <si>
    <t>2636 NW Esplanade Dr</t>
  </si>
  <si>
    <t>http://www.windermere.com/index.cfm?fuseaction=Listing.ListingDetail&amp;ListingID=18930143</t>
  </si>
  <si>
    <t>3303 NW 71 St</t>
  </si>
  <si>
    <t>9111 View Ave NW</t>
  </si>
  <si>
    <t>_1970</t>
  </si>
  <si>
    <t>http://www.windermere.com/index.cfm?fuseaction=Listing.ListingDetail&amp;ListingID=19229227</t>
  </si>
  <si>
    <t>Verified List Date</t>
  </si>
  <si>
    <t>Red Fin Days</t>
  </si>
  <si>
    <t>Good sized lot</t>
  </si>
  <si>
    <t>In the neighborhood, bad pictures</t>
  </si>
  <si>
    <t>Duplex right on 522</t>
  </si>
  <si>
    <t>Other 1/2 of the duplex</t>
  </si>
  <si>
    <t>Ugly duplex</t>
  </si>
  <si>
    <t>Lots of wood panelling, big lot, right on 125th.</t>
  </si>
  <si>
    <t>Big lot, but right by a school</t>
  </si>
  <si>
    <t>New house near Sunset Park</t>
  </si>
  <si>
    <t>Good sized lot near Sunset Park, 70s house</t>
  </si>
  <si>
    <t>Not pretty, but cheap</t>
  </si>
  <si>
    <t>Not a bad townhouse.  Pretty far north, brand new.</t>
  </si>
  <si>
    <t>Brand new townhouse, right off aurora</t>
  </si>
  <si>
    <t>right against I-5, redone inside</t>
  </si>
  <si>
    <t>New townhouse off 85th &amp; I-5</t>
  </si>
  <si>
    <t>New townhouse, seems like a good location</t>
  </si>
  <si>
    <t>Townhouse</t>
  </si>
  <si>
    <t>Nice house on a good sized lot by Sunset Park.  Built in 2002</t>
  </si>
  <si>
    <t>Right on Aurora, Business location?</t>
  </si>
  <si>
    <t>Beater townhouse right on I-5</t>
  </si>
  <si>
    <t>Small lot</t>
  </si>
  <si>
    <t>Big lot, oil heat, probably a tear down</t>
  </si>
  <si>
    <t>Small lot, just on the other side of Aurora afrom green lake</t>
  </si>
  <si>
    <t>10708 12th Ave NE</t>
  </si>
  <si>
    <t>http://www.windermere.com/index.cfm?fuseaction=Listing.ListingDetail&amp;ListingID=19386011</t>
  </si>
  <si>
    <t>222 NW 95</t>
  </si>
  <si>
    <t>http://www.windermere.com/index.cfm?fuseaction=Listing.ListingDetail&amp;ListingID=19386709</t>
  </si>
  <si>
    <t>9511 College Way N</t>
  </si>
  <si>
    <t>http://www.windermere.com/index.cfm?fuseaction=Listing.ListingDetail&amp;ListingID=19385109</t>
  </si>
  <si>
    <t>Temp</t>
  </si>
  <si>
    <t>Quiet neighborhood.  Oil heat.  Unfinished basement.  Dave likes.  New windows\</t>
  </si>
  <si>
    <t>OK for a rental.  Would need to update kitchen, and floors before resale.  Good layout.  Low basement ceiling… 6'?</t>
  </si>
  <si>
    <t>Angela likes.  Nice remodel, but dicey neighbors.  In the cranberry bog.</t>
  </si>
  <si>
    <t>Lots of wood panelling, on a very busy street.  Good neighborhood, with fenced yard.</t>
  </si>
  <si>
    <t>TBD</t>
  </si>
  <si>
    <t>Big lot.  Not many pictures.  Ang doesn't like it</t>
  </si>
  <si>
    <t>Right across from college.  Good sized lot.  Reasonably updated.</t>
  </si>
  <si>
    <t>too much wood panelling.</t>
  </si>
  <si>
    <t>On 105th, near a park.  Small old lady house.  Close to 522</t>
  </si>
  <si>
    <t>Calc Days</t>
  </si>
  <si>
    <t>1 bed, 1 bath, tiny lot</t>
  </si>
  <si>
    <t>14014 Courtland Pl N</t>
  </si>
  <si>
    <t>http://www.windermere.com/index.cfm?fuseaction=Listing.ListingDetail&amp;ListingID=19387987</t>
  </si>
  <si>
    <t>9535 Fremont Ave N</t>
  </si>
  <si>
    <t>http://www.windermere.com/index.cfm?fuseaction=Listing.ListingDetail&amp;ListingID=19389689</t>
  </si>
  <si>
    <t>1029 B NE 123rd</t>
  </si>
  <si>
    <t>http://www.windermere.com/index.cfm?fuseaction=Listing.ListingDetail&amp;ListingID=19390786</t>
  </si>
  <si>
    <t>1027 B NE 123rd</t>
  </si>
  <si>
    <t>http://www.windermere.com/index.cfm?fuseaction=Listing.ListingDetail&amp;ListingID=19390529</t>
  </si>
  <si>
    <t>1029 A NE 123rd</t>
  </si>
  <si>
    <t>http://www.windermere.com/index.cfm?fuseaction=Listing.ListingDetail&amp;ListingID=19390872</t>
  </si>
  <si>
    <t>3636 NE 117 St</t>
  </si>
  <si>
    <t>http://www.windermere.com/index.cfm?fuseaction=Listing.ListingDetail&amp;ListingID=19389098</t>
  </si>
  <si>
    <t>http://www.windermere.com/index.cfm?fuseaction=Listing.ListingDetail&amp;ListingID=19391774</t>
  </si>
  <si>
    <t>2302 NE 92nd St</t>
  </si>
  <si>
    <t>3826 NE 120 St</t>
  </si>
  <si>
    <t>http://www.windermere.com/index.cfm?fuseaction=Listing.ListingDetail&amp;ListingID=19390333</t>
  </si>
  <si>
    <t>13317 17th Ave NE</t>
  </si>
  <si>
    <t>_1969</t>
  </si>
  <si>
    <t>http://www.windermere.com/index.cfm?fuseaction=Listing.ListingDetail&amp;ListingID=19223951</t>
  </si>
  <si>
    <t>4108 Greenwood (Not Busy) Ave N</t>
  </si>
  <si>
    <t>6725 10th Ave NW</t>
  </si>
  <si>
    <t>http://www.windermere.com/index.cfm?fuseaction=Listing.ListingDetail&amp;ListingID=19390093</t>
  </si>
  <si>
    <t>2500 sq ft lot.  Would need some work.  Not a bad neighborhood</t>
  </si>
  <si>
    <t>Early 90s house, on small lot in Fremont</t>
  </si>
  <si>
    <t>Everything in the house is dated.</t>
  </si>
  <si>
    <t>Nice on the inside, good sized lot</t>
  </si>
  <si>
    <t>Nice on the inside.  Townhome.  Really weird outside.</t>
  </si>
  <si>
    <t>Nice townhome by QFC in ballard</t>
  </si>
  <si>
    <t>Nice brick home near Greenlake.  Small house on small lot.</t>
  </si>
  <si>
    <t>Not much on photos.  2 story with small-medium lot.</t>
  </si>
  <si>
    <t>Reasonable sized lot, but no pictures</t>
  </si>
  <si>
    <t>Nice, but small house on reasonably sized lot</t>
  </si>
  <si>
    <t>Kinda funky house, on a big lot in Cedar Park.  Worth a look?</t>
  </si>
  <si>
    <t>Nice living space, on reasonably sized lot</t>
  </si>
  <si>
    <t>Nicely updated kitchen, though seems like a lot to spend for Lake City</t>
  </si>
  <si>
    <t>Split level in Jackson park, with no updates</t>
  </si>
  <si>
    <t>Mid-quality updates, and new paint.  Oil heat.</t>
  </si>
  <si>
    <t>9210 2nd Ave NW</t>
  </si>
  <si>
    <t>http://www.windermere.com/index.cfm?fuseaction=Listing.ListingDetail&amp;ListingID=19394909</t>
  </si>
  <si>
    <t>11014 C Greenwood Ave N</t>
  </si>
  <si>
    <t>http://www.windermere.com/index.cfm?fuseaction=Listing.ListingDetail&amp;ListingID=19398213</t>
  </si>
  <si>
    <t>14714 23rd Ave NE</t>
  </si>
  <si>
    <t>http://www.windermere.com/index.cfm?fuseaction=Listing.ListingDetail&amp;ListingID=19397485</t>
  </si>
  <si>
    <t>939 N 91st St</t>
  </si>
  <si>
    <t>http://www.windermere.com/index.cfm?fuseaction=Listing.ListingDetail&amp;ListingID=19393632</t>
  </si>
  <si>
    <t>2207 NW 70th St</t>
  </si>
  <si>
    <t>http://www.windermere.com/index.cfm?fuseaction=Listing.ListingDetail&amp;ListingID=19394453</t>
  </si>
  <si>
    <t>11054 19th Ave NE</t>
  </si>
  <si>
    <t>http://www.windermere.com/index.cfm?fuseaction=Listing.ListingDetail&amp;ListingID=19395167</t>
  </si>
  <si>
    <t>Cheap house, but small, on good sized lot.</t>
  </si>
  <si>
    <t>90s style townhouse.  Not bad looking</t>
  </si>
  <si>
    <t>Brand new townhouse on Greenwood</t>
  </si>
  <si>
    <t>Great view.  Brand new townhouse on greenwood</t>
  </si>
  <si>
    <t>Went STI, then came off</t>
  </si>
  <si>
    <t>Strange looking house, with many needed updates</t>
  </si>
  <si>
    <t>New townhouse</t>
  </si>
  <si>
    <t>Oil heat, two story.  Potential remodel</t>
  </si>
  <si>
    <t>Fixer or tear down on 6k sq ft lot</t>
  </si>
  <si>
    <t>Nice lot, strange house</t>
  </si>
  <si>
    <t>Good sized lot, but needs updating, and right on Aurora</t>
  </si>
  <si>
    <t>Tiny house, on tiny lot.  Nice updates.</t>
  </si>
  <si>
    <t>x</t>
  </si>
  <si>
    <t>Start here</t>
  </si>
  <si>
    <t>7741 14th Ave NW</t>
  </si>
  <si>
    <t>http://www.windermere.com/index.cfm?fuseaction=Listing.ListingDetail&amp;ListingID=19400611</t>
  </si>
  <si>
    <t>346 NW 103 St</t>
  </si>
  <si>
    <t>http://www.windermere.com/index.cfm?fuseaction=Listing.ListingDetail&amp;ListingID=19402080</t>
  </si>
  <si>
    <t>611 N 46 St B</t>
  </si>
  <si>
    <t>http://www.windermere.com/index.cfm?fuseaction=Listing.ListingDetail&amp;ListingID=19403464</t>
  </si>
  <si>
    <t>http://www.windermere.com/index.cfm?fuseaction=Listing.ListingDetail&amp;ListingID=19403826</t>
  </si>
  <si>
    <t>102 NW 104th St</t>
  </si>
  <si>
    <t>_1963</t>
  </si>
  <si>
    <t>http://www.windermere.com/index.cfm?fuseaction=Listing.ListingDetail&amp;ListingID=19404486</t>
  </si>
  <si>
    <t>227 NW 41st St</t>
  </si>
  <si>
    <t>http://www.windermere.com/index.cfm?fuseaction=Listing.ListingDetail&amp;ListingID=19399436</t>
  </si>
  <si>
    <t>931 N 35th St A</t>
  </si>
  <si>
    <t>http://www.windermere.com/index.cfm?fuseaction=Listing.ListingDetail&amp;ListingID=19403814</t>
  </si>
  <si>
    <t>2040 NW 61st St</t>
  </si>
  <si>
    <t>http://www.windermere.com/index.cfm?fuseaction=Listing.ListingDetail&amp;ListingID=19224161</t>
  </si>
  <si>
    <t>6538 38th Ave NE</t>
  </si>
  <si>
    <t>http://www.windermere.com/index.cfm?fuseaction=Listing.ListingDetail&amp;ListingID=19398832</t>
  </si>
  <si>
    <t>105 NW 76th St</t>
  </si>
  <si>
    <t>http://www.windermere.com/index.cfm?fuseaction=Listing.ListingDetail&amp;ListingID=19403828</t>
  </si>
  <si>
    <t>New Construction in North Beach</t>
  </si>
  <si>
    <t>Price dropped.  Check lot size.</t>
  </si>
  <si>
    <t>New Townhouse</t>
  </si>
  <si>
    <t>Dated house, updated kitchen.  Good sized lot, a bit far north.</t>
  </si>
  <si>
    <t>Nice new townhouse, but next to Aurora</t>
  </si>
  <si>
    <t>Small house, small lot in Fremont</t>
  </si>
  <si>
    <t>Five year old townhome</t>
  </si>
  <si>
    <t>May be worth checking out if in the neighborhood.  Check lotsize</t>
  </si>
  <si>
    <t>Pretty small lot, and wood panelling, but looks like a nice area.  Might be worth a look.  Just came back from STI</t>
  </si>
  <si>
    <t>Nice new townhouse.</t>
  </si>
  <si>
    <t>In the process of remodel.  Foreclosure.  Keep an eye on.</t>
  </si>
  <si>
    <t>Older townhouse</t>
  </si>
  <si>
    <t>Nice townhouse with a decent view.  Not new</t>
  </si>
  <si>
    <t>Funky looking townhouse in Fremont</t>
  </si>
  <si>
    <t>Split level</t>
  </si>
  <si>
    <t>Nice updates, and location, but small lot, and small house</t>
  </si>
  <si>
    <t>Under construction</t>
  </si>
  <si>
    <t>Reasonably sized lot, 90s style interior</t>
  </si>
  <si>
    <t>Nice neighborhood.  Appears to be a small lot</t>
  </si>
  <si>
    <t>2407 NE 145th St</t>
  </si>
  <si>
    <t>http://www.windermere.com/index.cfm?fuseaction=Listing.ListingDetail&amp;ListingID=19408082</t>
  </si>
  <si>
    <t>http://www.windermere.com/index.cfm?fuseaction=Listing.ListingDetail&amp;ListingID=19408389</t>
  </si>
  <si>
    <t>2505 NE 140th St</t>
  </si>
  <si>
    <t>http://www.windermere.com/index.cfm?fuseaction=Listing.ListingDetail&amp;ListingID=19407034</t>
  </si>
  <si>
    <t>4319 Latona Ave NE</t>
  </si>
  <si>
    <t>http://www.windermere.com/index.cfm?fuseaction=Listing.ListingDetail&amp;ListingID=19409882</t>
  </si>
  <si>
    <t>204 N 39th St</t>
  </si>
  <si>
    <t>2319 N 65th St</t>
  </si>
  <si>
    <t>http://www.windermere.com/index.cfm?fuseaction=Listing.ListingDetail&amp;ListingID=19409141</t>
  </si>
  <si>
    <t>5762 25th Ave NE</t>
  </si>
  <si>
    <t>3906 Whitman Ave N</t>
  </si>
  <si>
    <t>http://www.windermere.com/index.cfm?fuseaction=Listing.ListingDetail&amp;ListingID=19407733</t>
  </si>
  <si>
    <t>3900 Whitman Ave N</t>
  </si>
  <si>
    <t>http://www.windermere.com/index.cfm?fuseaction=Listing.ListingDetail&amp;ListingID=19407101</t>
  </si>
  <si>
    <t>http://www.windermere.com/index.cfm?fuseaction=Listing.ListingDetail&amp;ListingID=19408406</t>
  </si>
  <si>
    <t>6614 28th Ave NW</t>
  </si>
  <si>
    <t>http://www.windermere.com/index.cfm?fuseaction=Listing.ListingDetail&amp;ListingID=19406599</t>
  </si>
  <si>
    <t>4669 1st Ave NE</t>
  </si>
  <si>
    <t>http://www.windermere.com/index.cfm?fuseaction=Listing.ListingDetail&amp;ListingID=19406985</t>
  </si>
  <si>
    <t>13621 4th Ave NE</t>
  </si>
  <si>
    <t>http://www.windermere.com/index.cfm?fuseaction=Listing.ListingDetail&amp;ListingID=19409788</t>
  </si>
  <si>
    <t>13724 Midvale Ave N</t>
  </si>
  <si>
    <t>http://www.windermere.com/index.cfm?fuseaction=Listing.ListingDetail&amp;ListingID=19412092</t>
  </si>
  <si>
    <t>2655 NW 90th St</t>
  </si>
  <si>
    <t>http://www.windermere.com/index.cfm?fuseaction=Listing.ListingDetail&amp;ListingID=19409790</t>
  </si>
  <si>
    <t>8015 19th Ave NW</t>
  </si>
  <si>
    <t>http://www.windermere.com/index.cfm?fuseaction=Listing.ListingDetail&amp;ListingID=19409140</t>
  </si>
  <si>
    <t>Listing Removed</t>
  </si>
  <si>
    <t>Listing Exists</t>
  </si>
  <si>
    <t>821 A NW 53rd St</t>
  </si>
  <si>
    <t>http://www.windermere.com/index.cfm?fuseaction=Listing.ListingDetail&amp;ListingID=19412399</t>
  </si>
  <si>
    <t>10205 B 1st Ave NW</t>
  </si>
  <si>
    <t>http://www.windermere.com/index.cfm?fuseaction=Listing.ListingDetail&amp;ListingID=19438383</t>
  </si>
  <si>
    <t>13906 2nd Ave NE</t>
  </si>
  <si>
    <t>http://www.windermere.com/index.cfm?fuseaction=Listing.ListingDetail&amp;ListingID=19437800</t>
  </si>
  <si>
    <t>9521 Wallingford Ave N</t>
  </si>
  <si>
    <t>http://www.windermere.com/index.cfm?fuseaction=Listing.ListingDetail&amp;ListingID=19413443</t>
  </si>
  <si>
    <t>10507 Palatine Ave N</t>
  </si>
  <si>
    <t>http://www.windermere.com/index.cfm?fuseaction=Listing.ListingDetail&amp;ListingID=19438316</t>
  </si>
  <si>
    <t>2623 NW 57th St</t>
  </si>
  <si>
    <t>http://www.windermere.com/index.cfm?fuseaction=Listing.ListingDetail&amp;ListingID=19438452</t>
  </si>
  <si>
    <t>13701 20th Ave NE</t>
  </si>
  <si>
    <t>http://www.windermere.com/index.cfm?fuseaction=Listing.ListingDetail&amp;ListingID=19414449</t>
  </si>
  <si>
    <t>6248 27th Ave NE</t>
  </si>
  <si>
    <t>http://www.windermere.com/index.cfm?fuseaction=Listing.ListingDetail&amp;ListingID=19416957</t>
  </si>
  <si>
    <t>7711 16th Ave NE</t>
  </si>
  <si>
    <t>http://www.windermere.com/index.cfm?fuseaction=Listing.ListingDetail&amp;ListingID=19416095</t>
  </si>
  <si>
    <t>832 NE 57th St</t>
  </si>
  <si>
    <t>http://www.windermere.com/index.cfm?fuseaction=Listing.ListingDetail&amp;ListingID=19420266</t>
  </si>
  <si>
    <t>6518 Cleopatra Pl NW</t>
  </si>
  <si>
    <t>http://www.windermere.com/index.cfm?fuseaction=Listing.ListingDetail&amp;ListingID=19419027</t>
  </si>
  <si>
    <t>7215 6th Ave NW</t>
  </si>
  <si>
    <t>http://www.windermere.com/index.cfm?fuseaction=Listing.ListingDetail&amp;ListingID=19416193</t>
  </si>
  <si>
    <t>11030 A Greenwood Ave N</t>
  </si>
  <si>
    <t>http://www.windermere.com/index.cfm?fuseaction=Listing.ListingDetail&amp;ListingID=19449307</t>
  </si>
  <si>
    <t>http://www.windermere.com/index.cfm?fuseaction=Listing.ListingDetail&amp;ListingID=19444295</t>
  </si>
  <si>
    <t>http://www.windermere.com/index.cfm?fuseaction=Listing.ListingDetail&amp;ListingID=19447885</t>
  </si>
  <si>
    <t>5806 4th Ave NW</t>
  </si>
  <si>
    <t>http://www.windermere.com/index.cfm?fuseaction=Listing.ListingDetail&amp;ListingID=19444687</t>
  </si>
  <si>
    <t>718 N 100th St</t>
  </si>
  <si>
    <t>_1993</t>
  </si>
  <si>
    <t>http://www.windermere.com/index.cfm?fuseaction=Listing.ListingDetail&amp;ListingID=19443392</t>
  </si>
  <si>
    <t>13733 36th Ave NE</t>
  </si>
  <si>
    <t>http://www.windermere.com/index.cfm?fuseaction=Listing.ListingDetail&amp;ListingID=19444689</t>
  </si>
  <si>
    <t>7502 24th Ave NE</t>
  </si>
  <si>
    <t>http://www.windermere.com/index.cfm?fuseaction=Listing.ListingDetail&amp;ListingID=19449958</t>
  </si>
  <si>
    <t>6122 8 Ave NW</t>
  </si>
  <si>
    <t>http://www.windermere.com/index.cfm?fuseaction=Listing.ListingDetail&amp;ListingID=19439266</t>
  </si>
  <si>
    <t>5914 8th Ave NW</t>
  </si>
  <si>
    <t>http://www.windermere.com/index.cfm?fuseaction=Listing.ListingDetail&amp;ListingID=19445556</t>
  </si>
  <si>
    <t>1123 NW 64th St</t>
  </si>
  <si>
    <t>http://www.windermere.com/index.cfm?fuseaction=Listing.ListingDetail&amp;ListingID=19441098</t>
  </si>
  <si>
    <t>8216 15th Ave NE</t>
  </si>
  <si>
    <t>http://www.windermere.com/index.cfm?fuseaction=Listing.ListingDetail&amp;ListingID=19444419</t>
  </si>
  <si>
    <t>5738 28th Ave NE</t>
  </si>
  <si>
    <t>http://www.windermere.com/index.cfm?fuseaction=Listing.ListingDetail&amp;ListingID=19444422</t>
  </si>
  <si>
    <t>801 NE 85 St</t>
  </si>
  <si>
    <t>http://www.windermere.com/index.cfm?fuseaction=Listing.ListingDetail&amp;ListingID=19439314</t>
  </si>
  <si>
    <t>332 82nd St</t>
  </si>
  <si>
    <t>http://www.windermere.com/index.cfm?fuseaction=Listing.ListingDetail&amp;ListingID=19443385</t>
  </si>
  <si>
    <t>http://www.windermere.com/index.cfm?fuseaction=Listing.ListingDetail&amp;ListingID=19444303</t>
  </si>
  <si>
    <t>330 NE 55th St</t>
  </si>
  <si>
    <t>http://www.windermere.com/index.cfm?fuseaction=Listing.ListingDetail&amp;ListingID=19447251</t>
  </si>
  <si>
    <t>10505 Whitman Ave N</t>
  </si>
  <si>
    <t>http://www.windermere.com/index.cfm?fuseaction=Listing.ListingDetail&amp;ListingID=18991194</t>
  </si>
  <si>
    <t>6744 11th Ave NW</t>
  </si>
  <si>
    <t>http://www.windermere.com/index.cfm?fuseaction=Listing.ListingDetail&amp;ListingID=19447573</t>
  </si>
  <si>
    <t>http://www.windermere.com/index.cfm?fuseaction=Listing.ListingDetail&amp;ListingID=19448225</t>
  </si>
  <si>
    <t>6731 Division Ave NW</t>
  </si>
  <si>
    <t>http://www.windermere.com/index.cfm?fuseaction=Listing.ListingDetail&amp;ListingID=19445431</t>
  </si>
  <si>
    <t>http://www.windermere.com/index.cfm?fuseaction=Listing.ListingDetail&amp;ListingID=19441832</t>
  </si>
  <si>
    <t>2155 N 117th St</t>
  </si>
  <si>
    <t>http://www.windermere.com/index.cfm?fuseaction=Listing.ListingDetail&amp;ListingID=19453125</t>
  </si>
  <si>
    <t>14356 19th Ave NE</t>
  </si>
  <si>
    <t>8839 8 th Ave NW</t>
  </si>
  <si>
    <t>http://www.windermere.com/index.cfm?fuseaction=Listing.ListingDetail&amp;ListingID=19451207</t>
  </si>
  <si>
    <t>729 N 80th St</t>
  </si>
  <si>
    <t>http://www.windermere.com/index.cfm?fuseaction=Listing.ListingDetail&amp;ListingID=19452854</t>
  </si>
  <si>
    <t>3050 NE Blakeley St</t>
  </si>
  <si>
    <t>http://www.windermere.com/index.cfm?fuseaction=Listing.ListingDetail&amp;ListingID=19456959</t>
  </si>
  <si>
    <t>5233 Russell Ave NW A</t>
  </si>
  <si>
    <t>http://www.windermere.com/index.cfm?fuseaction=Listing.ListingDetail&amp;ListingID=19453226</t>
  </si>
  <si>
    <t>2302 N 59th St</t>
  </si>
  <si>
    <t>http://www.windermere.com/index.cfm?fuseaction=Listing.ListingDetail&amp;ListingID=19453712</t>
  </si>
  <si>
    <t>5035 12th Ave NE A</t>
  </si>
  <si>
    <t>http://www.windermere.com/index.cfm?fuseaction=Listing.ListingDetail&amp;ListingID=19147713</t>
  </si>
  <si>
    <t>5035 12th Ave NE B</t>
  </si>
  <si>
    <t>http://www.windermere.com/index.cfm?fuseaction=Listing.ListingDetail&amp;ListingID=19254876</t>
  </si>
  <si>
    <t>townhouse</t>
  </si>
  <si>
    <t>Merge</t>
  </si>
  <si>
    <t>Skip</t>
  </si>
  <si>
    <t>10726 15th Ave NE</t>
  </si>
  <si>
    <t>http://www.windermere.com/index.cfm?fuseaction=Listing.ListingDetail&amp;ListingID=19461946</t>
  </si>
  <si>
    <t>3003 NE 130th St</t>
  </si>
  <si>
    <t>http://www.windermere.com/index.cfm?fuseaction=Listing.ListingDetail&amp;ListingID=19461955</t>
  </si>
  <si>
    <t>1017 B NE 123rd St</t>
  </si>
  <si>
    <t>http://www.windermere.com/index.cfm?fuseaction=Listing.ListingDetail&amp;ListingID=19461894</t>
  </si>
  <si>
    <t>12719 C Greenwood (not busy back</t>
  </si>
  <si>
    <t>http://www.windermere.com/index.cfm?fuseaction=Listing.ListingDetail&amp;ListingID=19457484</t>
  </si>
  <si>
    <t>6505 NW 56th St C</t>
  </si>
  <si>
    <t>http://www.windermere.com/index.cfm?fuseaction=Listing.ListingDetail&amp;ListingID=19463328</t>
  </si>
  <si>
    <t>11743 Sand Point Way NE</t>
  </si>
  <si>
    <t>http://www.windermere.com/index.cfm?fuseaction=Listing.ListingDetail&amp;ListingID=19461116</t>
  </si>
  <si>
    <t>http://www.windermere.com/index.cfm?fuseaction=Listing.ListingDetail&amp;ListingID=19460715</t>
  </si>
  <si>
    <t>7032 22nd Ave NW</t>
  </si>
  <si>
    <t>http://www.windermere.com/index.cfm?fuseaction=Listing.ListingDetail&amp;ListingID=19463575</t>
  </si>
  <si>
    <t>10717 Sand Point Way NE</t>
  </si>
  <si>
    <t>http://www.windermere.com/index.cfm?fuseaction=Listing.ListingDetail&amp;ListingID=19459409</t>
  </si>
  <si>
    <t>3617 C Albion Pl N</t>
  </si>
  <si>
    <t>http://www.windermere.com/index.cfm?fuseaction=Listing.ListingDetail&amp;ListingID=19461123</t>
  </si>
  <si>
    <t>3425 Meridian Ave N</t>
  </si>
  <si>
    <t>http://www.windermere.com/index.cfm?fuseaction=Listing.ListingDetail&amp;ListingID=19461700</t>
  </si>
  <si>
    <t>3615 B Albion Pl N</t>
  </si>
  <si>
    <t>http://www.windermere.com/index.cfm?fuseaction=Listing.ListingDetail&amp;ListingID=18942170</t>
  </si>
  <si>
    <t>3617 B Albion Pl N</t>
  </si>
  <si>
    <t>http://www.windermere.com/index.cfm?fuseaction=Listing.ListingDetail&amp;ListingID=18892760</t>
  </si>
  <si>
    <t>5709 25th Ave NE</t>
  </si>
  <si>
    <t>http://www.windermere.com/index.cfm?fuseaction=Listing.ListingDetail&amp;ListingID=19463894</t>
  </si>
  <si>
    <t>4809 B Stoneway Ave N.</t>
  </si>
  <si>
    <t>http://www.windermere.com/index.cfm?fuseaction=Listing.ListingDetail&amp;ListingID=19460759</t>
  </si>
  <si>
    <t>1308 NW 70th St</t>
  </si>
  <si>
    <t>http://www.windermere.com/index.cfm?fuseaction=Listing.ListingDetail&amp;ListingID=19461135</t>
  </si>
  <si>
    <t>3605 B Interlake Ave N</t>
  </si>
  <si>
    <t>http://www.windermere.com/index.cfm?fuseaction=Listing.ListingDetail&amp;ListingID=19460087</t>
  </si>
  <si>
    <t>611 N 46 St D</t>
  </si>
  <si>
    <t>http://www.windermere.com/index.cfm?fuseaction=Listing.ListingDetail&amp;ListingID=19461867</t>
  </si>
  <si>
    <t>1010 N 39th St</t>
  </si>
  <si>
    <t>http://www.windermere.com/index.cfm?fuseaction=Listing.ListingDetail&amp;ListingID=19463710</t>
  </si>
  <si>
    <t>13735 Roosevelt Way N</t>
  </si>
  <si>
    <t>http://www.windermere.com/index.cfm?fuseaction=Listing.ListingDetail&amp;ListingID=19463629</t>
  </si>
  <si>
    <t>3611 A Albion Pl N</t>
  </si>
  <si>
    <t>http://www.windermere.com/index.cfm?fuseaction=Listing.ListingDetail&amp;ListingID=19247744</t>
  </si>
  <si>
    <t>1024 N 36th St</t>
  </si>
  <si>
    <t>http://www.windermere.com/index.cfm?fuseaction=Listing.ListingDetail&amp;ListingID=18672127</t>
  </si>
  <si>
    <t>2824 NW 57th St</t>
  </si>
  <si>
    <t>http://www.windermere.com/index.cfm?fuseaction=Listing.ListingDetail&amp;ListingID=19459882</t>
  </si>
  <si>
    <t>10014 Interlake Ave N</t>
  </si>
  <si>
    <t>http://www.windermere.com/index.cfm?fuseaction=Listing.ListingDetail&amp;ListingID=19460964</t>
  </si>
  <si>
    <t>509 NE 71st St D</t>
  </si>
  <si>
    <t>http://www.windermere.com/index.cfm?fuseaction=Listing.ListingDetail&amp;ListingID=19332845</t>
  </si>
  <si>
    <t>http://www.windermere.com/index.cfm?fuseaction=Listing.ListingDetail&amp;ListingID=19358432</t>
  </si>
  <si>
    <t>Open March 2, 1-4 p.m. North Beach View</t>
  </si>
  <si>
    <t>8334 20th Ave NW</t>
  </si>
  <si>
    <t>http://www.windermere.com/index.cfm?fuseaction=Listing.ListingDetail&amp;ListingID=19462672</t>
  </si>
  <si>
    <t>http://www.windermere.com/index.cfm?fuseaction=Listing.ListingDetail&amp;ListingID=19461870</t>
  </si>
  <si>
    <t>Small sink, livable downstairs.  Decent sized lot.  Some road noise from 34th</t>
  </si>
  <si>
    <t>Green</t>
  </si>
  <si>
    <t>Yellow</t>
  </si>
  <si>
    <t>OK backyard, house nice on inside, noisy neighbor</t>
  </si>
  <si>
    <t>Nice neighborhood, with sidewalks.  Bedrooms are very small.  Electrical updated in some parts of house.  French drain.  Bathroom off kitchen.  Sun porch</t>
  </si>
  <si>
    <t>Red</t>
  </si>
  <si>
    <t>Kitchen too small, loud street.  Upstairs is useless -- staircase too narrow</t>
  </si>
  <si>
    <t>2 units.  Old kitchen with slab granite.  No dishwasher.  2nd unit hard to rent</t>
  </si>
  <si>
    <t>Kitchen too small, and too close to 85th</t>
  </si>
  <si>
    <t>Way too small, washer in kitchen</t>
  </si>
  <si>
    <t>No</t>
  </si>
  <si>
    <t>RedFin1</t>
  </si>
  <si>
    <t>Test Query for RedFin</t>
  </si>
  <si>
    <t>http://www.redfin.com/stingray/do/gis-search?market=seattle&amp;poly=-122.37072%2047.67961,-122.35283%2047.67961,-122.35283%2047.68366,-122.37072%2047.68366,-122.37072%2047.67961&amp;unmatched=1&amp;&amp;residential=true&amp;condo=true&amp;min_price=300000&amp;max_price=800000&amp;num_beds=2&amp;num_baths=&amp;min_listing_approx_size=&amp;max_listing_approx_size=&amp;min_parcel_size=&amp;max_parcel_size=&amp;min_year_built=&amp;max_year_built=&amp;time_on_market_range=-&amp;status=1&amp;sold_within_months=0&amp;search_location=Enter%20a%20neighborhood%2C%20city%2C%20or%20MLS%20%23&amp;page=no-javascript</t>
  </si>
  <si>
    <t>14540 12th Ave NE</t>
  </si>
  <si>
    <t>http://www.windermere.com/index.cfm?fuseaction=Listing.ListingDetail&amp;ListingID=19470997</t>
  </si>
  <si>
    <t>12756 30th Ave NE</t>
  </si>
  <si>
    <t>http://www.windermere.com/index.cfm?fuseaction=Listing.ListingDetail&amp;ListingID=19469957</t>
  </si>
  <si>
    <t>839 NE 123rd St</t>
  </si>
  <si>
    <t>11708 Stendall Dr N</t>
  </si>
  <si>
    <t>http://www.windermere.com/index.cfm?fuseaction=Listing.ListingDetail&amp;ListingID=19471322</t>
  </si>
  <si>
    <t>6505 16th Ave NW C</t>
  </si>
  <si>
    <t>12733 Dayton Ave N</t>
  </si>
  <si>
    <t>http://www.windermere.com/index.cfm?fuseaction=Listing.ListingDetail&amp;ListingID=19470779</t>
  </si>
  <si>
    <t>914 NW 73rd St</t>
  </si>
  <si>
    <t>http://www.windermere.com/index.cfm?fuseaction=Listing.ListingDetail&amp;ListingID=19470198</t>
  </si>
  <si>
    <t>309 NE 56th St</t>
  </si>
  <si>
    <t>http://www.windermere.com/index.cfm?fuseaction=Listing.ListingDetail&amp;ListingID=19469243</t>
  </si>
  <si>
    <t>14014 37th Ave NE</t>
  </si>
  <si>
    <t>http://www.windermere.com/index.cfm?fuseaction=Listing.ListingDetail&amp;ListingID=18879071</t>
  </si>
  <si>
    <t>8716 26th Ave NW</t>
  </si>
  <si>
    <t>http://www.windermere.com/index.cfm?fuseaction=Listing.ListingDetail&amp;ListingID=19468594</t>
  </si>
  <si>
    <t>RedFin</t>
  </si>
  <si>
    <t>8903 27th Ave NE</t>
  </si>
  <si>
    <t>http://www.windermere.com/index.cfm?fuseaction=Listing.ListingDetail&amp;ListingID=19471988</t>
  </si>
  <si>
    <t>http://www.windermere.com/index.cfm?fuseaction=Listing.ListingDetail&amp;ListingID=19463614</t>
  </si>
  <si>
    <t>http://www.windermere.com/index.cfm?fuseaction=Listing.ListingDetail&amp;ListingID=19471963</t>
  </si>
  <si>
    <t>http://www.windermere.com/index.cfm?fuseaction=Listing.ListingDetail&amp;ListingID=19471680</t>
  </si>
  <si>
    <t>http://www.redfin.com/stingray/do/gis-search?market=seattle&amp;poly=-122.404%2047.66886,-122.26084%2047.66886,-122.26084%2047.70133,-122.404%2047.70133,-122.404%2047.66886&amp;unmatched=1&amp;region_id=16163&amp;region_type=6&amp;residential=true&amp;condo=true&amp;min_price=300000&amp;max_price=500000&amp;num_beds=2&amp;num_baths=&amp;min_listing_approx_size=&amp;max_listing_approx_size=&amp;min_parcel_size=&amp;max_parcel_size=&amp;min_year_built=&amp;max_year_built=&amp;time_on_market_range=-&amp;status=1&amp;sold_within_months=0&amp;search_location=Seattle&amp;page=no-javascript</t>
  </si>
  <si>
    <t>RedFin2</t>
  </si>
  <si>
    <t>9230 13th Ave NW</t>
  </si>
  <si>
    <t>http://www.windermere.com/index.cfm?fuseaction=Listing.ListingDetail&amp;ListingID=19473350</t>
  </si>
  <si>
    <t>9243 B Ashworth Ave N</t>
  </si>
  <si>
    <t>http://www.windermere.com/index.cfm?fuseaction=Listing.ListingDetail&amp;ListingID=19483629</t>
  </si>
  <si>
    <t>9247 A Ashworth Ave N</t>
  </si>
  <si>
    <t>http://www.windermere.com/index.cfm?fuseaction=Listing.ListingDetail&amp;ListingID=19483617</t>
  </si>
  <si>
    <t>2920 NW 85th St</t>
  </si>
  <si>
    <t>http://www.windermere.com/index.cfm?fuseaction=Listing.ListingDetail&amp;ListingID=19482970</t>
  </si>
  <si>
    <t>6815 29th Ave NE</t>
  </si>
  <si>
    <t>http://www.windermere.com/index.cfm?fuseaction=Listing.ListingDetail&amp;ListingID=19481365</t>
  </si>
  <si>
    <t>822 NW 49th St</t>
  </si>
  <si>
    <t>http://www.windermere.com/index.cfm?fuseaction=Listing.ListingDetail&amp;ListingID=19475598</t>
  </si>
  <si>
    <t>13219 4th Ave NW</t>
  </si>
  <si>
    <t>http://www.windermere.com/index.cfm?fuseaction=Listing.ListingDetail&amp;ListingID=19474520</t>
  </si>
  <si>
    <t>9225 Ashworth Ave S A</t>
  </si>
  <si>
    <t>http://www.windermere.com/index.cfm?fuseaction=Listing.ListingDetail&amp;ListingID=19481198</t>
  </si>
  <si>
    <t>North Windermere</t>
  </si>
  <si>
    <t>5617 57th Ave NE</t>
  </si>
  <si>
    <t>http://www.windermere.com/index.cfm?fuseaction=Listing.ListingDetail&amp;ListingID=19474139</t>
  </si>
  <si>
    <t>810 NE 80th St</t>
  </si>
  <si>
    <t>http://www.windermere.com/index.cfm?fuseaction=Listing.ListingDetail&amp;ListingID=19475852</t>
  </si>
  <si>
    <t>3607 A Interlake Ave N</t>
  </si>
  <si>
    <t>http://www.windermere.com/index.cfm?fuseaction=Listing.ListingDetail&amp;ListingID=19481529</t>
  </si>
  <si>
    <t>3609 A Interlake Ave N</t>
  </si>
  <si>
    <t>http://www.windermere.com/index.cfm?fuseaction=Listing.ListingDetail&amp;ListingID=19481624</t>
  </si>
  <si>
    <t>7841 12th Ave NE</t>
  </si>
  <si>
    <t>http://www.windermere.com/index.cfm?fuseaction=Listing.ListingDetail&amp;ListingID=19481946</t>
  </si>
  <si>
    <t>6307 A Phinney Ave N</t>
  </si>
  <si>
    <t>http://www.windermere.com/index.cfm?fuseaction=Listing.ListingDetail&amp;ListingID=19349974</t>
  </si>
  <si>
    <t>Blue Ridge</t>
  </si>
  <si>
    <t>10550 11th Ave NW</t>
  </si>
  <si>
    <t>http://www.windermere.com/index.cfm?fuseaction=Listing.ListingDetail&amp;ListingID=19483532</t>
  </si>
  <si>
    <t>9007 28th Ave NW</t>
  </si>
  <si>
    <t>http://www.windermere.com/index.cfm?fuseaction=Listing.ListingDetail&amp;ListingID=19474572</t>
  </si>
  <si>
    <t>http://www.windermere.com/index.cfm?fuseaction=Listing.ListingDetail&amp;ListingID=19483265</t>
  </si>
  <si>
    <t>10313 13th Ave NW</t>
  </si>
  <si>
    <t>http://www.windermere.com/index.cfm?fuseaction=Listing.ListingDetail&amp;ListingID=19474882</t>
  </si>
  <si>
    <t>http://www.windermere.com/index.cfm?fuseaction=Listing.ListingDetail&amp;ListingID=19481214</t>
  </si>
  <si>
    <t>Ballard Mid-Century Contemporary</t>
  </si>
  <si>
    <t>7509 Earl Ave NE</t>
  </si>
  <si>
    <t>http://www.windermere.com/index.cfm?fuseaction=Listing.ListingDetail&amp;ListingID=19473103</t>
  </si>
  <si>
    <t>6728 1st Ave NW</t>
  </si>
  <si>
    <t>http://www.windermere.com/index.cfm?fuseaction=Listing.ListingDetail&amp;ListingID=19476401</t>
  </si>
  <si>
    <t>http://www.windermere.com/index.cfm?fuseaction=Listing.ListingDetail&amp;ListingID=19476688</t>
  </si>
  <si>
    <t>http://www.windermere.com/index.cfm?fuseaction=Listing.ListingDetail&amp;ListingID=19489538</t>
  </si>
  <si>
    <t>1909 NE 145th St</t>
  </si>
  <si>
    <t>http://www.windermere.com/index.cfm?fuseaction=Listing.ListingDetail&amp;ListingID=19490488</t>
  </si>
  <si>
    <t>1907 NE 145th St</t>
  </si>
  <si>
    <t>http://www.windermere.com/index.cfm?fuseaction=Listing.ListingDetail&amp;ListingID=19490971</t>
  </si>
  <si>
    <t>14354 19th Ave NE</t>
  </si>
  <si>
    <t>http://www.windermere.com/index.cfm?fuseaction=Listing.ListingDetail&amp;ListingID=19491052</t>
  </si>
  <si>
    <t>2136 B N 113th St</t>
  </si>
  <si>
    <t>http://www.windermere.com/index.cfm?fuseaction=Listing.ListingDetail&amp;ListingID=19490969</t>
  </si>
  <si>
    <t>10559 Interlake Ave N</t>
  </si>
  <si>
    <t>http://www.windermere.com/index.cfm?fuseaction=Listing.ListingDetail&amp;ListingID=19487302</t>
  </si>
  <si>
    <t>218 NE 120th St</t>
  </si>
  <si>
    <t>http://www.windermere.com/index.cfm?fuseaction=Listing.ListingDetail&amp;ListingID=19488408</t>
  </si>
  <si>
    <t>http://www.windermere.com/index.cfm?fuseaction=Listing.ListingDetail&amp;ListingID=19488725</t>
  </si>
  <si>
    <t>14358 19th Ave NE</t>
  </si>
  <si>
    <t>http://www.windermere.com/index.cfm?fuseaction=Listing.ListingDetail&amp;ListingID=19490066</t>
  </si>
  <si>
    <t>12722 Phinney N</t>
  </si>
  <si>
    <t>http://www.windermere.com/index.cfm?fuseaction=Listing.ListingDetail&amp;ListingID=19488201</t>
  </si>
  <si>
    <t>928 A NW 52 St</t>
  </si>
  <si>
    <t>http://www.windermere.com/index.cfm?fuseaction=Listing.ListingDetail&amp;ListingID=19488504</t>
  </si>
  <si>
    <t>9532 6th</t>
  </si>
  <si>
    <t>http://www.windermere.com/index.cfm?fuseaction=Listing.ListingDetail&amp;ListingID=19490600</t>
  </si>
  <si>
    <t>551 NE 84th St</t>
  </si>
  <si>
    <t>http://www.windermere.com/index.cfm?fuseaction=Listing.ListingDetail&amp;ListingID=19336506</t>
  </si>
  <si>
    <t>931 N 35th St C</t>
  </si>
  <si>
    <t>http://www.windermere.com/index.cfm?fuseaction=Listing.ListingDetail&amp;ListingID=19287281</t>
  </si>
  <si>
    <t>930 NW 52 St</t>
  </si>
  <si>
    <t>http://www.windermere.com/index.cfm?fuseaction=Listing.ListingDetail&amp;ListingID=19488568</t>
  </si>
  <si>
    <t>8906 Corliss Ave N</t>
  </si>
  <si>
    <t>http://www.windermere.com/index.cfm?fuseaction=Listing.ListingDetail&amp;ListingID=19048852</t>
  </si>
  <si>
    <t>9239 7th Ave NW</t>
  </si>
  <si>
    <t>_1934</t>
  </si>
  <si>
    <t>http://www.windermere.com/index.cfm?fuseaction=Listing.ListingDetail&amp;ListingID=19487323</t>
  </si>
  <si>
    <t>3154 NW 90th St</t>
  </si>
  <si>
    <t>http://www.windermere.com/index.cfm?fuseaction=Listing.ListingDetail&amp;ListingID=19488032</t>
  </si>
  <si>
    <t>1131 NW 65th St</t>
  </si>
  <si>
    <t>http://www.windermere.com/index.cfm?fuseaction=Listing.ListingDetail&amp;ListingID=19488110</t>
  </si>
  <si>
    <t>3119 NE 81st St</t>
  </si>
  <si>
    <t>http://www.windermere.com/index.cfm?fuseaction=Listing.ListingDetail&amp;ListingID=19496213</t>
  </si>
  <si>
    <t>9036 9th Ave NW</t>
  </si>
  <si>
    <t>http://www.windermere.com/index.cfm?fuseaction=Listing.ListingDetail&amp;ListingID=19495744</t>
  </si>
  <si>
    <t>838 86TH St</t>
  </si>
  <si>
    <t>http://www.windermere.com/index.cfm?fuseaction=Listing.ListingDetail&amp;ListingID=19497019</t>
  </si>
  <si>
    <t>8046 29th Ave NW</t>
  </si>
  <si>
    <t>http://www.windermere.com/index.cfm?fuseaction=Listing.ListingDetail&amp;ListingID=19495719</t>
  </si>
  <si>
    <t>http://www.windermere.com/index.cfm?fuseaction=Listing.ListingDetail&amp;ListingID=19495324</t>
  </si>
  <si>
    <t>1735 NW 97th St</t>
  </si>
  <si>
    <t>http://www.windermere.com/index.cfm?fuseaction=Listing.ListingDetail&amp;ListingID=19496644</t>
  </si>
  <si>
    <t>http://www.windermere.com/index.cfm?fuseaction=Listing.ListingDetail&amp;ListingID=19496494</t>
  </si>
  <si>
    <t>13718 B Midvale Ave N</t>
  </si>
  <si>
    <t>http://www.windermere.com/index.cfm?fuseaction=Listing.ListingDetail&amp;ListingID=19504669</t>
  </si>
  <si>
    <t>13726 A Midvale Ave N</t>
  </si>
  <si>
    <t>http://www.windermere.com/index.cfm?fuseaction=Listing.ListingDetail&amp;ListingID=19504554</t>
  </si>
  <si>
    <t>104 NW 84th St</t>
  </si>
  <si>
    <t>http://www.windermere.com/index.cfm?fuseaction=Listing.ListingDetail&amp;ListingID=19534518</t>
  </si>
  <si>
    <t>13020 27th Ave NE</t>
  </si>
  <si>
    <t>http://www.windermere.com/index.cfm?fuseaction=Listing.ListingDetail&amp;ListingID=19505422</t>
  </si>
  <si>
    <t>514 N 138th St</t>
  </si>
  <si>
    <t>http://www.windermere.com/index.cfm?fuseaction=Listing.ListingDetail&amp;ListingID=19515357</t>
  </si>
  <si>
    <t>14318 Ashworth Ave N</t>
  </si>
  <si>
    <t>http://www.windermere.com/index.cfm?fuseaction=Listing.ListingDetail&amp;ListingID=19518270</t>
  </si>
  <si>
    <t>9227 Palatine Ave N</t>
  </si>
  <si>
    <t>http://www.windermere.com/index.cfm?fuseaction=Listing.ListingDetail&amp;ListingID=19531261</t>
  </si>
  <si>
    <t>1727 NE 146th St</t>
  </si>
  <si>
    <t>http://www.windermere.com/index.cfm?fuseaction=Listing.ListingDetail&amp;ListingID=19527972</t>
  </si>
  <si>
    <t>14314 A Stone Ave N</t>
  </si>
  <si>
    <t>http://www.windermere.com/index.cfm?fuseaction=Listing.ListingDetail&amp;ListingID=19509098</t>
  </si>
  <si>
    <t>737 C N. 94th St</t>
  </si>
  <si>
    <t>http://www.windermere.com/index.cfm?fuseaction=Listing.ListingDetail&amp;ListingID=19515407</t>
  </si>
  <si>
    <t>11708 C Greenwood Ave N</t>
  </si>
  <si>
    <t>http://www.windermere.com/index.cfm?fuseaction=Listing.ListingDetail&amp;ListingID=19527682</t>
  </si>
  <si>
    <t>12046 Roosevelt Way NE A</t>
  </si>
  <si>
    <t>http://www.windermere.com/index.cfm?fuseaction=Listing.ListingDetail&amp;ListingID=19525943</t>
  </si>
  <si>
    <t>737 A N 94th</t>
  </si>
  <si>
    <t>http://www.windermere.com/index.cfm?fuseaction=Listing.ListingDetail&amp;ListingID=19508660</t>
  </si>
  <si>
    <t>322 NE 133 St</t>
  </si>
  <si>
    <t>http://www.windermere.com/index.cfm?fuseaction=Listing.ListingDetail&amp;ListingID=19534338</t>
  </si>
  <si>
    <t>11032 A Greenwood Ave N A</t>
  </si>
  <si>
    <t>http://www.windermere.com/index.cfm?fuseaction=Listing.ListingDetail&amp;ListingID=19527516</t>
  </si>
  <si>
    <t>Cheery Ballard Home</t>
  </si>
  <si>
    <t>http://www.windermere.com/index.cfm?fuseaction=Listing.ListingDetail&amp;ListingID=19513607</t>
  </si>
  <si>
    <t>1155 N 85th St</t>
  </si>
  <si>
    <t>http://www.windermere.com/index.cfm?fuseaction=Listing.ListingDetail&amp;ListingID=19510974</t>
  </si>
  <si>
    <t>9701 20th Ave NE</t>
  </si>
  <si>
    <t>http://www.windermere.com/index.cfm?fuseaction=Listing.ListingDetail&amp;ListingID=19502624</t>
  </si>
  <si>
    <t>1153 A N 85th St</t>
  </si>
  <si>
    <t>http://www.windermere.com/index.cfm?fuseaction=Listing.ListingDetail&amp;ListingID=19510936</t>
  </si>
  <si>
    <t>1153 B N 85th St</t>
  </si>
  <si>
    <t>http://www.windermere.com/index.cfm?fuseaction=Listing.ListingDetail&amp;ListingID=19510975</t>
  </si>
  <si>
    <t>761 N 71st St</t>
  </si>
  <si>
    <t>http://www.windermere.com/index.cfm?fuseaction=Listing.ListingDetail&amp;ListingID=19532047</t>
  </si>
  <si>
    <t>http://www.windermere.com/index.cfm?fuseaction=Listing.ListingDetail&amp;ListingID=19528746</t>
  </si>
  <si>
    <t>934 N 83rd St</t>
  </si>
  <si>
    <t>http://www.windermere.com/index.cfm?fuseaction=Listing.ListingDetail&amp;ListingID=19501793</t>
  </si>
  <si>
    <t>http://www.windermere.com/index.cfm?fuseaction=Listing.ListingDetail&amp;ListingID=19525923</t>
  </si>
  <si>
    <t>10702 4th Ave NW</t>
  </si>
  <si>
    <t>http://www.windermere.com/index.cfm?fuseaction=Listing.ListingDetail&amp;ListingID=19534275</t>
  </si>
  <si>
    <t>12027 40th Ave NE</t>
  </si>
  <si>
    <t>http://www.windermere.com/index.cfm?fuseaction=Listing.ListingDetail&amp;ListingID=19518282</t>
  </si>
  <si>
    <t>7522 9th Ave NW</t>
  </si>
  <si>
    <t>http://www.windermere.com/index.cfm?fuseaction=Listing.ListingDetail&amp;ListingID=19527687</t>
  </si>
  <si>
    <t>http://www.windermere.com/index.cfm?fuseaction=Listing.ListingDetail&amp;ListingID=19516854</t>
  </si>
  <si>
    <t>421 N 125th St</t>
  </si>
  <si>
    <t>http://www.windermere.com/index.cfm?fuseaction=Listing.ListingDetail&amp;ListingID=19520541</t>
  </si>
  <si>
    <t>1214 NE 117th St</t>
  </si>
  <si>
    <t>http://www.windermere.com/index.cfm?fuseaction=Listing.ListingDetail&amp;ListingID=19527760</t>
  </si>
  <si>
    <t>9231 11th Ave NW</t>
  </si>
  <si>
    <t>http://www.windermere.com/index.cfm?fuseaction=Listing.ListingDetail&amp;ListingID=19532603</t>
  </si>
  <si>
    <t>1728 NW 61st St</t>
  </si>
  <si>
    <t>_1903</t>
  </si>
  <si>
    <t>9728 45th Ave NE</t>
  </si>
  <si>
    <t>http://www.windermere.com/index.cfm?fuseaction=Listing.ListingDetail&amp;ListingID=19520835</t>
  </si>
  <si>
    <t>10344 13th Ave NW</t>
  </si>
  <si>
    <t>http://www.windermere.com/index.cfm?fuseaction=Listing.ListingDetail&amp;ListingID=19525006</t>
  </si>
  <si>
    <t>10828 12th Ave NE</t>
  </si>
  <si>
    <t>http://www.windermere.com/index.cfm?fuseaction=Listing.ListingDetail&amp;ListingID=19501422</t>
  </si>
  <si>
    <t>http://www.windermere.com/index.cfm?fuseaction=Listing.ListingDetail&amp;ListingID=19502602</t>
  </si>
  <si>
    <t>http://www.windermere.com/index.cfm?fuseaction=Listing.ListingDetail&amp;ListingID=19533879</t>
  </si>
  <si>
    <t>8018 Brooklyn Ave NE</t>
  </si>
  <si>
    <t>http://www.windermere.com/index.cfm?fuseaction=Listing.ListingDetail&amp;ListingID=19508565</t>
  </si>
  <si>
    <t>8528 Dibble Ave NW</t>
  </si>
  <si>
    <t>http://www.windermere.com/index.cfm?fuseaction=Listing.ListingDetail&amp;ListingID=19522436</t>
  </si>
  <si>
    <t>http://www.windermere.com/index.cfm?fuseaction=Listing.ListingDetail&amp;ListingID=19501911</t>
  </si>
  <si>
    <t>1008 N 39th St</t>
  </si>
  <si>
    <t>http://www.windermere.com/index.cfm?fuseaction=Listing.ListingDetail&amp;ListingID=19520926</t>
  </si>
  <si>
    <t>2318 NE 94th St</t>
  </si>
  <si>
    <t>http://www.windermere.com/index.cfm?fuseaction=Listing.ListingDetail&amp;ListingID=19528624</t>
  </si>
  <si>
    <t>http://www.windermere.com/index.cfm?fuseaction=Listing.ListingDetail&amp;ListingID=19519996</t>
  </si>
  <si>
    <t>6311 6th Ave NE</t>
  </si>
  <si>
    <t>http://www.windermere.com/index.cfm?fuseaction=Listing.ListingDetail&amp;ListingID=19504940</t>
  </si>
  <si>
    <t>1256 NE 90th St</t>
  </si>
  <si>
    <t>http://www.windermere.com/index.cfm?fuseaction=Listing.ListingDetail&amp;ListingID=19534597</t>
  </si>
  <si>
    <t>3652 Francis Ave N</t>
  </si>
  <si>
    <t>http://www.windermere.com/index.cfm?fuseaction=Listing.ListingDetail&amp;ListingID=19528316</t>
  </si>
  <si>
    <t>7013 linden Ave N</t>
  </si>
  <si>
    <t>http://www.windermere.com/index.cfm?fuseaction=Listing.ListingDetail&amp;ListingID=19531998</t>
  </si>
  <si>
    <t>8209 16th Ave NE</t>
  </si>
  <si>
    <t>http://www.windermere.com/index.cfm?fuseaction=Listing.ListingDetail&amp;ListingID=19508791</t>
  </si>
  <si>
    <t>4509 A Evanston Ave N</t>
  </si>
  <si>
    <t>http://www.windermere.com/index.cfm?fuseaction=Listing.ListingDetail&amp;ListingID=19532558</t>
  </si>
  <si>
    <t>4426 A Francis Ave N</t>
  </si>
  <si>
    <t>http://www.windermere.com/index.cfm?fuseaction=Listing.ListingDetail&amp;ListingID=19445397</t>
  </si>
  <si>
    <t>806 N 49th St</t>
  </si>
  <si>
    <t>http://www.windermere.com/index.cfm?fuseaction=Listing.ListingDetail&amp;ListingID=19531465</t>
  </si>
  <si>
    <t>808 N 49th St</t>
  </si>
  <si>
    <t>http://www.windermere.com/index.cfm?fuseaction=Listing.ListingDetail&amp;ListingID=19531487</t>
  </si>
  <si>
    <t>4223 Woodland Park Ave N</t>
  </si>
  <si>
    <t>http://www.windermere.com/index.cfm?fuseaction=Listing.ListingDetail&amp;ListingID=19223637</t>
  </si>
  <si>
    <t>4008 NE 60th St</t>
  </si>
  <si>
    <t>http://www.windermere.com/index.cfm?fuseaction=Listing.ListingDetail&amp;ListingID=18933731</t>
  </si>
  <si>
    <t>11026 Goodwin Way NE</t>
  </si>
  <si>
    <t>http://www.windermere.com/index.cfm?fuseaction=Listing.ListingDetail&amp;ListingID=19530550</t>
  </si>
  <si>
    <t>7011 linden Ave N</t>
  </si>
  <si>
    <t>http://www.windermere.com/index.cfm?fuseaction=Listing.ListingDetail&amp;ListingID=19531597</t>
  </si>
  <si>
    <t>3620 1st Ave NW B</t>
  </si>
  <si>
    <t>http://www.windermere.com/index.cfm?fuseaction=Listing.ListingDetail&amp;ListingID=19502947</t>
  </si>
  <si>
    <t>3634 Palatine Ave N B</t>
  </si>
  <si>
    <t>http://www.windermere.com/index.cfm?fuseaction=Listing.ListingDetail&amp;ListingID=19501470</t>
  </si>
  <si>
    <t>3638 Palatine Ave N A</t>
  </si>
  <si>
    <t>http://www.windermere.com/index.cfm?fuseaction=Listing.ListingDetail&amp;ListingID=19501414</t>
  </si>
  <si>
    <t>13029 C 3rd Ave NE</t>
  </si>
  <si>
    <t>_1984</t>
  </si>
  <si>
    <t>http://www.windermere.com/index.cfm?fuseaction=Listing.ListingDetail&amp;ListingID=19502755</t>
  </si>
  <si>
    <t>6728 13th Ave NW</t>
  </si>
  <si>
    <t>_1975</t>
  </si>
  <si>
    <t>http://www.windermere.com/index.cfm?fuseaction=Listing.ListingDetail&amp;ListingID=19502484</t>
  </si>
  <si>
    <t>7809 8th Ave NW</t>
  </si>
  <si>
    <t>http://www.windermere.com/index.cfm?fuseaction=Listing.ListingDetail&amp;ListingID=19502401</t>
  </si>
  <si>
    <t>6724 Division Ave NW</t>
  </si>
  <si>
    <t>http://www.windermere.com/index.cfm?fuseaction=Listing.ListingDetail&amp;ListingID=19508867</t>
  </si>
  <si>
    <t>9704 Holman Rd NW</t>
  </si>
  <si>
    <t>http://www.windermere.com/index.cfm?fuseaction=Listing.ListingDetail&amp;ListingID=19528824</t>
  </si>
  <si>
    <t>3045 NW 71st St</t>
  </si>
  <si>
    <t>http://www.windermere.com/index.cfm?fuseaction=Listing.ListingDetail&amp;ListingID=19502909</t>
  </si>
  <si>
    <t>7309 25th Ave NW</t>
  </si>
  <si>
    <t>http://www.windermere.com/index.cfm?fuseaction=Listing.ListingDetail&amp;ListingID=19516218</t>
  </si>
  <si>
    <t>3406 NW 65th St</t>
  </si>
  <si>
    <t>http://www.windermere.com/index.cfm?fuseaction=Listing.ListingDetail&amp;ListingID=19502691</t>
  </si>
  <si>
    <t>7002 19th Ave NW</t>
  </si>
  <si>
    <t>http://www.windermere.com/index.cfm?fuseaction=Listing.ListingDetail&amp;ListingID=19503692</t>
  </si>
  <si>
    <t>8805 Dibble Ave NW</t>
  </si>
  <si>
    <t>9602 Marmount Dr NW</t>
  </si>
  <si>
    <t>http://www.windermere.com/index.cfm?fuseaction=Listing.ListingDetail&amp;ListingID=19501346</t>
  </si>
  <si>
    <t>6729 Earl Ave NW</t>
  </si>
  <si>
    <t>http://www.windermere.com/index.cfm?fuseaction=Listing.ListingDetail&amp;ListingID=19526040</t>
  </si>
  <si>
    <t>7018 32nd Ave NW</t>
  </si>
  <si>
    <t>http://www.windermere.com/index.cfm?fuseaction=Listing.ListingDetail&amp;ListingID=19529562</t>
  </si>
  <si>
    <t>North Beach Open Sat, 3/15, 1-4</t>
  </si>
  <si>
    <t>6557 3rd Ave NW</t>
  </si>
  <si>
    <t>http://www.windermere.com/index.cfm?fuseaction=Listing.ListingDetail&amp;ListingID=19531262</t>
  </si>
  <si>
    <t>http://www.windermere.com/index.cfm?fuseaction=Listing.ListingDetail&amp;ListingID=19531594</t>
  </si>
  <si>
    <t>http://www.windermere.com/index.cfm?fuseaction=Listing.ListingDetail&amp;ListingID=19502604</t>
  </si>
  <si>
    <t>14353 Interlake Ave N</t>
  </si>
  <si>
    <t>http://www.windermere.com/index.cfm?fuseaction=Listing.ListingDetail&amp;ListingID=19539604</t>
  </si>
  <si>
    <t>13538 25th Ave NE</t>
  </si>
  <si>
    <t>http://www.windermere.com/index.cfm?fuseaction=Listing.ListingDetail&amp;ListingID=19541287</t>
  </si>
  <si>
    <t>1413 N 136th St</t>
  </si>
  <si>
    <t>http://www.windermere.com/index.cfm?fuseaction=Listing.ListingDetail&amp;ListingID=19539941</t>
  </si>
  <si>
    <t>11539 20th Ave NE</t>
  </si>
  <si>
    <t>http://www.windermere.com/index.cfm?fuseaction=Listing.ListingDetail&amp;ListingID=19538246</t>
  </si>
  <si>
    <t>915 NW 51st St</t>
  </si>
  <si>
    <t>http://www.windermere.com/index.cfm?fuseaction=Listing.ListingDetail&amp;ListingID=19541901</t>
  </si>
  <si>
    <t>9745 Phinney Ave N</t>
  </si>
  <si>
    <t>http://www.windermere.com/index.cfm?fuseaction=Listing.ListingDetail&amp;ListingID=19541736</t>
  </si>
  <si>
    <t>848 NW 56th St</t>
  </si>
  <si>
    <t>http://www.windermere.com/index.cfm?fuseaction=Listing.ListingDetail&amp;ListingID=19542777</t>
  </si>
  <si>
    <t>6543 17th Ave NW</t>
  </si>
  <si>
    <t>http://www.windermere.com/index.cfm?fuseaction=Listing.ListingDetail&amp;ListingID=19541299</t>
  </si>
  <si>
    <t>http://www.windermere.com/index.cfm?fuseaction=Listing.ListingDetail&amp;ListingID=19543181</t>
  </si>
  <si>
    <t>727 A N 95th St</t>
  </si>
  <si>
    <t>http://www.windermere.com/index.cfm?fuseaction=Listing.ListingDetail&amp;ListingID=19549596</t>
  </si>
  <si>
    <t>1608 NW 65th St B</t>
  </si>
  <si>
    <t>http://www.windermere.com/index.cfm?fuseaction=Listing.ListingDetail&amp;ListingID=19550432</t>
  </si>
  <si>
    <t>1546 B NW 58th St</t>
  </si>
  <si>
    <t>http://www.windermere.com/index.cfm?fuseaction=Listing.ListingDetail&amp;ListingID=19549593</t>
  </si>
  <si>
    <t>1704 N 103rd St</t>
  </si>
  <si>
    <t>http://www.windermere.com/index.cfm?fuseaction=Listing.ListingDetail&amp;ListingID=19549546</t>
  </si>
  <si>
    <t>1608 NW 65th St A</t>
  </si>
  <si>
    <t>http://www.windermere.com/index.cfm?fuseaction=Listing.ListingDetail&amp;ListingID=19550429</t>
  </si>
  <si>
    <t>http://www.windermere.com/index.cfm?fuseaction=Listing.ListingDetail&amp;ListingID=19554406</t>
  </si>
  <si>
    <t>737 N 66 St</t>
  </si>
  <si>
    <t>http://www.windermere.com/index.cfm?fuseaction=Listing.ListingDetail&amp;ListingID=19548792</t>
  </si>
  <si>
    <t>http://www.windermere.com/index.cfm?fuseaction=Listing.ListingDetail&amp;ListingID=19543787</t>
  </si>
  <si>
    <t>319 NW 81st St</t>
  </si>
  <si>
    <t>http://www.windermere.com/index.cfm?fuseaction=Listing.ListingDetail&amp;ListingID=19547689</t>
  </si>
  <si>
    <t>336 NW 54th St</t>
  </si>
  <si>
    <t>http://www.windermere.com/index.cfm?fuseaction=Listing.ListingDetail&amp;ListingID=19548043</t>
  </si>
  <si>
    <t>8060 17th Ave NW</t>
  </si>
  <si>
    <t>http://www.windermere.com/index.cfm?fuseaction=Listing.ListingDetail&amp;ListingID=19549896</t>
  </si>
  <si>
    <t>4517 B 8th Ave NE</t>
  </si>
  <si>
    <t>http://www.windermere.com/index.cfm?fuseaction=Listing.ListingDetail&amp;ListingID=19551566</t>
  </si>
  <si>
    <t>9708 Linden Ave N</t>
  </si>
  <si>
    <t>http://www.windermere.com/index.cfm?fuseaction=Listing.ListingDetail&amp;ListingID=19552760</t>
  </si>
  <si>
    <t>1918 B N 46th St</t>
  </si>
  <si>
    <t>http://www.windermere.com/index.cfm?fuseaction=Listing.ListingDetail&amp;ListingID=19552688</t>
  </si>
  <si>
    <t>5015 B 40th Ave NE B</t>
  </si>
  <si>
    <t>http://www.windermere.com/index.cfm?fuseaction=Listing.ListingDetail&amp;ListingID=19543276</t>
  </si>
  <si>
    <t>10701 C Greenwood Ave N</t>
  </si>
  <si>
    <t>http://www.windermere.com/index.cfm?fuseaction=Listing.ListingDetail&amp;ListingID=19555636</t>
  </si>
  <si>
    <t>10701 A Greenwood Ave N</t>
  </si>
  <si>
    <t>http://www.windermere.com/index.cfm?fuseaction=Listing.ListingDetail&amp;ListingID=19556104</t>
  </si>
  <si>
    <t>334 NW 103rd St</t>
  </si>
  <si>
    <t>_1997</t>
  </si>
  <si>
    <t>http://www.windermere.com/index.cfm?fuseaction=Listing.ListingDetail&amp;ListingID=19555586</t>
  </si>
  <si>
    <t>10703 D Greenwood Ave N</t>
  </si>
  <si>
    <t>http://www.windermere.com/index.cfm?fuseaction=Listing.ListingDetail&amp;ListingID=19555949</t>
  </si>
  <si>
    <t>1059 NE 94th St</t>
  </si>
  <si>
    <t>http://www.windermere.com/index.cfm?fuseaction=Listing.ListingDetail&amp;ListingID=19561761</t>
  </si>
  <si>
    <t>2714 NE 94th St</t>
  </si>
  <si>
    <t>http://www.windermere.com/index.cfm?fuseaction=Listing.ListingDetail&amp;ListingID=19560774</t>
  </si>
  <si>
    <t>12726 10th Ave NE</t>
  </si>
  <si>
    <t>http://www.windermere.com/index.cfm?fuseaction=Listing.ListingDetail&amp;ListingID=19560102</t>
  </si>
  <si>
    <t>http://www.windermere.com/index.cfm?fuseaction=Listing.ListingDetail&amp;ListingID=19560889</t>
  </si>
  <si>
    <t>3218 NE 85th St</t>
  </si>
  <si>
    <t>http://www.windermere.com/index.cfm?fuseaction=Listing.ListingDetail&amp;ListingID=19561510</t>
  </si>
  <si>
    <t>Mathews Beach</t>
  </si>
  <si>
    <t>332 N 82nd St</t>
  </si>
  <si>
    <t>6251 29th Ave NE</t>
  </si>
  <si>
    <t>http://www.windermere.com/index.cfm?fuseaction=Listing.ListingDetail&amp;ListingID=19561511</t>
  </si>
  <si>
    <t>834 NE 80th St</t>
  </si>
  <si>
    <t>http://www.windermere.com/index.cfm?fuseaction=Listing.ListingDetail&amp;ListingID=19557685</t>
  </si>
  <si>
    <t>1710 N 100th St</t>
  </si>
  <si>
    <t>http://www.windermere.com/index.cfm?fuseaction=Listing.ListingDetail&amp;ListingID=19556071</t>
  </si>
  <si>
    <t>10745 Ashworth N</t>
  </si>
  <si>
    <t>http://www.windermere.com/index.cfm?fuseaction=Listing.ListingDetail&amp;ListingID=19557225</t>
  </si>
  <si>
    <t>http://www.windermere.com/index.cfm?fuseaction=Listing.ListingDetail&amp;ListingID=19556561</t>
  </si>
  <si>
    <t>11747 36th Ave NE</t>
  </si>
  <si>
    <t>http://www.windermere.com/index.cfm?fuseaction=Listing.ListingDetail&amp;ListingID=19559601</t>
  </si>
  <si>
    <t>3230 NW 68th St</t>
  </si>
  <si>
    <t>http://www.windermere.com/index.cfm?fuseaction=Listing.ListingDetail&amp;ListingID=19561313</t>
  </si>
  <si>
    <t>8728 18th Ave NW</t>
  </si>
  <si>
    <t>http://www.windermere.com/index.cfm?fuseaction=Listing.ListingDetail&amp;ListingID=19561990</t>
  </si>
  <si>
    <t>607 NW 84th St</t>
  </si>
  <si>
    <t>http://www.windermere.com/index.cfm?fuseaction=Listing.ListingDetail&amp;ListingID=19556400</t>
  </si>
  <si>
    <t>http://www.windermere.com/index.cfm?fuseaction=Listing.ListingDetail&amp;ListingID=19562326</t>
  </si>
  <si>
    <t>12730 35th Ave NE B</t>
  </si>
  <si>
    <t>http://www.windermere.com/index.cfm?fuseaction=Listing.ListingDetail&amp;ListingID=19570198</t>
  </si>
  <si>
    <t>5632 11th Ave NE</t>
  </si>
  <si>
    <t>http://www.windermere.com/index.cfm?fuseaction=Listing.ListingDetail&amp;ListingID=19569858</t>
  </si>
  <si>
    <t>http://www.windermere.com/index.cfm?fuseaction=Listing.ListingDetail&amp;ListingID=19567821</t>
  </si>
  <si>
    <t>5311 9th Ave NE</t>
  </si>
  <si>
    <t>http://www.windermere.com/index.cfm?fuseaction=Listing.ListingDetail&amp;ListingID=19560646</t>
  </si>
  <si>
    <t>11732 Dayton Ave N</t>
  </si>
  <si>
    <t>http://www.windermere.com/index.cfm?fuseaction=Listing.ListingDetail&amp;ListingID=19568007</t>
  </si>
  <si>
    <t>842 NW 52nd St</t>
  </si>
  <si>
    <t>http://www.windermere.com/index.cfm?fuseaction=Listing.ListingDetail&amp;ListingID=18581910</t>
  </si>
  <si>
    <t>840 NW 52nd St</t>
  </si>
  <si>
    <t>http://www.windermere.com/index.cfm?fuseaction=Listing.ListingDetail&amp;ListingID=18740238</t>
  </si>
  <si>
    <t>408 NW 73rd St</t>
  </si>
  <si>
    <t>http://www.windermere.com/index.cfm?fuseaction=Listing.ListingDetail&amp;ListingID=19571085</t>
  </si>
  <si>
    <t>6701 11th Ave NW</t>
  </si>
  <si>
    <t>http://www.windermere.com/index.cfm?fuseaction=Listing.ListingDetail&amp;ListingID=19568602</t>
  </si>
  <si>
    <t>8720 Golden Gardens Dr NW</t>
  </si>
  <si>
    <t>http://www.windermere.com/index.cfm?fuseaction=Listing.ListingDetail&amp;ListingID=19569643</t>
  </si>
  <si>
    <t>_</t>
  </si>
</sst>
</file>

<file path=xl/styles.xml><?xml version="1.0" encoding="utf-8"?>
<styleSheet xmlns="http://schemas.openxmlformats.org/spreadsheetml/2006/main">
  <numFmts count="1">
    <numFmt numFmtId="6" formatCode="&quot;$&quot;#,##0_);[Red]\(&quot;$&quot;#,##0\)"/>
  </numFmts>
  <fonts count="9">
    <font>
      <sz val="10"/>
      <name val="Arial"/>
    </font>
    <font>
      <sz val="8"/>
      <name val="Arial"/>
      <family val="2"/>
    </font>
    <font>
      <u/>
      <sz val="10"/>
      <color theme="10"/>
      <name val="Arial"/>
      <family val="2"/>
    </font>
    <font>
      <sz val="9"/>
      <color indexed="81"/>
      <name val="Tahoma"/>
      <charset val="1"/>
    </font>
    <font>
      <b/>
      <sz val="10"/>
      <name val="Arial"/>
      <family val="2"/>
    </font>
    <font>
      <sz val="10"/>
      <name val="Arial"/>
      <family val="2"/>
    </font>
    <font>
      <sz val="11"/>
      <name val="Arial"/>
      <family val="2"/>
    </font>
    <font>
      <sz val="9"/>
      <color indexed="81"/>
      <name val="Tahoma"/>
      <family val="2"/>
    </font>
    <font>
      <sz val="8"/>
      <color indexed="81"/>
      <name val="Tahoma"/>
      <charset val="1"/>
    </font>
  </fonts>
  <fills count="6">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3" tint="0.59999389629810485"/>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22">
    <xf numFmtId="0" fontId="0" fillId="0" borderId="0" xfId="0"/>
    <xf numFmtId="3" fontId="0" fillId="0" borderId="0" xfId="0" applyNumberFormat="1"/>
    <xf numFmtId="0" fontId="2" fillId="0" borderId="0" xfId="1" applyAlignment="1" applyProtection="1"/>
    <xf numFmtId="0" fontId="0" fillId="2" borderId="0" xfId="0" applyFill="1"/>
    <xf numFmtId="0" fontId="2" fillId="2" borderId="0" xfId="1" applyFill="1" applyAlignment="1" applyProtection="1"/>
    <xf numFmtId="0" fontId="4" fillId="0" borderId="0" xfId="0" applyFont="1"/>
    <xf numFmtId="0" fontId="5" fillId="0" borderId="0" xfId="0" applyFont="1"/>
    <xf numFmtId="14" fontId="0" fillId="0" borderId="0" xfId="0" applyNumberFormat="1"/>
    <xf numFmtId="0" fontId="6" fillId="0" borderId="0" xfId="0" applyFont="1"/>
    <xf numFmtId="0" fontId="5" fillId="0" borderId="0" xfId="0" applyNumberFormat="1" applyFont="1"/>
    <xf numFmtId="6" fontId="0" fillId="0" borderId="0" xfId="0" applyNumberFormat="1"/>
    <xf numFmtId="0" fontId="2" fillId="0" borderId="0" xfId="1" applyNumberFormat="1" applyAlignment="1" applyProtection="1"/>
    <xf numFmtId="14" fontId="0" fillId="3" borderId="0" xfId="0" applyNumberFormat="1" applyFill="1"/>
    <xf numFmtId="6" fontId="0" fillId="4" borderId="0" xfId="0" applyNumberFormat="1" applyFill="1"/>
    <xf numFmtId="3" fontId="0" fillId="4" borderId="0" xfId="0" applyNumberFormat="1" applyFill="1"/>
    <xf numFmtId="0" fontId="2" fillId="4" borderId="0" xfId="1" applyFill="1" applyAlignment="1" applyProtection="1"/>
    <xf numFmtId="0" fontId="0" fillId="5" borderId="0" xfId="0" applyFill="1"/>
    <xf numFmtId="1" fontId="0" fillId="0" borderId="0" xfId="0" applyNumberFormat="1"/>
    <xf numFmtId="6" fontId="0" fillId="2" borderId="0" xfId="0" applyNumberFormat="1" applyFill="1"/>
    <xf numFmtId="0" fontId="0" fillId="4" borderId="0" xfId="0" applyFill="1"/>
    <xf numFmtId="0" fontId="4" fillId="0" borderId="0" xfId="0" applyNumberFormat="1" applyFont="1"/>
    <xf numFmtId="3" fontId="0" fillId="2" borderId="0" xfId="0" applyNumberFormat="1" applyFill="1"/>
  </cellXfs>
  <cellStyles count="2">
    <cellStyle name="Hyperlink" xfId="1" builtinId="8"/>
    <cellStyle name="Normal" xfId="0" builtinId="0"/>
  </cellStyles>
  <dxfs count="2">
    <dxf>
      <fill>
        <patternFill>
          <fgColor indexed="64"/>
          <bgColor rgb="FFFFFF99"/>
        </patternFill>
      </fill>
    </dxf>
    <dxf>
      <fill>
        <patternFill>
          <fgColor indexed="64"/>
          <bgColor rgb="FFFFFF99"/>
        </patternFill>
      </fill>
    </dxf>
  </dxfs>
  <tableStyles count="0" defaultTableStyle="TableStyleMedium9" defaultPivotStyle="PivotStyleLight16"/>
  <colors>
    <mruColors>
      <color rgb="FFFFFF99"/>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0</xdr:colOff>
      <xdr:row>6</xdr:row>
      <xdr:rowOff>0</xdr:rowOff>
    </xdr:from>
    <xdr:to>
      <xdr:col>1</xdr:col>
      <xdr:colOff>1162050</xdr:colOff>
      <xdr:row>8</xdr:row>
      <xdr:rowOff>0</xdr:rowOff>
    </xdr:to>
    <xdr:sp macro="[0]!Main" textlink="">
      <xdr:nvSpPr>
        <xdr:cNvPr id="2" name="Rounded Rectangle 1"/>
        <xdr:cNvSpPr/>
      </xdr:nvSpPr>
      <xdr:spPr>
        <a:xfrm>
          <a:off x="1543050" y="1133475"/>
          <a:ext cx="116205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Read</a:t>
          </a:r>
          <a:r>
            <a:rPr lang="en-US" sz="1100" baseline="0"/>
            <a:t> HTML</a:t>
          </a:r>
          <a:endParaRPr lang="en-US" sz="1100"/>
        </a:p>
      </xdr:txBody>
    </xdr:sp>
    <xdr:clientData/>
  </xdr:twoCellAnchor>
  <xdr:twoCellAnchor>
    <xdr:from>
      <xdr:col>1</xdr:col>
      <xdr:colOff>1724025</xdr:colOff>
      <xdr:row>6</xdr:row>
      <xdr:rowOff>9525</xdr:rowOff>
    </xdr:from>
    <xdr:to>
      <xdr:col>1</xdr:col>
      <xdr:colOff>2800350</xdr:colOff>
      <xdr:row>7</xdr:row>
      <xdr:rowOff>152400</xdr:rowOff>
    </xdr:to>
    <xdr:sp macro="[0]!Startup" textlink="">
      <xdr:nvSpPr>
        <xdr:cNvPr id="3" name="Rounded Rectangle 2"/>
        <xdr:cNvSpPr/>
      </xdr:nvSpPr>
      <xdr:spPr>
        <a:xfrm>
          <a:off x="3267075" y="1143000"/>
          <a:ext cx="1076325"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Commands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www.windermere.com/index.cfm?fuseaction=Listing.ListingDetail&amp;ListingID=19439266"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windermere.com/+string"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32" filterMode="1"/>
  <dimension ref="A1:BK740"/>
  <sheetViews>
    <sheetView workbookViewId="0">
      <pane xSplit="5580" ySplit="510" topLeftCell="AO1" activePane="bottomRight"/>
      <selection activeCell="I4" sqref="I4"/>
      <selection pane="topRight" activeCell="I4" sqref="I4"/>
      <selection pane="bottomLeft" activeCell="I4" sqref="I4"/>
      <selection pane="bottomRight" activeCell="AS500" sqref="AS500"/>
    </sheetView>
  </sheetViews>
  <sheetFormatPr defaultRowHeight="12.75"/>
  <cols>
    <col min="2" max="3" width="9.140625" customWidth="1"/>
    <col min="5" max="5" width="12.85546875" customWidth="1"/>
    <col min="6" max="6" width="11.7109375" customWidth="1"/>
    <col min="7" max="54" width="9.140625" customWidth="1"/>
    <col min="55" max="55" width="10.42578125" customWidth="1"/>
    <col min="56" max="56" width="9.140625" customWidth="1"/>
  </cols>
  <sheetData>
    <row r="1" spans="1:63">
      <c r="A1" t="s">
        <v>6</v>
      </c>
      <c r="B1" t="s">
        <v>5</v>
      </c>
      <c r="C1" t="s">
        <v>20</v>
      </c>
      <c r="D1" t="s">
        <v>21</v>
      </c>
      <c r="E1" t="s">
        <v>4</v>
      </c>
      <c r="F1" t="s">
        <v>8</v>
      </c>
      <c r="G1" t="s">
        <v>19</v>
      </c>
      <c r="H1" t="s">
        <v>13</v>
      </c>
      <c r="I1" t="s">
        <v>15</v>
      </c>
      <c r="J1" t="s">
        <v>10</v>
      </c>
      <c r="K1" t="s">
        <v>11</v>
      </c>
      <c r="L1" t="s">
        <v>12</v>
      </c>
      <c r="M1" t="s">
        <v>16</v>
      </c>
      <c r="N1" t="s">
        <v>116</v>
      </c>
      <c r="O1" t="s">
        <v>17</v>
      </c>
      <c r="P1" t="s">
        <v>32</v>
      </c>
      <c r="Q1" t="s">
        <v>26</v>
      </c>
      <c r="R1" t="s">
        <v>27</v>
      </c>
      <c r="S1" t="s">
        <v>31</v>
      </c>
      <c r="T1" t="s">
        <v>33</v>
      </c>
      <c r="U1" t="s">
        <v>2</v>
      </c>
      <c r="V1" t="s">
        <v>25</v>
      </c>
      <c r="W1" t="s">
        <v>24</v>
      </c>
      <c r="X1" t="s">
        <v>28</v>
      </c>
      <c r="Y1" t="s">
        <v>29</v>
      </c>
      <c r="Z1" t="s">
        <v>30</v>
      </c>
      <c r="AA1" t="s">
        <v>34</v>
      </c>
      <c r="AB1" t="s">
        <v>35</v>
      </c>
      <c r="AC1" t="s">
        <v>36</v>
      </c>
      <c r="AD1" t="s">
        <v>37</v>
      </c>
      <c r="AE1" t="s">
        <v>38</v>
      </c>
      <c r="AF1" t="s">
        <v>39</v>
      </c>
      <c r="AG1" t="s">
        <v>117</v>
      </c>
      <c r="AH1" t="s">
        <v>118</v>
      </c>
      <c r="AI1" t="s">
        <v>119</v>
      </c>
      <c r="AJ1" t="s">
        <v>120</v>
      </c>
      <c r="AK1" t="s">
        <v>7</v>
      </c>
      <c r="AL1" t="s">
        <v>121</v>
      </c>
      <c r="AM1" t="s">
        <v>3</v>
      </c>
      <c r="AN1" t="s">
        <v>9</v>
      </c>
      <c r="AO1" t="s">
        <v>14</v>
      </c>
      <c r="AP1" t="s">
        <v>18</v>
      </c>
      <c r="AQ1" t="s">
        <v>22</v>
      </c>
      <c r="AR1" t="s">
        <v>23</v>
      </c>
      <c r="AS1" t="s">
        <v>122</v>
      </c>
      <c r="AT1" t="s">
        <v>246</v>
      </c>
      <c r="AU1" t="s">
        <v>301</v>
      </c>
      <c r="AV1" t="s">
        <v>303</v>
      </c>
      <c r="AW1" t="s">
        <v>304</v>
      </c>
      <c r="AX1" t="s">
        <v>305</v>
      </c>
      <c r="AY1" t="s">
        <v>306</v>
      </c>
      <c r="AZ1" t="s">
        <v>915</v>
      </c>
      <c r="BA1" t="s">
        <v>916</v>
      </c>
      <c r="BB1" t="s">
        <v>911</v>
      </c>
      <c r="BC1" s="6" t="s">
        <v>1310</v>
      </c>
      <c r="BD1" t="s">
        <v>183</v>
      </c>
      <c r="BE1" t="s">
        <v>230</v>
      </c>
      <c r="BF1" t="s">
        <v>232</v>
      </c>
      <c r="BG1" s="6" t="s">
        <v>1311</v>
      </c>
      <c r="BH1" s="6" t="s">
        <v>1350</v>
      </c>
      <c r="BI1" s="6" t="s">
        <v>1482</v>
      </c>
      <c r="BJ1" s="6" t="s">
        <v>1483</v>
      </c>
      <c r="BK1" s="6" t="s">
        <v>1340</v>
      </c>
    </row>
    <row r="2" spans="1:63" hidden="1">
      <c r="A2">
        <v>28016323</v>
      </c>
      <c r="B2" s="2" t="str">
        <f>HYPERLINK("http://www.windermere.com/index.cfm?fuseaction=Listing.ListingDetail&amp;ListingID=19287429","Active")</f>
        <v>Active</v>
      </c>
      <c r="D2" t="s">
        <v>99</v>
      </c>
      <c r="E2" t="s">
        <v>1161</v>
      </c>
      <c r="F2" s="18">
        <v>259950</v>
      </c>
      <c r="G2" t="s">
        <v>146</v>
      </c>
      <c r="H2">
        <v>540</v>
      </c>
      <c r="I2">
        <v>2325</v>
      </c>
      <c r="J2">
        <v>1</v>
      </c>
      <c r="K2">
        <v>1</v>
      </c>
      <c r="M2" s="2" t="str">
        <f>HYPERLINK("http://www.windermere.com/index.cfm?fuseaction=Listing.MapPropertyInteractive&amp;ListingID=19287429&amp;resize=true&amp;windowWidth=800&amp;windowHeight=600","Map")</f>
        <v>Map</v>
      </c>
      <c r="O2" s="2" t="str">
        <f>HYPERLINK("http://www.windermere.com/index.cfm?fuseaction=viewGallery.Home&amp;customTourID=205873&amp;wvt=0","More")</f>
        <v>More</v>
      </c>
      <c r="AI2" t="s">
        <v>66</v>
      </c>
      <c r="AJ2">
        <v>98117</v>
      </c>
      <c r="AS2" t="s">
        <v>1162</v>
      </c>
      <c r="AT2">
        <v>19287429</v>
      </c>
      <c r="AU2" s="12">
        <v>39495</v>
      </c>
      <c r="BB2" t="s">
        <v>912</v>
      </c>
      <c r="BC2" s="7">
        <v>39475</v>
      </c>
      <c r="BD2">
        <v>2</v>
      </c>
      <c r="BE2" s="6" t="s">
        <v>1351</v>
      </c>
      <c r="BG2">
        <v>20</v>
      </c>
      <c r="BH2" s="17">
        <f ca="1">TODAY()-BC2</f>
        <v>52</v>
      </c>
      <c r="BI2" s="17"/>
      <c r="BJ2" s="17"/>
    </row>
    <row r="3" spans="1:63" hidden="1">
      <c r="A3">
        <v>27216181</v>
      </c>
      <c r="B3" s="2" t="str">
        <f>HYPERLINK("http://www.windermere.com/index.cfm?fuseaction=Listing.ListingDetail&amp;ListingID=19134351","Active")</f>
        <v>Active</v>
      </c>
      <c r="D3" t="s">
        <v>42</v>
      </c>
      <c r="E3" t="s">
        <v>371</v>
      </c>
      <c r="F3" s="10">
        <v>304950</v>
      </c>
      <c r="G3" t="s">
        <v>124</v>
      </c>
      <c r="H3">
        <v>900</v>
      </c>
      <c r="I3">
        <v>4792</v>
      </c>
      <c r="J3">
        <v>2</v>
      </c>
      <c r="K3">
        <v>1</v>
      </c>
      <c r="M3" s="2" t="str">
        <f>HYPERLINK("http://www.windermere.com/index.cfm?fuseaction=Listing.MapPropertyInteractive&amp;ListingID=19134351&amp;resize=true&amp;windowWidth=800&amp;windowHeight=600","Map")</f>
        <v>Map</v>
      </c>
      <c r="O3" s="2" t="str">
        <f>HYPERLINK("http://www.windermere.com/index.cfm?fuseaction=Listing.MultiImageViewer&amp;ListingID=19134351&amp;ln=27216181&amp;pub_mls=1","More")</f>
        <v>More</v>
      </c>
      <c r="AI3" t="s">
        <v>66</v>
      </c>
      <c r="AJ3">
        <v>98133</v>
      </c>
      <c r="AS3" t="s">
        <v>372</v>
      </c>
      <c r="AT3">
        <v>19134351</v>
      </c>
      <c r="AU3" s="12">
        <v>39495</v>
      </c>
      <c r="BB3" t="s">
        <v>912</v>
      </c>
      <c r="BC3" s="7">
        <v>39444</v>
      </c>
      <c r="BG3">
        <v>51</v>
      </c>
      <c r="BH3" s="17">
        <f t="shared" ref="BH3:BH66" ca="1" si="0">TODAY()-BC3</f>
        <v>83</v>
      </c>
      <c r="BI3" s="17"/>
      <c r="BJ3" s="17"/>
    </row>
    <row r="4" spans="1:63" hidden="1">
      <c r="A4">
        <v>28014336</v>
      </c>
      <c r="B4" s="2" t="str">
        <f>HYPERLINK("http://www.windermere.com/index.cfm?fuseaction=Listing.ListingDetail&amp;ListingID=19267034","Active")</f>
        <v>Active</v>
      </c>
      <c r="D4" t="s">
        <v>968</v>
      </c>
      <c r="E4" t="s">
        <v>1081</v>
      </c>
      <c r="F4" s="10">
        <v>307500</v>
      </c>
      <c r="G4" t="s">
        <v>147</v>
      </c>
      <c r="H4" s="1">
        <v>1375</v>
      </c>
      <c r="J4">
        <v>3</v>
      </c>
      <c r="K4">
        <v>2.5</v>
      </c>
      <c r="M4" s="2" t="str">
        <f>HYPERLINK("http://www.windermere.com/index.cfm?fuseaction=Listing.MapPropertyInteractive&amp;ListingID=19267034&amp;resize=true&amp;windowWidth=800&amp;windowHeight=600","Map")</f>
        <v>Map</v>
      </c>
      <c r="O4" s="2" t="str">
        <f>HYPERLINK("http://www.windermere.com/index.cfm?fuseaction=Listing.MultiImageViewer&amp;ListingID=19267034&amp;ln=28014336&amp;pub_mls=1","More")</f>
        <v>More</v>
      </c>
      <c r="AI4" t="s">
        <v>66</v>
      </c>
      <c r="AJ4">
        <v>98125</v>
      </c>
      <c r="AS4" t="s">
        <v>1082</v>
      </c>
      <c r="AT4">
        <v>19267034</v>
      </c>
      <c r="AU4" s="12">
        <v>39495</v>
      </c>
      <c r="BB4" t="s">
        <v>912</v>
      </c>
      <c r="BC4" s="7">
        <v>39470</v>
      </c>
      <c r="BG4">
        <v>25</v>
      </c>
      <c r="BH4" s="17">
        <f t="shared" ca="1" si="0"/>
        <v>57</v>
      </c>
      <c r="BI4" s="17"/>
      <c r="BJ4" s="17"/>
    </row>
    <row r="5" spans="1:63" hidden="1">
      <c r="A5">
        <v>28000620</v>
      </c>
      <c r="B5" s="2" t="str">
        <f>HYPERLINK("http://www.windermere.com/index.cfm?fuseaction=Listing.ListingDetail&amp;ListingID=19161972","Active")</f>
        <v>Active</v>
      </c>
      <c r="D5" t="s">
        <v>194</v>
      </c>
      <c r="E5" t="s">
        <v>373</v>
      </c>
      <c r="F5" s="10">
        <v>308000</v>
      </c>
      <c r="G5" t="s">
        <v>374</v>
      </c>
      <c r="H5">
        <v>750</v>
      </c>
      <c r="J5">
        <v>2</v>
      </c>
      <c r="K5">
        <v>1.5</v>
      </c>
      <c r="M5" s="2" t="str">
        <f>HYPERLINK("http://www.windermere.com/index.cfm?fuseaction=Listing.MapPropertyInteractive&amp;ListingID=19161972&amp;resize=true&amp;windowWidth=800&amp;windowHeight=600","Map")</f>
        <v>Map</v>
      </c>
      <c r="O5" s="2" t="str">
        <f>HYPERLINK("http://www.windermere.com/index.cfm?fuseaction=Listing.MultiImageViewer&amp;ListingID=19161972&amp;ln=28000620&amp;pub_mls=1","More")</f>
        <v>More</v>
      </c>
      <c r="P5" t="s">
        <v>44</v>
      </c>
      <c r="AI5" t="s">
        <v>66</v>
      </c>
      <c r="AJ5">
        <v>98115</v>
      </c>
      <c r="AS5" t="s">
        <v>375</v>
      </c>
      <c r="AT5">
        <v>19161972</v>
      </c>
      <c r="AU5" s="12">
        <v>39495</v>
      </c>
      <c r="BB5" t="s">
        <v>912</v>
      </c>
      <c r="BC5" s="7">
        <v>39451</v>
      </c>
      <c r="BG5">
        <v>44</v>
      </c>
      <c r="BH5" s="17">
        <f t="shared" ca="1" si="0"/>
        <v>76</v>
      </c>
      <c r="BI5" s="17"/>
      <c r="BJ5" s="17"/>
    </row>
    <row r="6" spans="1:63" hidden="1">
      <c r="A6">
        <v>28026998</v>
      </c>
      <c r="B6" s="15" t="str">
        <f>HYPERLINK("http://www.windermere.com/index.cfm?fuseaction=Listing.ListingDetail&amp;ListingID=19370194","Subject To Inspection")</f>
        <v>Subject To Inspection</v>
      </c>
      <c r="D6" t="s">
        <v>70</v>
      </c>
      <c r="E6" t="s">
        <v>376</v>
      </c>
      <c r="F6" s="10">
        <v>309000</v>
      </c>
      <c r="G6" t="s">
        <v>137</v>
      </c>
      <c r="H6">
        <v>880</v>
      </c>
      <c r="I6">
        <v>6561</v>
      </c>
      <c r="J6">
        <v>2</v>
      </c>
      <c r="K6">
        <v>1</v>
      </c>
      <c r="M6" s="2" t="str">
        <f>HYPERLINK("http://www.windermere.com/index.cfm?fuseaction=Listing.MapPropertyInteractive&amp;ListingID=19370194&amp;resize=true&amp;windowWidth=800&amp;windowHeight=600","Map")</f>
        <v>Map</v>
      </c>
      <c r="O6" s="2" t="str">
        <f>HYPERLINK("http://www.windermere.com/index.cfm?fuseaction=Listing.MultiImageViewer&amp;ListingID=19370194&amp;ln=28026998&amp;pub_mls=1","More")</f>
        <v>More</v>
      </c>
      <c r="AI6" t="s">
        <v>66</v>
      </c>
      <c r="AJ6">
        <v>98133</v>
      </c>
      <c r="AS6" t="s">
        <v>377</v>
      </c>
      <c r="AT6">
        <v>19370194</v>
      </c>
      <c r="AU6" s="12">
        <v>39495</v>
      </c>
      <c r="BB6" t="s">
        <v>912</v>
      </c>
      <c r="BC6" s="7">
        <v>39492</v>
      </c>
      <c r="BG6">
        <v>3</v>
      </c>
      <c r="BH6" s="17">
        <f t="shared" ca="1" si="0"/>
        <v>35</v>
      </c>
      <c r="BI6" s="17"/>
      <c r="BJ6" s="17"/>
    </row>
    <row r="7" spans="1:63" hidden="1">
      <c r="A7">
        <v>27172819</v>
      </c>
      <c r="B7" s="15" t="str">
        <f>HYPERLINK("http://www.windermere.com/index.cfm?fuseaction=Listing.ListingDetail&amp;ListingID=18673522","Subject To Inspection")</f>
        <v>Subject To Inspection</v>
      </c>
      <c r="D7" t="s">
        <v>66</v>
      </c>
      <c r="E7" t="s">
        <v>403</v>
      </c>
      <c r="F7" s="10">
        <v>309950</v>
      </c>
      <c r="G7" t="s">
        <v>404</v>
      </c>
      <c r="I7">
        <v>1200</v>
      </c>
      <c r="J7">
        <v>3</v>
      </c>
      <c r="K7">
        <v>2.5</v>
      </c>
      <c r="M7" s="2" t="str">
        <f>HYPERLINK("http://www.windermere.com/index.cfm?fuseaction=Listing.MapPropertyInteractive&amp;ListingID=18673522&amp;resize=true&amp;windowWidth=800&amp;windowHeight=600","Map")</f>
        <v>Map</v>
      </c>
      <c r="O7" s="2" t="str">
        <f>HYPERLINK("http://www.windermere.com/index.cfm?fuseaction=Listing.MultiImageViewer&amp;ListingID=18673522&amp;ln=27172819&amp;pub_mls=1","More")</f>
        <v>More</v>
      </c>
      <c r="AI7" t="s">
        <v>66</v>
      </c>
      <c r="AJ7">
        <v>98133</v>
      </c>
      <c r="AS7" t="s">
        <v>405</v>
      </c>
      <c r="AT7">
        <v>18673522</v>
      </c>
      <c r="AU7" s="12">
        <v>39495</v>
      </c>
      <c r="BB7" t="s">
        <v>912</v>
      </c>
      <c r="BC7" s="7">
        <v>39346</v>
      </c>
      <c r="BG7">
        <v>149</v>
      </c>
      <c r="BH7" s="17">
        <f t="shared" ca="1" si="0"/>
        <v>181</v>
      </c>
      <c r="BI7" s="17"/>
      <c r="BJ7" s="17"/>
    </row>
    <row r="8" spans="1:63" hidden="1">
      <c r="A8">
        <v>27193955</v>
      </c>
      <c r="B8" s="2" t="str">
        <f>HYPERLINK("http://www.windermere.com/index.cfm?fuseaction=Listing.ListingDetail&amp;ListingID=18883912","Active")</f>
        <v>Active</v>
      </c>
      <c r="D8" t="s">
        <v>66</v>
      </c>
      <c r="E8" t="s">
        <v>378</v>
      </c>
      <c r="F8" s="10">
        <v>309950</v>
      </c>
      <c r="G8" t="s">
        <v>379</v>
      </c>
      <c r="H8">
        <v>760</v>
      </c>
      <c r="I8">
        <v>5163</v>
      </c>
      <c r="J8">
        <v>2</v>
      </c>
      <c r="K8">
        <v>1</v>
      </c>
      <c r="M8" s="2" t="str">
        <f>HYPERLINK("http://www.windermere.com/index.cfm?fuseaction=Listing.MapPropertyInteractive&amp;ListingID=18883912&amp;resize=true&amp;windowWidth=800&amp;windowHeight=600","Map")</f>
        <v>Map</v>
      </c>
      <c r="O8" s="2" t="str">
        <f>HYPERLINK("http://www.windermere.com/index.cfm?fuseaction=Listing.MultiImageViewer&amp;ListingID=18883912&amp;ln=27193955&amp;pub_mls=1","More")</f>
        <v>More</v>
      </c>
      <c r="P8" t="s">
        <v>44</v>
      </c>
      <c r="AI8" t="s">
        <v>66</v>
      </c>
      <c r="AJ8">
        <v>98133</v>
      </c>
      <c r="AS8" t="s">
        <v>380</v>
      </c>
      <c r="AT8">
        <v>18883912</v>
      </c>
      <c r="AU8" s="12">
        <v>39495</v>
      </c>
      <c r="BB8" t="s">
        <v>912</v>
      </c>
      <c r="BC8" s="7">
        <v>39385</v>
      </c>
      <c r="BG8">
        <v>110</v>
      </c>
      <c r="BH8" s="17">
        <f t="shared" ca="1" si="0"/>
        <v>142</v>
      </c>
      <c r="BI8" s="17"/>
      <c r="BJ8" s="17"/>
    </row>
    <row r="9" spans="1:63" hidden="1">
      <c r="A9">
        <v>27196449</v>
      </c>
      <c r="B9" s="15" t="str">
        <f>HYPERLINK("http://www.windermere.com/index.cfm?fuseaction=Listing.ListingDetail&amp;ListingID=18906882","Subject To Inspection")</f>
        <v>Subject To Inspection</v>
      </c>
      <c r="D9" t="s">
        <v>99</v>
      </c>
      <c r="E9" t="s">
        <v>313</v>
      </c>
      <c r="F9" s="10">
        <v>309950</v>
      </c>
      <c r="G9" t="s">
        <v>147</v>
      </c>
      <c r="J9">
        <v>3</v>
      </c>
      <c r="K9">
        <v>1.5</v>
      </c>
      <c r="M9" s="2" t="str">
        <f>HYPERLINK("http://www.windermere.com/index.cfm?fuseaction=Listing.MapPropertyInteractive&amp;ListingID=18906882&amp;resize=true&amp;windowWidth=800&amp;windowHeight=600","Map")</f>
        <v>Map</v>
      </c>
      <c r="O9" s="2" t="str">
        <f>HYPERLINK("http://www.windermere.com/index.cfm?fuseaction=Listing.MultiImageViewer&amp;ListingID=18906882&amp;ln=27196449&amp;pub_mls=1","More")</f>
        <v>More</v>
      </c>
      <c r="P9" t="s">
        <v>44</v>
      </c>
      <c r="AI9" t="s">
        <v>66</v>
      </c>
      <c r="AJ9">
        <v>98117</v>
      </c>
      <c r="AS9" t="s">
        <v>314</v>
      </c>
      <c r="AT9">
        <v>18906882</v>
      </c>
      <c r="AU9" s="12">
        <v>39495</v>
      </c>
      <c r="BB9" t="s">
        <v>912</v>
      </c>
      <c r="BC9" s="7">
        <v>39388</v>
      </c>
      <c r="BG9">
        <v>107</v>
      </c>
      <c r="BH9" s="17">
        <f t="shared" ca="1" si="0"/>
        <v>139</v>
      </c>
      <c r="BI9" s="17"/>
      <c r="BJ9" s="17"/>
    </row>
    <row r="10" spans="1:63" hidden="1">
      <c r="A10">
        <v>28020736</v>
      </c>
      <c r="B10" s="15" t="str">
        <f>HYPERLINK("http://www.windermere.com/index.cfm?fuseaction=Listing.ListingDetail&amp;ListingID=19320510","Subject To Inspection")</f>
        <v>Subject To Inspection</v>
      </c>
      <c r="D10" t="s">
        <v>968</v>
      </c>
      <c r="E10" t="s">
        <v>1083</v>
      </c>
      <c r="F10" s="10">
        <v>309950</v>
      </c>
      <c r="G10" t="s">
        <v>147</v>
      </c>
      <c r="H10" s="1">
        <v>1220</v>
      </c>
      <c r="J10">
        <v>3</v>
      </c>
      <c r="K10">
        <v>2.5</v>
      </c>
      <c r="M10" s="2" t="str">
        <f>HYPERLINK("http://www.windermere.com/index.cfm?fuseaction=Listing.MapPropertyInteractive&amp;ListingID=19320510&amp;resize=true&amp;windowWidth=800&amp;windowHeight=600","Map")</f>
        <v>Map</v>
      </c>
      <c r="O10" s="2" t="str">
        <f>HYPERLINK("http://www.windermere.com/index.cfm?fuseaction=Listing.MultiImageViewer&amp;ListingID=19320510&amp;ln=28020736&amp;pub_mls=1","More")</f>
        <v>More</v>
      </c>
      <c r="P10" t="s">
        <v>44</v>
      </c>
      <c r="AI10" t="s">
        <v>66</v>
      </c>
      <c r="AJ10">
        <v>98125</v>
      </c>
      <c r="AS10" t="s">
        <v>1084</v>
      </c>
      <c r="AT10">
        <v>19320510</v>
      </c>
      <c r="AU10" s="12">
        <v>39495</v>
      </c>
      <c r="BB10" t="s">
        <v>912</v>
      </c>
      <c r="BC10" s="7">
        <v>39482</v>
      </c>
      <c r="BG10">
        <v>13</v>
      </c>
      <c r="BH10" s="17">
        <f t="shared" ca="1" si="0"/>
        <v>45</v>
      </c>
      <c r="BI10" s="17"/>
      <c r="BJ10" s="17"/>
    </row>
    <row r="11" spans="1:63" hidden="1">
      <c r="A11">
        <v>28022589</v>
      </c>
      <c r="B11" s="2" t="str">
        <f>HYPERLINK("http://www.windermere.com/index.cfm?fuseaction=Listing.ListingDetail&amp;ListingID=19341859","Active")</f>
        <v>Active</v>
      </c>
      <c r="D11" t="s">
        <v>968</v>
      </c>
      <c r="E11" t="s">
        <v>1085</v>
      </c>
      <c r="F11" s="10">
        <v>309950</v>
      </c>
      <c r="G11" t="s">
        <v>256</v>
      </c>
      <c r="H11" s="14">
        <v>1420</v>
      </c>
      <c r="I11">
        <v>1716</v>
      </c>
      <c r="J11">
        <v>3</v>
      </c>
      <c r="K11">
        <v>2</v>
      </c>
      <c r="M11" s="2" t="str">
        <f>HYPERLINK("http://www.windermere.com/index.cfm?fuseaction=Listing.MapPropertyInteractive&amp;ListingID=19341859&amp;resize=true&amp;windowWidth=800&amp;windowHeight=600","Map")</f>
        <v>Map</v>
      </c>
      <c r="O11" s="2" t="str">
        <f>HYPERLINK("http://www.windermere.com/index.cfm?fuseaction=viewGallery.Home&amp;customTourID=206948&amp;wvt=0","More")</f>
        <v>More</v>
      </c>
      <c r="AI11" t="s">
        <v>396</v>
      </c>
      <c r="AJ11">
        <v>98155</v>
      </c>
      <c r="AS11" t="s">
        <v>1086</v>
      </c>
      <c r="AT11">
        <v>19341859</v>
      </c>
      <c r="AU11" s="12">
        <v>39495</v>
      </c>
      <c r="BB11" t="s">
        <v>912</v>
      </c>
      <c r="BC11" s="7">
        <v>39486</v>
      </c>
      <c r="BG11">
        <v>9</v>
      </c>
      <c r="BH11" s="17">
        <f t="shared" ca="1" si="0"/>
        <v>41</v>
      </c>
      <c r="BI11" s="17"/>
      <c r="BJ11" s="17"/>
    </row>
    <row r="12" spans="1:63" hidden="1">
      <c r="A12">
        <v>28015944</v>
      </c>
      <c r="B12" s="4" t="str">
        <f>HYPERLINK("http://www.windermere.com/index.cfm?fuseaction=Listing.ListingDetail&amp;ListingID=19281164","Active")</f>
        <v>Active</v>
      </c>
      <c r="D12" t="s">
        <v>1087</v>
      </c>
      <c r="E12" t="s">
        <v>381</v>
      </c>
      <c r="F12" s="10">
        <v>309999</v>
      </c>
      <c r="G12" t="s">
        <v>157</v>
      </c>
      <c r="H12">
        <v>770</v>
      </c>
      <c r="I12">
        <v>14469</v>
      </c>
      <c r="J12">
        <v>2</v>
      </c>
      <c r="K12">
        <v>1</v>
      </c>
      <c r="M12" s="2" t="str">
        <f>HYPERLINK("http://www.windermere.com/index.cfm?fuseaction=Listing.MapPropertyInteractive&amp;ListingID=19281164&amp;resize=true&amp;windowWidth=800&amp;windowHeight=600","Map")</f>
        <v>Map</v>
      </c>
      <c r="O12" s="2" t="str">
        <f>HYPERLINK("http://www.windermere.com/index.cfm?fuseaction=Listing.MultiImageViewer&amp;ListingID=19281164&amp;ln=28015944&amp;pub_mls=1","More")</f>
        <v>More</v>
      </c>
      <c r="AI12" t="s">
        <v>66</v>
      </c>
      <c r="AJ12">
        <v>98133</v>
      </c>
      <c r="AS12" t="s">
        <v>382</v>
      </c>
      <c r="AT12">
        <v>19281164</v>
      </c>
      <c r="AU12" s="12">
        <v>39495</v>
      </c>
      <c r="BB12" t="s">
        <v>912</v>
      </c>
      <c r="BC12" s="7">
        <v>39472</v>
      </c>
      <c r="BG12">
        <v>23</v>
      </c>
      <c r="BH12" s="17">
        <f t="shared" ca="1" si="0"/>
        <v>55</v>
      </c>
      <c r="BI12" s="17"/>
      <c r="BJ12" s="17"/>
      <c r="BK12" t="str">
        <f>B12</f>
        <v>Active</v>
      </c>
    </row>
    <row r="13" spans="1:63" hidden="1">
      <c r="A13">
        <v>28016237</v>
      </c>
      <c r="B13" s="15" t="str">
        <f>HYPERLINK("http://www.windermere.com/index.cfm?fuseaction=Listing.ListingDetail&amp;ListingID=19291014","Subject To Inspection")</f>
        <v>Subject To Inspection</v>
      </c>
      <c r="D13" t="s">
        <v>42</v>
      </c>
      <c r="E13" t="s">
        <v>383</v>
      </c>
      <c r="F13" s="10">
        <v>314000</v>
      </c>
      <c r="G13" t="s">
        <v>147</v>
      </c>
      <c r="H13" s="1">
        <v>1432</v>
      </c>
      <c r="J13">
        <v>3</v>
      </c>
      <c r="K13">
        <v>2.5</v>
      </c>
      <c r="M13" s="2" t="str">
        <f>HYPERLINK("http://www.windermere.com/index.cfm?fuseaction=Listing.MapPropertyInteractive&amp;ListingID=19291014&amp;resize=true&amp;windowWidth=800&amp;windowHeight=600","Map")</f>
        <v>Map</v>
      </c>
      <c r="O13" s="2" t="str">
        <f>HYPERLINK("http://www.windermere.com/index.cfm?fuseaction=Listing.MultiImageViewer&amp;ListingID=19291014&amp;ln=28016237&amp;pub_mls=1","More")</f>
        <v>More</v>
      </c>
      <c r="AI13" t="s">
        <v>66</v>
      </c>
      <c r="AJ13">
        <v>98133</v>
      </c>
      <c r="AS13" t="s">
        <v>384</v>
      </c>
      <c r="AT13">
        <v>19291014</v>
      </c>
      <c r="AU13" s="12">
        <v>39495</v>
      </c>
      <c r="BB13" t="s">
        <v>912</v>
      </c>
      <c r="BC13" s="7">
        <v>39475</v>
      </c>
      <c r="BG13">
        <v>20</v>
      </c>
      <c r="BH13" s="17">
        <f t="shared" ca="1" si="0"/>
        <v>52</v>
      </c>
      <c r="BI13" s="17"/>
      <c r="BJ13" s="17"/>
    </row>
    <row r="14" spans="1:63" hidden="1">
      <c r="A14">
        <v>28011739</v>
      </c>
      <c r="B14" s="2" t="str">
        <f>HYPERLINK("http://www.windermere.com/index.cfm?fuseaction=Listing.ListingDetail&amp;ListingID=19249638","Active")</f>
        <v>Active</v>
      </c>
      <c r="D14" t="s">
        <v>968</v>
      </c>
      <c r="E14" t="s">
        <v>1088</v>
      </c>
      <c r="F14" s="10">
        <v>314900</v>
      </c>
      <c r="G14" t="s">
        <v>128</v>
      </c>
      <c r="H14" s="1">
        <v>1275</v>
      </c>
      <c r="J14">
        <v>3</v>
      </c>
      <c r="K14">
        <v>1.75</v>
      </c>
      <c r="M14" s="2" t="str">
        <f>HYPERLINK("http://www.windermere.com/index.cfm?fuseaction=Listing.MapPropertyInteractive&amp;ListingID=19249638&amp;resize=true&amp;windowWidth=800&amp;windowHeight=600","Map")</f>
        <v>Map</v>
      </c>
      <c r="O14" s="2" t="str">
        <f>HYPERLINK("http://www.windermere.com/index.cfm?fuseaction=Listing.MultiImageViewer&amp;ListingID=19249638&amp;ln=28011739&amp;pub_mls=1","More")</f>
        <v>More</v>
      </c>
      <c r="P14" t="s">
        <v>44</v>
      </c>
      <c r="AI14" t="s">
        <v>66</v>
      </c>
      <c r="AJ14">
        <v>98125</v>
      </c>
      <c r="AS14" t="s">
        <v>1089</v>
      </c>
      <c r="AT14">
        <v>19249638</v>
      </c>
      <c r="AU14" s="12">
        <v>39495</v>
      </c>
      <c r="BB14" t="s">
        <v>912</v>
      </c>
      <c r="BC14" s="7">
        <v>39466</v>
      </c>
      <c r="BG14">
        <v>29</v>
      </c>
      <c r="BH14" s="17">
        <f t="shared" ca="1" si="0"/>
        <v>61</v>
      </c>
      <c r="BI14" s="17"/>
      <c r="BJ14" s="17"/>
    </row>
    <row r="15" spans="1:63" hidden="1">
      <c r="A15">
        <v>28014342</v>
      </c>
      <c r="B15" s="2" t="str">
        <f>HYPERLINK("http://www.windermere.com/index.cfm?fuseaction=Listing.ListingDetail&amp;ListingID=19267024","Subject To Inspection")</f>
        <v>Subject To Inspection</v>
      </c>
      <c r="D15" t="s">
        <v>968</v>
      </c>
      <c r="E15" t="s">
        <v>1090</v>
      </c>
      <c r="F15" s="10">
        <v>315000</v>
      </c>
      <c r="G15" t="s">
        <v>147</v>
      </c>
      <c r="H15" s="1">
        <v>1499</v>
      </c>
      <c r="J15">
        <v>3</v>
      </c>
      <c r="K15">
        <v>2</v>
      </c>
      <c r="M15" s="2" t="str">
        <f>HYPERLINK("http://www.windermere.com/index.cfm?fuseaction=Listing.MapPropertyInteractive&amp;ListingID=19267024&amp;resize=true&amp;windowWidth=800&amp;windowHeight=600","Map")</f>
        <v>Map</v>
      </c>
      <c r="O15" s="2" t="str">
        <f>HYPERLINK("http://www.windermere.com/index.cfm?fuseaction=Listing.MultiImageViewer&amp;ListingID=19267024&amp;ln=28014342&amp;pub_mls=1","More")</f>
        <v>More</v>
      </c>
      <c r="AI15" t="s">
        <v>66</v>
      </c>
      <c r="AJ15">
        <v>98125</v>
      </c>
      <c r="AS15" t="s">
        <v>1091</v>
      </c>
      <c r="AT15">
        <v>19267024</v>
      </c>
      <c r="AU15" s="12">
        <v>39495</v>
      </c>
      <c r="BB15" t="s">
        <v>912</v>
      </c>
      <c r="BC15" s="7">
        <v>39470</v>
      </c>
      <c r="BG15">
        <v>25</v>
      </c>
      <c r="BH15" s="17">
        <f t="shared" ca="1" si="0"/>
        <v>57</v>
      </c>
      <c r="BI15" s="17"/>
      <c r="BJ15" s="17"/>
      <c r="BK15" t="str">
        <f>B15</f>
        <v>Subject To Inspection</v>
      </c>
    </row>
    <row r="16" spans="1:63" hidden="1">
      <c r="A16">
        <v>28027761</v>
      </c>
      <c r="B16" s="2" t="str">
        <f>HYPERLINK("http://www.windermere.com/index.cfm?fuseaction=Listing.ListingDetail&amp;ListingID=19381850","Active")</f>
        <v>Active</v>
      </c>
      <c r="D16" t="s">
        <v>60</v>
      </c>
      <c r="E16" t="s">
        <v>385</v>
      </c>
      <c r="F16" s="10">
        <v>315000</v>
      </c>
      <c r="G16" t="s">
        <v>256</v>
      </c>
      <c r="H16">
        <v>800</v>
      </c>
      <c r="I16">
        <v>1196</v>
      </c>
      <c r="J16">
        <v>2</v>
      </c>
      <c r="K16">
        <v>1.5</v>
      </c>
      <c r="M16" s="2" t="str">
        <f>HYPERLINK("http://www.windermere.com/index.cfm?fuseaction=Listing.MapPropertyInteractive&amp;ListingID=19381850&amp;resize=true&amp;windowWidth=800&amp;windowHeight=600","Map")</f>
        <v>Map</v>
      </c>
      <c r="O16" s="2" t="str">
        <f>HYPERLINK("http://www.windermere.com/index.cfm?fuseaction=Listing.MultiImageViewer&amp;ListingID=19381850&amp;ln=28027761&amp;pub_mls=1","More")</f>
        <v>More</v>
      </c>
      <c r="AI16" t="s">
        <v>66</v>
      </c>
      <c r="AJ16">
        <v>98103</v>
      </c>
      <c r="AS16" t="s">
        <v>386</v>
      </c>
      <c r="AT16">
        <v>19381850</v>
      </c>
      <c r="AU16" s="12">
        <v>39495</v>
      </c>
      <c r="BB16" t="s">
        <v>912</v>
      </c>
      <c r="BC16" s="7">
        <v>39494</v>
      </c>
      <c r="BG16">
        <v>1</v>
      </c>
      <c r="BH16" s="17">
        <f t="shared" ca="1" si="0"/>
        <v>33</v>
      </c>
      <c r="BI16" s="17"/>
      <c r="BJ16" s="17"/>
    </row>
    <row r="17" spans="1:63" hidden="1">
      <c r="A17">
        <v>28000911</v>
      </c>
      <c r="B17" s="15" t="str">
        <f>HYPERLINK("http://www.windermere.com/index.cfm?fuseaction=Listing.ListingDetail&amp;ListingID=19148568","Active")</f>
        <v>Active</v>
      </c>
      <c r="D17" t="s">
        <v>968</v>
      </c>
      <c r="E17" t="s">
        <v>1094</v>
      </c>
      <c r="F17" s="13">
        <v>309888</v>
      </c>
      <c r="G17" t="s">
        <v>147</v>
      </c>
      <c r="H17" s="1">
        <v>1482</v>
      </c>
      <c r="J17">
        <v>3</v>
      </c>
      <c r="K17">
        <v>2.5</v>
      </c>
      <c r="M17" s="2" t="str">
        <f>HYPERLINK("http://www.windermere.com/index.cfm?fuseaction=Listing.MapPropertyInteractive&amp;ListingID=19148568&amp;resize=true&amp;windowWidth=800&amp;windowHeight=600","Map")</f>
        <v>Map</v>
      </c>
      <c r="O17" s="2" t="str">
        <f>HYPERLINK("http://www.windermere.com/index.cfm?fuseaction=Listing.MultiImageViewer&amp;ListingID=19148568&amp;ln=28000911&amp;pub_mls=1","More")</f>
        <v>More</v>
      </c>
      <c r="AI17" t="s">
        <v>66</v>
      </c>
      <c r="AJ17">
        <v>98125</v>
      </c>
      <c r="AS17" t="s">
        <v>1095</v>
      </c>
      <c r="AT17">
        <v>19148568</v>
      </c>
      <c r="AU17" s="12">
        <v>39495</v>
      </c>
      <c r="BB17" t="s">
        <v>912</v>
      </c>
      <c r="BC17" s="7">
        <v>39449</v>
      </c>
      <c r="BG17">
        <v>46</v>
      </c>
      <c r="BH17" s="17">
        <f t="shared" ca="1" si="0"/>
        <v>78</v>
      </c>
      <c r="BI17" s="17"/>
      <c r="BJ17" s="17"/>
      <c r="BK17" t="str">
        <f>B17</f>
        <v>Active</v>
      </c>
    </row>
    <row r="18" spans="1:63" hidden="1">
      <c r="A18">
        <v>28000982</v>
      </c>
      <c r="B18" s="2" t="str">
        <f>HYPERLINK("http://www.windermere.com/index.cfm?fuseaction=Listing.ListingDetail&amp;ListingID=19148569","Active")</f>
        <v>Active</v>
      </c>
      <c r="D18" t="s">
        <v>968</v>
      </c>
      <c r="E18" t="s">
        <v>1092</v>
      </c>
      <c r="F18" s="13">
        <v>309888</v>
      </c>
      <c r="G18" t="s">
        <v>147</v>
      </c>
      <c r="H18" s="1">
        <v>1380</v>
      </c>
      <c r="J18">
        <v>3</v>
      </c>
      <c r="K18">
        <v>2.25</v>
      </c>
      <c r="M18" s="2" t="str">
        <f>HYPERLINK("http://www.windermere.com/index.cfm?fuseaction=Listing.MapPropertyInteractive&amp;ListingID=19148569&amp;resize=true&amp;windowWidth=800&amp;windowHeight=600","Map")</f>
        <v>Map</v>
      </c>
      <c r="O18" s="2" t="str">
        <f>HYPERLINK("http://www.windermere.com/index.cfm?fuseaction=Listing.MultiImageViewer&amp;ListingID=19148569&amp;ln=28000982&amp;pub_mls=1","More")</f>
        <v>More</v>
      </c>
      <c r="AI18" t="s">
        <v>66</v>
      </c>
      <c r="AJ18">
        <v>98125</v>
      </c>
      <c r="AS18" t="s">
        <v>1093</v>
      </c>
      <c r="AT18">
        <v>19148569</v>
      </c>
      <c r="AU18" s="12">
        <v>39495</v>
      </c>
      <c r="BB18" t="s">
        <v>912</v>
      </c>
      <c r="BC18" s="7">
        <v>39494</v>
      </c>
      <c r="BG18">
        <v>1</v>
      </c>
      <c r="BH18" s="17">
        <f t="shared" ca="1" si="0"/>
        <v>33</v>
      </c>
      <c r="BI18" s="17"/>
      <c r="BJ18" s="17"/>
    </row>
    <row r="19" spans="1:63" hidden="1">
      <c r="A19">
        <v>27186400</v>
      </c>
      <c r="B19" s="4" t="str">
        <f>HYPERLINK("http://www.windermere.com/index.cfm?fuseaction=Listing.ListingDetail&amp;ListingID=18812719","Subject To Inspection")</f>
        <v>Subject To Inspection</v>
      </c>
      <c r="D19" t="s">
        <v>99</v>
      </c>
      <c r="E19" t="s">
        <v>321</v>
      </c>
      <c r="F19" s="10">
        <v>319950</v>
      </c>
      <c r="G19" t="s">
        <v>147</v>
      </c>
      <c r="J19">
        <v>3</v>
      </c>
      <c r="K19">
        <v>1.5</v>
      </c>
      <c r="M19" s="2" t="str">
        <f>HYPERLINK("http://www.windermere.com/index.cfm?fuseaction=Listing.MapPropertyInteractive&amp;ListingID=18812719&amp;resize=true&amp;windowWidth=800&amp;windowHeight=600","Map")</f>
        <v>Map</v>
      </c>
      <c r="O19" s="2" t="str">
        <f>HYPERLINK("http://www.windermere.com/index.cfm?fuseaction=Listing.MultiImageViewer&amp;ListingID=18812719&amp;ln=27186400&amp;pub_mls=1","More")</f>
        <v>More</v>
      </c>
      <c r="P19" t="s">
        <v>44</v>
      </c>
      <c r="AI19" t="s">
        <v>66</v>
      </c>
      <c r="AJ19">
        <v>98117</v>
      </c>
      <c r="AS19" t="s">
        <v>322</v>
      </c>
      <c r="AT19">
        <v>18812719</v>
      </c>
      <c r="AU19" s="12">
        <v>39495</v>
      </c>
      <c r="BB19" t="s">
        <v>912</v>
      </c>
      <c r="BC19" s="7">
        <v>39370</v>
      </c>
      <c r="BG19">
        <v>125</v>
      </c>
      <c r="BH19" s="17">
        <f t="shared" ca="1" si="0"/>
        <v>157</v>
      </c>
      <c r="BI19" s="17"/>
      <c r="BJ19" s="17"/>
    </row>
    <row r="20" spans="1:63" hidden="1">
      <c r="A20">
        <v>27189098</v>
      </c>
      <c r="B20" s="2" t="str">
        <f>HYPERLINK("http://www.windermere.com/index.cfm?fuseaction=Listing.ListingDetail&amp;ListingID=18838362","Subject To Inspection")</f>
        <v>Subject To Inspection</v>
      </c>
      <c r="D20" t="s">
        <v>99</v>
      </c>
      <c r="E20" t="s">
        <v>317</v>
      </c>
      <c r="F20" s="10">
        <v>319950</v>
      </c>
      <c r="G20" t="s">
        <v>147</v>
      </c>
      <c r="J20">
        <v>3</v>
      </c>
      <c r="K20">
        <v>1.5</v>
      </c>
      <c r="M20" s="2" t="str">
        <f>HYPERLINK("http://www.windermere.com/index.cfm?fuseaction=Listing.MapPropertyInteractive&amp;ListingID=18838362&amp;resize=true&amp;windowWidth=800&amp;windowHeight=600","Map")</f>
        <v>Map</v>
      </c>
      <c r="O20" s="2" t="str">
        <f>HYPERLINK("http://www.windermere.com/index.cfm?fuseaction=Listing.MultiImageViewer&amp;ListingID=18838362&amp;ln=27189098&amp;pub_mls=1","More")</f>
        <v>More</v>
      </c>
      <c r="P20" t="s">
        <v>44</v>
      </c>
      <c r="AI20" t="s">
        <v>66</v>
      </c>
      <c r="AJ20">
        <v>98117</v>
      </c>
      <c r="AS20" t="s">
        <v>318</v>
      </c>
      <c r="AT20">
        <v>18838362</v>
      </c>
      <c r="AU20" s="12">
        <v>39495</v>
      </c>
      <c r="BB20" t="s">
        <v>912</v>
      </c>
      <c r="BC20" s="7">
        <v>39374</v>
      </c>
      <c r="BG20">
        <v>121</v>
      </c>
      <c r="BH20" s="17">
        <f t="shared" ca="1" si="0"/>
        <v>153</v>
      </c>
      <c r="BI20" s="17"/>
      <c r="BJ20" s="17"/>
      <c r="BK20" t="str">
        <f>B20</f>
        <v>Subject To Inspection</v>
      </c>
    </row>
    <row r="21" spans="1:63" hidden="1">
      <c r="A21">
        <v>27192612</v>
      </c>
      <c r="B21" s="2" t="str">
        <f>HYPERLINK("http://www.windermere.com/index.cfm?fuseaction=Listing.ListingDetail&amp;ListingID=18870272","Subject To Inspection")</f>
        <v>Subject To Inspection</v>
      </c>
      <c r="D21" t="s">
        <v>99</v>
      </c>
      <c r="E21" t="s">
        <v>319</v>
      </c>
      <c r="F21" s="10">
        <v>319950</v>
      </c>
      <c r="G21" t="s">
        <v>147</v>
      </c>
      <c r="J21">
        <v>3</v>
      </c>
      <c r="K21">
        <v>1.5</v>
      </c>
      <c r="M21" s="2" t="str">
        <f>HYPERLINK("http://www.windermere.com/index.cfm?fuseaction=Listing.MapPropertyInteractive&amp;ListingID=18870272&amp;resize=true&amp;windowWidth=800&amp;windowHeight=600","Map")</f>
        <v>Map</v>
      </c>
      <c r="O21" s="2" t="str">
        <f>HYPERLINK("http://www.windermere.com/index.cfm?fuseaction=Listing.MultiImageViewer&amp;ListingID=18870272&amp;ln=27192612&amp;pub_mls=1","More")</f>
        <v>More</v>
      </c>
      <c r="P21" t="s">
        <v>44</v>
      </c>
      <c r="AI21" t="s">
        <v>66</v>
      </c>
      <c r="AJ21">
        <v>98117</v>
      </c>
      <c r="AS21" t="s">
        <v>320</v>
      </c>
      <c r="AT21">
        <v>18870272</v>
      </c>
      <c r="AU21" s="12">
        <v>39495</v>
      </c>
      <c r="BB21" t="s">
        <v>912</v>
      </c>
      <c r="BC21" s="7">
        <v>39381</v>
      </c>
      <c r="BG21">
        <v>114</v>
      </c>
      <c r="BH21" s="17">
        <f t="shared" ca="1" si="0"/>
        <v>146</v>
      </c>
      <c r="BI21" s="17"/>
      <c r="BJ21" s="17"/>
      <c r="BK21" t="str">
        <f>B21</f>
        <v>Subject To Inspection</v>
      </c>
    </row>
    <row r="22" spans="1:63" hidden="1">
      <c r="A22">
        <v>27199386</v>
      </c>
      <c r="B22" s="4" t="str">
        <f>HYPERLINK("http://www.windermere.com/index.cfm?fuseaction=Listing.ListingDetail&amp;ListingID=18936713","Subject To Inspection")</f>
        <v>Subject To Inspection</v>
      </c>
      <c r="D22" t="s">
        <v>99</v>
      </c>
      <c r="E22" t="s">
        <v>323</v>
      </c>
      <c r="F22" s="10">
        <v>319950</v>
      </c>
      <c r="G22" t="s">
        <v>147</v>
      </c>
      <c r="J22">
        <v>3</v>
      </c>
      <c r="K22">
        <v>1.5</v>
      </c>
      <c r="M22" s="2" t="str">
        <f>HYPERLINK("http://www.windermere.com/index.cfm?fuseaction=Listing.MapPropertyInteractive&amp;ListingID=18936713&amp;resize=true&amp;windowWidth=800&amp;windowHeight=600","Map")</f>
        <v>Map</v>
      </c>
      <c r="O22" s="2" t="str">
        <f>HYPERLINK("http://www.windermere.com/index.cfm?fuseaction=Listing.MultiImageViewer&amp;ListingID=18936713&amp;ln=27199386&amp;pub_mls=1","More")</f>
        <v>More</v>
      </c>
      <c r="P22" t="s">
        <v>44</v>
      </c>
      <c r="AI22" t="s">
        <v>66</v>
      </c>
      <c r="AJ22">
        <v>98117</v>
      </c>
      <c r="AS22" t="s">
        <v>324</v>
      </c>
      <c r="AT22">
        <v>18936713</v>
      </c>
      <c r="AU22" s="12">
        <v>39495</v>
      </c>
      <c r="BB22" t="s">
        <v>912</v>
      </c>
      <c r="BC22" s="7">
        <v>39394</v>
      </c>
      <c r="BG22">
        <v>101</v>
      </c>
      <c r="BH22" s="17">
        <f t="shared" ca="1" si="0"/>
        <v>133</v>
      </c>
      <c r="BI22" s="17"/>
      <c r="BJ22" s="17"/>
    </row>
    <row r="23" spans="1:63" hidden="1">
      <c r="A23">
        <v>27206338</v>
      </c>
      <c r="B23" s="2" t="str">
        <f>HYPERLINK("http://www.windermere.com/index.cfm?fuseaction=Listing.ListingDetail&amp;ListingID=19018885","Active")</f>
        <v>Active</v>
      </c>
      <c r="D23" t="s">
        <v>99</v>
      </c>
      <c r="E23" t="s">
        <v>315</v>
      </c>
      <c r="F23" s="10">
        <v>319950</v>
      </c>
      <c r="G23" t="s">
        <v>147</v>
      </c>
      <c r="J23">
        <v>3</v>
      </c>
      <c r="K23">
        <v>1.5</v>
      </c>
      <c r="M23" s="2" t="str">
        <f>HYPERLINK("http://www.windermere.com/index.cfm?fuseaction=Listing.MapPropertyInteractive&amp;ListingID=19018885&amp;resize=true&amp;windowWidth=800&amp;windowHeight=600","Map")</f>
        <v>Map</v>
      </c>
      <c r="O23" s="2" t="str">
        <f>HYPERLINK("http://www.windermere.com/index.cfm?fuseaction=Listing.MultiImageViewer&amp;ListingID=19018885&amp;ln=27206338&amp;pub_mls=1","More")</f>
        <v>More</v>
      </c>
      <c r="P23" t="s">
        <v>44</v>
      </c>
      <c r="AI23" t="s">
        <v>66</v>
      </c>
      <c r="AJ23">
        <v>98117</v>
      </c>
      <c r="AS23" t="s">
        <v>316</v>
      </c>
      <c r="AT23">
        <v>19018885</v>
      </c>
      <c r="AU23" s="12">
        <v>39495</v>
      </c>
      <c r="BB23" t="s">
        <v>912</v>
      </c>
      <c r="BC23" s="7">
        <v>39413</v>
      </c>
      <c r="BG23">
        <v>82</v>
      </c>
      <c r="BH23" s="17">
        <f t="shared" ca="1" si="0"/>
        <v>114</v>
      </c>
      <c r="BI23" s="17"/>
      <c r="BJ23" s="17"/>
    </row>
    <row r="24" spans="1:63" hidden="1">
      <c r="A24">
        <v>27215594</v>
      </c>
      <c r="B24" s="15" t="str">
        <f>HYPERLINK("http://www.windermere.com/index.cfm?fuseaction=Listing.ListingDetail&amp;ListingID=19127481","Subject To Inspection")</f>
        <v>Subject To Inspection</v>
      </c>
      <c r="D24" t="s">
        <v>60</v>
      </c>
      <c r="E24" t="s">
        <v>389</v>
      </c>
      <c r="F24" s="10">
        <v>319950</v>
      </c>
      <c r="G24" t="s">
        <v>147</v>
      </c>
      <c r="H24" s="1">
        <v>1088</v>
      </c>
      <c r="J24">
        <v>2</v>
      </c>
      <c r="K24">
        <v>2.5</v>
      </c>
      <c r="M24" s="2" t="str">
        <f>HYPERLINK("http://www.windermere.com/index.cfm?fuseaction=Listing.MapPropertyInteractive&amp;ListingID=19127481&amp;resize=true&amp;windowWidth=800&amp;windowHeight=600","Map")</f>
        <v>Map</v>
      </c>
      <c r="O24" s="2" t="str">
        <f>HYPERLINK("http://www.windermere.com/index.cfm?fuseaction=viewGallery.Home&amp;customTourID=203089&amp;wvt=0","More")</f>
        <v>More</v>
      </c>
      <c r="AI24" t="s">
        <v>66</v>
      </c>
      <c r="AJ24">
        <v>98103</v>
      </c>
      <c r="AS24" t="s">
        <v>390</v>
      </c>
      <c r="AT24">
        <v>19127481</v>
      </c>
      <c r="AU24" s="12">
        <v>39495</v>
      </c>
      <c r="BB24" t="s">
        <v>912</v>
      </c>
      <c r="BC24" s="7">
        <v>39442</v>
      </c>
      <c r="BG24">
        <v>53</v>
      </c>
      <c r="BH24" s="17">
        <f t="shared" ca="1" si="0"/>
        <v>85</v>
      </c>
      <c r="BI24" s="17"/>
      <c r="BJ24" s="17"/>
    </row>
    <row r="25" spans="1:63" hidden="1">
      <c r="A25">
        <v>28024017</v>
      </c>
      <c r="B25" s="2" t="str">
        <f>HYPERLINK("http://www.windermere.com/index.cfm?fuseaction=Listing.ListingDetail&amp;ListingID=19343180","Active")</f>
        <v>Active</v>
      </c>
      <c r="D25" t="s">
        <v>99</v>
      </c>
      <c r="E25" t="s">
        <v>387</v>
      </c>
      <c r="F25" s="10">
        <v>319950</v>
      </c>
      <c r="G25" t="s">
        <v>156</v>
      </c>
      <c r="H25">
        <v>840</v>
      </c>
      <c r="I25">
        <v>8407</v>
      </c>
      <c r="J25">
        <v>2</v>
      </c>
      <c r="K25">
        <v>1</v>
      </c>
      <c r="M25" s="2" t="str">
        <f>HYPERLINK("http://www.windermere.com/index.cfm?fuseaction=Listing.MapPropertyInteractive&amp;ListingID=19343180&amp;resize=true&amp;windowWidth=800&amp;windowHeight=600","Map")</f>
        <v>Map</v>
      </c>
      <c r="O25" s="2" t="str">
        <f>HYPERLINK("http://www.windermere.com/index.cfm?fuseaction=Listing.MultiImageViewer&amp;ListingID=19343180&amp;ln=28024017&amp;pub_mls=1","More")</f>
        <v>More</v>
      </c>
      <c r="AI25" t="s">
        <v>66</v>
      </c>
      <c r="AJ25">
        <v>98177</v>
      </c>
      <c r="AS25" t="s">
        <v>388</v>
      </c>
      <c r="AT25">
        <v>19343180</v>
      </c>
      <c r="AU25" s="12">
        <v>39495</v>
      </c>
      <c r="BB25" t="s">
        <v>912</v>
      </c>
      <c r="BC25" s="7">
        <v>39486</v>
      </c>
      <c r="BG25">
        <v>9</v>
      </c>
      <c r="BH25" s="17">
        <f t="shared" ca="1" si="0"/>
        <v>41</v>
      </c>
      <c r="BI25" s="17"/>
      <c r="BJ25" s="17"/>
    </row>
    <row r="26" spans="1:63" hidden="1">
      <c r="A26">
        <v>28027404</v>
      </c>
      <c r="B26" s="2" t="str">
        <f>HYPERLINK("http://www.windermere.com/index.cfm?fuseaction=Listing.ListingDetail&amp;ListingID=19372503","Subject To Inspection")</f>
        <v>Subject To Inspection</v>
      </c>
      <c r="D26" t="s">
        <v>60</v>
      </c>
      <c r="E26" t="s">
        <v>391</v>
      </c>
      <c r="F26" s="10">
        <v>319950</v>
      </c>
      <c r="G26" t="s">
        <v>147</v>
      </c>
      <c r="H26" s="1">
        <v>1088</v>
      </c>
      <c r="J26">
        <v>2</v>
      </c>
      <c r="K26">
        <v>2.5</v>
      </c>
      <c r="M26" s="2" t="str">
        <f>HYPERLINK("http://www.windermere.com/index.cfm?fuseaction=Listing.MapPropertyInteractive&amp;ListingID=19372503&amp;resize=true&amp;windowWidth=800&amp;windowHeight=600","Map")</f>
        <v>Map</v>
      </c>
      <c r="AI26" t="s">
        <v>66</v>
      </c>
      <c r="AJ26">
        <v>98103</v>
      </c>
      <c r="AS26" t="s">
        <v>392</v>
      </c>
      <c r="AT26">
        <v>19372503</v>
      </c>
      <c r="AU26" s="12">
        <v>39495</v>
      </c>
      <c r="BB26" t="s">
        <v>912</v>
      </c>
      <c r="BC26" s="7">
        <v>39492</v>
      </c>
      <c r="BG26">
        <v>3</v>
      </c>
      <c r="BH26" s="17">
        <f t="shared" ca="1" si="0"/>
        <v>35</v>
      </c>
      <c r="BI26" s="17"/>
      <c r="BJ26" s="17"/>
      <c r="BK26" t="str">
        <f>B26</f>
        <v>Subject To Inspection</v>
      </c>
    </row>
    <row r="27" spans="1:63" hidden="1">
      <c r="A27">
        <v>27213367</v>
      </c>
      <c r="B27" s="2" t="str">
        <f>HYPERLINK("http://www.windermere.com/index.cfm?fuseaction=Listing.ListingDetail&amp;ListingID=19100576","Active")</f>
        <v>Active</v>
      </c>
      <c r="D27" t="s">
        <v>968</v>
      </c>
      <c r="E27" t="s">
        <v>1096</v>
      </c>
      <c r="F27" s="10">
        <v>320000</v>
      </c>
      <c r="G27" t="s">
        <v>146</v>
      </c>
      <c r="H27">
        <v>700</v>
      </c>
      <c r="I27">
        <v>5753</v>
      </c>
      <c r="J27">
        <v>2</v>
      </c>
      <c r="K27">
        <v>1</v>
      </c>
      <c r="M27" s="2" t="str">
        <f>HYPERLINK("http://www.windermere.com/index.cfm?fuseaction=Listing.MapPropertyInteractive&amp;ListingID=19100576&amp;resize=true&amp;windowWidth=800&amp;windowHeight=600","Map")</f>
        <v>Map</v>
      </c>
      <c r="O27" s="2" t="str">
        <f>HYPERLINK("http://www.windermere.com/index.cfm?fuseaction=Listing.MultiImageViewer&amp;ListingID=19100576&amp;ln=27213367&amp;pub_mls=1","More")</f>
        <v>More</v>
      </c>
      <c r="P27" t="s">
        <v>44</v>
      </c>
      <c r="AI27" t="s">
        <v>66</v>
      </c>
      <c r="AJ27">
        <v>98125</v>
      </c>
      <c r="AS27" t="s">
        <v>1097</v>
      </c>
      <c r="AT27">
        <v>19100576</v>
      </c>
      <c r="AU27" s="12">
        <v>39495</v>
      </c>
      <c r="BB27" t="s">
        <v>912</v>
      </c>
      <c r="BC27" s="7">
        <v>39431</v>
      </c>
      <c r="BG27">
        <v>64</v>
      </c>
      <c r="BH27" s="17">
        <f t="shared" ca="1" si="0"/>
        <v>96</v>
      </c>
      <c r="BI27" s="17"/>
      <c r="BJ27" s="17"/>
    </row>
    <row r="28" spans="1:63" hidden="1">
      <c r="A28">
        <v>28000989</v>
      </c>
      <c r="B28" s="2" t="str">
        <f>HYPERLINK("http://www.windermere.com/index.cfm?fuseaction=Listing.ListingDetail&amp;ListingID=19148570","Active")</f>
        <v>Active</v>
      </c>
      <c r="D28" t="s">
        <v>968</v>
      </c>
      <c r="E28" t="s">
        <v>1098</v>
      </c>
      <c r="F28" s="13">
        <v>315888</v>
      </c>
      <c r="G28" t="s">
        <v>147</v>
      </c>
      <c r="H28" s="1">
        <v>1335</v>
      </c>
      <c r="J28">
        <v>3</v>
      </c>
      <c r="K28">
        <v>3</v>
      </c>
      <c r="M28" s="2" t="str">
        <f>HYPERLINK("http://www.windermere.com/index.cfm?fuseaction=Listing.MapPropertyInteractive&amp;ListingID=19148570&amp;resize=true&amp;windowWidth=800&amp;windowHeight=600","Map")</f>
        <v>Map</v>
      </c>
      <c r="O28" s="2" t="str">
        <f>HYPERLINK("http://www.windermere.com/index.cfm?fuseaction=Listing.MultiImageViewer&amp;ListingID=19148570&amp;ln=28000989&amp;pub_mls=1","More")</f>
        <v>More</v>
      </c>
      <c r="AI28" t="s">
        <v>66</v>
      </c>
      <c r="AJ28">
        <v>98125</v>
      </c>
      <c r="AS28" t="s">
        <v>1099</v>
      </c>
      <c r="AT28">
        <v>19148570</v>
      </c>
      <c r="AU28" s="12">
        <v>39495</v>
      </c>
      <c r="BB28" t="s">
        <v>912</v>
      </c>
      <c r="BC28" s="7">
        <v>39449</v>
      </c>
      <c r="BG28">
        <v>46</v>
      </c>
      <c r="BH28" s="17">
        <f t="shared" ca="1" si="0"/>
        <v>78</v>
      </c>
      <c r="BI28" s="17"/>
      <c r="BJ28" s="17"/>
    </row>
    <row r="29" spans="1:63" hidden="1">
      <c r="A29">
        <v>27186819</v>
      </c>
      <c r="B29" s="2" t="str">
        <f>HYPERLINK("http://www.windermere.com/index.cfm?fuseaction=Listing.ListingDetail&amp;ListingID=18814919","Active")</f>
        <v>Active</v>
      </c>
      <c r="D29" t="s">
        <v>55</v>
      </c>
      <c r="E29" t="s">
        <v>393</v>
      </c>
      <c r="F29" s="10">
        <v>324950</v>
      </c>
      <c r="G29" t="s">
        <v>394</v>
      </c>
      <c r="H29">
        <v>840</v>
      </c>
      <c r="I29">
        <v>3844</v>
      </c>
      <c r="J29">
        <v>2</v>
      </c>
      <c r="K29">
        <v>1</v>
      </c>
      <c r="M29" s="2" t="str">
        <f>HYPERLINK("http://www.windermere.com/index.cfm?fuseaction=Listing.MapPropertyInteractive&amp;ListingID=18814919&amp;resize=true&amp;windowWidth=800&amp;windowHeight=600","Map")</f>
        <v>Map</v>
      </c>
      <c r="O29" s="2" t="str">
        <f>HYPERLINK("http://www.windermere.com/index.cfm?fuseaction=Listing.MultiImageViewer&amp;ListingID=18814919&amp;ln=27186819&amp;pub_mls=1","More")</f>
        <v>More</v>
      </c>
      <c r="AI29" t="s">
        <v>66</v>
      </c>
      <c r="AJ29">
        <v>98133</v>
      </c>
      <c r="AS29" t="s">
        <v>395</v>
      </c>
      <c r="AT29">
        <v>18814919</v>
      </c>
      <c r="AU29" s="12">
        <v>39495</v>
      </c>
      <c r="BB29" t="s">
        <v>912</v>
      </c>
      <c r="BC29" s="7">
        <v>39371</v>
      </c>
      <c r="BG29">
        <v>124</v>
      </c>
      <c r="BH29" s="17">
        <f t="shared" ca="1" si="0"/>
        <v>156</v>
      </c>
      <c r="BI29" s="17"/>
      <c r="BJ29" s="17"/>
    </row>
    <row r="30" spans="1:63" hidden="1">
      <c r="A30">
        <v>28007094</v>
      </c>
      <c r="B30" s="2" t="str">
        <f>HYPERLINK("http://www.windermere.com/index.cfm?fuseaction=Listing.ListingDetail&amp;ListingID=19216145","Active")</f>
        <v>Active</v>
      </c>
      <c r="D30" t="s">
        <v>199</v>
      </c>
      <c r="E30" t="s">
        <v>397</v>
      </c>
      <c r="F30" s="18">
        <v>310000</v>
      </c>
      <c r="G30" t="s">
        <v>132</v>
      </c>
      <c r="H30">
        <v>890</v>
      </c>
      <c r="I30">
        <v>5000</v>
      </c>
      <c r="J30">
        <v>2</v>
      </c>
      <c r="K30">
        <v>1</v>
      </c>
      <c r="M30" s="2" t="str">
        <f>HYPERLINK("http://www.windermere.com/index.cfm?fuseaction=Listing.MapPropertyInteractive&amp;ListingID=19216145&amp;resize=true&amp;windowWidth=800&amp;windowHeight=600","Map")</f>
        <v>Map</v>
      </c>
      <c r="O30" s="2" t="str">
        <f>HYPERLINK("http://www.windermere.com/index.cfm?fuseaction=Listing.MultiImageViewer&amp;ListingID=19216145&amp;ln=28007094&amp;pub_mls=1","More")</f>
        <v>More</v>
      </c>
      <c r="AI30" t="s">
        <v>66</v>
      </c>
      <c r="AJ30">
        <v>98125</v>
      </c>
      <c r="AS30" t="s">
        <v>398</v>
      </c>
      <c r="AT30">
        <v>19216145</v>
      </c>
      <c r="AU30" s="12">
        <v>39495</v>
      </c>
      <c r="BB30" t="s">
        <v>912</v>
      </c>
      <c r="BC30" s="7">
        <v>39459</v>
      </c>
      <c r="BG30">
        <v>36</v>
      </c>
      <c r="BH30" s="17">
        <f t="shared" ca="1" si="0"/>
        <v>68</v>
      </c>
      <c r="BI30" s="17"/>
      <c r="BJ30" s="17"/>
    </row>
    <row r="31" spans="1:63" hidden="1">
      <c r="A31">
        <v>28007357</v>
      </c>
      <c r="B31" s="2" t="str">
        <f>HYPERLINK("http://www.windermere.com/index.cfm?fuseaction=Listing.ListingDetail&amp;ListingID=19206462","Active")</f>
        <v>Active</v>
      </c>
      <c r="D31" t="s">
        <v>42</v>
      </c>
      <c r="E31" t="s">
        <v>399</v>
      </c>
      <c r="F31" s="13">
        <v>300000</v>
      </c>
      <c r="G31" t="s">
        <v>156</v>
      </c>
      <c r="H31">
        <v>850</v>
      </c>
      <c r="I31">
        <v>6800</v>
      </c>
      <c r="J31">
        <v>2</v>
      </c>
      <c r="K31">
        <v>1</v>
      </c>
      <c r="M31" s="2" t="str">
        <f>HYPERLINK("http://www.windermere.com/index.cfm?fuseaction=Listing.MapPropertyInteractive&amp;ListingID=19206462&amp;resize=true&amp;windowWidth=800&amp;windowHeight=600","Map")</f>
        <v>Map</v>
      </c>
      <c r="O31" s="2" t="str">
        <f>HYPERLINK("http://www.windermere.com/index.cfm?fuseaction=Listing.MultiImageViewer&amp;ListingID=19206462&amp;ln=28007357&amp;pub_mls=1","More")</f>
        <v>More</v>
      </c>
      <c r="AI31" t="s">
        <v>66</v>
      </c>
      <c r="AJ31">
        <v>98133</v>
      </c>
      <c r="AS31" t="s">
        <v>400</v>
      </c>
      <c r="AT31">
        <v>19206462</v>
      </c>
      <c r="AU31" s="12">
        <v>39495</v>
      </c>
      <c r="BB31" t="s">
        <v>912</v>
      </c>
      <c r="BC31" s="7">
        <v>39458</v>
      </c>
      <c r="BG31">
        <v>37</v>
      </c>
      <c r="BH31" s="17">
        <f t="shared" ca="1" si="0"/>
        <v>69</v>
      </c>
      <c r="BI31" s="17"/>
      <c r="BJ31" s="17"/>
    </row>
    <row r="32" spans="1:63" hidden="1">
      <c r="A32">
        <v>28025036</v>
      </c>
      <c r="B32" s="15" t="str">
        <f>HYPERLINK("http://www.windermere.com/index.cfm?fuseaction=Listing.ListingDetail&amp;ListingID=19356881","Subject To Inspection")</f>
        <v>Subject To Inspection</v>
      </c>
      <c r="D32" t="s">
        <v>55</v>
      </c>
      <c r="E32" t="s">
        <v>401</v>
      </c>
      <c r="F32" s="10">
        <v>325000</v>
      </c>
      <c r="G32" t="s">
        <v>379</v>
      </c>
      <c r="H32" s="1">
        <v>1150</v>
      </c>
      <c r="I32">
        <v>7650</v>
      </c>
      <c r="J32">
        <v>2</v>
      </c>
      <c r="K32">
        <v>1</v>
      </c>
      <c r="M32" s="2" t="str">
        <f>HYPERLINK("http://www.windermere.com/index.cfm?fuseaction=Listing.MapPropertyInteractive&amp;ListingID=19356881&amp;resize=true&amp;windowWidth=800&amp;windowHeight=600","Map")</f>
        <v>Map</v>
      </c>
      <c r="O32" s="2" t="str">
        <f>HYPERLINK("http://www.windermere.com/index.cfm?fuseaction=viewGallery.Home&amp;customTourID=207418&amp;wvt=0","More")</f>
        <v>More</v>
      </c>
      <c r="AI32" t="s">
        <v>66</v>
      </c>
      <c r="AJ32">
        <v>98133</v>
      </c>
      <c r="AS32" t="s">
        <v>402</v>
      </c>
      <c r="AT32">
        <v>19356881</v>
      </c>
      <c r="AU32" s="12">
        <v>39495</v>
      </c>
      <c r="BB32" t="s">
        <v>912</v>
      </c>
      <c r="BC32" s="7">
        <v>39490</v>
      </c>
      <c r="BG32">
        <v>5</v>
      </c>
      <c r="BH32" s="17">
        <f t="shared" ca="1" si="0"/>
        <v>37</v>
      </c>
      <c r="BI32" s="17"/>
      <c r="BJ32" s="17"/>
    </row>
    <row r="33" spans="1:63" hidden="1">
      <c r="A33">
        <v>27154939</v>
      </c>
      <c r="B33" s="2" t="str">
        <f>HYPERLINK("http://www.windermere.com/index.cfm?fuseaction=Listing.ListingDetail&amp;ListingID=18521282","Active")</f>
        <v>Active</v>
      </c>
      <c r="D33" t="s">
        <v>60</v>
      </c>
      <c r="E33" t="s">
        <v>412</v>
      </c>
      <c r="F33" s="10">
        <v>329000</v>
      </c>
      <c r="G33" t="s">
        <v>147</v>
      </c>
      <c r="J33">
        <v>2</v>
      </c>
      <c r="K33">
        <v>1.5</v>
      </c>
      <c r="M33" s="2" t="str">
        <f>HYPERLINK("http://www.windermere.com/index.cfm?fuseaction=Listing.MapPropertyInteractive&amp;ListingID=18521282&amp;resize=true&amp;windowWidth=800&amp;windowHeight=600","Map")</f>
        <v>Map</v>
      </c>
      <c r="O33" s="2" t="str">
        <f>HYPERLINK("http://www.windermere.com/index.cfm?fuseaction=Listing.MultiImageViewer&amp;ListingID=18521282&amp;ln=27154939&amp;pub_mls=1","More")</f>
        <v>More</v>
      </c>
      <c r="AI33" t="s">
        <v>66</v>
      </c>
      <c r="AJ33">
        <v>98103</v>
      </c>
      <c r="AS33" t="s">
        <v>413</v>
      </c>
      <c r="AT33">
        <v>18521282</v>
      </c>
      <c r="AU33" s="12">
        <v>39495</v>
      </c>
      <c r="BB33" t="s">
        <v>912</v>
      </c>
      <c r="BC33" s="7">
        <v>39319</v>
      </c>
      <c r="BD33">
        <v>3</v>
      </c>
      <c r="BE33" s="6" t="s">
        <v>1323</v>
      </c>
      <c r="BG33">
        <v>176</v>
      </c>
      <c r="BH33" s="17">
        <f t="shared" ca="1" si="0"/>
        <v>208</v>
      </c>
      <c r="BI33" s="17"/>
      <c r="BJ33" s="17"/>
    </row>
    <row r="34" spans="1:63" hidden="1">
      <c r="A34">
        <v>27169639</v>
      </c>
      <c r="B34" s="2" t="str">
        <f>HYPERLINK("http://www.windermere.com/index.cfm?fuseaction=Listing.ListingDetail&amp;ListingID=18645969","Active")</f>
        <v>Active</v>
      </c>
      <c r="D34" t="s">
        <v>60</v>
      </c>
      <c r="E34" t="s">
        <v>408</v>
      </c>
      <c r="F34" s="10">
        <v>329000</v>
      </c>
      <c r="G34" t="s">
        <v>147</v>
      </c>
      <c r="J34">
        <v>2</v>
      </c>
      <c r="K34">
        <v>1.5</v>
      </c>
      <c r="M34" s="2" t="str">
        <f>HYPERLINK("http://www.windermere.com/index.cfm?fuseaction=Listing.MapPropertyInteractive&amp;ListingID=18645969&amp;resize=true&amp;windowWidth=800&amp;windowHeight=600","Map")</f>
        <v>Map</v>
      </c>
      <c r="O34" s="2" t="str">
        <f>HYPERLINK("http://www.windermere.com/index.cfm?fuseaction=Listing.MultiImageViewer&amp;ListingID=18645969&amp;ln=27169639&amp;pub_mls=1","More")</f>
        <v>More</v>
      </c>
      <c r="AI34" t="s">
        <v>66</v>
      </c>
      <c r="AJ34">
        <v>98103</v>
      </c>
      <c r="AS34" t="s">
        <v>409</v>
      </c>
      <c r="AT34">
        <v>18645969</v>
      </c>
      <c r="AU34" s="12">
        <v>39495</v>
      </c>
      <c r="BB34" t="s">
        <v>912</v>
      </c>
      <c r="BC34" s="7">
        <v>39340</v>
      </c>
      <c r="BG34">
        <v>155</v>
      </c>
      <c r="BH34" s="17">
        <f t="shared" ca="1" si="0"/>
        <v>187</v>
      </c>
      <c r="BI34" s="17"/>
      <c r="BJ34" s="17"/>
    </row>
    <row r="35" spans="1:63" hidden="1">
      <c r="A35">
        <v>27169642</v>
      </c>
      <c r="B35" s="4" t="str">
        <f>HYPERLINK("http://www.windermere.com/index.cfm?fuseaction=Listing.ListingDetail&amp;ListingID=18645976","Subject To Inspection")</f>
        <v>Subject To Inspection</v>
      </c>
      <c r="D35" t="s">
        <v>60</v>
      </c>
      <c r="E35" t="s">
        <v>406</v>
      </c>
      <c r="F35" s="10">
        <v>329000</v>
      </c>
      <c r="G35" t="s">
        <v>147</v>
      </c>
      <c r="J35">
        <v>2</v>
      </c>
      <c r="K35">
        <v>1.5</v>
      </c>
      <c r="M35" s="2" t="str">
        <f>HYPERLINK("http://www.windermere.com/index.cfm?fuseaction=Listing.MapPropertyInteractive&amp;ListingID=18645976&amp;resize=true&amp;windowWidth=800&amp;windowHeight=600","Map")</f>
        <v>Map</v>
      </c>
      <c r="O35" s="2" t="str">
        <f>HYPERLINK("http://www.windermere.com/index.cfm?fuseaction=Listing.MultiImageViewer&amp;ListingID=18645976&amp;ln=27169642&amp;pub_mls=1","More")</f>
        <v>More</v>
      </c>
      <c r="AI35" t="s">
        <v>66</v>
      </c>
      <c r="AJ35">
        <v>98103</v>
      </c>
      <c r="AS35" t="s">
        <v>407</v>
      </c>
      <c r="AT35">
        <v>18645976</v>
      </c>
      <c r="AU35" s="12">
        <v>39495</v>
      </c>
      <c r="BB35" t="s">
        <v>912</v>
      </c>
      <c r="BC35" s="7">
        <v>39340</v>
      </c>
      <c r="BG35">
        <v>155</v>
      </c>
      <c r="BH35" s="17">
        <f t="shared" ca="1" si="0"/>
        <v>187</v>
      </c>
      <c r="BI35" s="17"/>
      <c r="BJ35" s="17"/>
    </row>
    <row r="36" spans="1:63" hidden="1">
      <c r="A36">
        <v>27190986</v>
      </c>
      <c r="B36" s="2" t="str">
        <f>HYPERLINK("http://www.windermere.com/index.cfm?fuseaction=Listing.ListingDetail&amp;ListingID=18854105","Active")</f>
        <v>Active</v>
      </c>
      <c r="D36" t="s">
        <v>60</v>
      </c>
      <c r="E36" t="s">
        <v>410</v>
      </c>
      <c r="F36" s="10">
        <v>329000</v>
      </c>
      <c r="G36" t="s">
        <v>147</v>
      </c>
      <c r="J36">
        <v>2</v>
      </c>
      <c r="K36">
        <v>1.5</v>
      </c>
      <c r="M36" s="2" t="str">
        <f>HYPERLINK("http://www.windermere.com/index.cfm?fuseaction=Listing.MapPropertyInteractive&amp;ListingID=18854105&amp;resize=true&amp;windowWidth=800&amp;windowHeight=600","Map")</f>
        <v>Map</v>
      </c>
      <c r="O36" s="2" t="str">
        <f>HYPERLINK("http://www.windermere.com/index.cfm?fuseaction=Listing.MultiImageViewer&amp;ListingID=18854105&amp;ln=27190986&amp;pub_mls=1","More")</f>
        <v>More</v>
      </c>
      <c r="AI36" t="s">
        <v>66</v>
      </c>
      <c r="AJ36">
        <v>98103</v>
      </c>
      <c r="AS36" t="s">
        <v>411</v>
      </c>
      <c r="AT36">
        <v>18854105</v>
      </c>
      <c r="AU36" s="12">
        <v>39495</v>
      </c>
      <c r="BB36" t="s">
        <v>912</v>
      </c>
      <c r="BC36" s="7">
        <v>39378</v>
      </c>
      <c r="BG36">
        <v>117</v>
      </c>
      <c r="BH36" s="17">
        <f t="shared" ca="1" si="0"/>
        <v>149</v>
      </c>
      <c r="BI36" s="17"/>
      <c r="BJ36" s="17"/>
    </row>
    <row r="37" spans="1:63" hidden="1">
      <c r="A37">
        <v>28014016</v>
      </c>
      <c r="B37" s="2" t="str">
        <f>HYPERLINK("http://www.windermere.com/index.cfm?fuseaction=Listing.ListingDetail&amp;ListingID=19265907","Active")</f>
        <v>Active</v>
      </c>
      <c r="D37" t="s">
        <v>63</v>
      </c>
      <c r="E37" t="s">
        <v>325</v>
      </c>
      <c r="F37" s="10">
        <v>329000</v>
      </c>
      <c r="G37" t="s">
        <v>147</v>
      </c>
      <c r="H37" s="1">
        <v>1200</v>
      </c>
      <c r="J37">
        <v>2</v>
      </c>
      <c r="K37">
        <v>2.5</v>
      </c>
      <c r="M37" s="2" t="str">
        <f>HYPERLINK("http://www.windermere.com/index.cfm?fuseaction=Listing.MapPropertyInteractive&amp;ListingID=19265907&amp;resize=true&amp;windowWidth=800&amp;windowHeight=600","Map")</f>
        <v>Map</v>
      </c>
      <c r="O37" s="2" t="str">
        <f>HYPERLINK("http://www.windermere.com/index.cfm?fuseaction=Listing.MultiImageViewer&amp;ListingID=19265907&amp;ln=28014016&amp;pub_mls=1","More")</f>
        <v>More</v>
      </c>
      <c r="P37" t="s">
        <v>44</v>
      </c>
      <c r="AI37" t="s">
        <v>66</v>
      </c>
      <c r="AJ37">
        <v>98117</v>
      </c>
      <c r="AS37" t="s">
        <v>326</v>
      </c>
      <c r="AT37">
        <v>19265907</v>
      </c>
      <c r="AU37" s="12">
        <v>39495</v>
      </c>
      <c r="BB37" t="s">
        <v>912</v>
      </c>
      <c r="BC37" s="7">
        <v>39470</v>
      </c>
      <c r="BG37">
        <v>25</v>
      </c>
      <c r="BH37" s="17">
        <f t="shared" ca="1" si="0"/>
        <v>57</v>
      </c>
      <c r="BI37" s="17"/>
      <c r="BJ37" s="17"/>
    </row>
    <row r="38" spans="1:63" hidden="1">
      <c r="A38">
        <v>28006018</v>
      </c>
      <c r="B38" s="4" t="str">
        <f>HYPERLINK("http://www.windermere.com/index.cfm?fuseaction=Listing.ListingDetail&amp;ListingID=19192648","Subject To Inspection")</f>
        <v>Subject To Inspection</v>
      </c>
      <c r="D38" t="s">
        <v>184</v>
      </c>
      <c r="E38" t="s">
        <v>414</v>
      </c>
      <c r="F38" s="13">
        <v>309950</v>
      </c>
      <c r="G38" t="s">
        <v>168</v>
      </c>
      <c r="I38">
        <v>6604</v>
      </c>
      <c r="J38">
        <v>3</v>
      </c>
      <c r="K38">
        <v>1.5</v>
      </c>
      <c r="M38" s="2" t="str">
        <f>HYPERLINK("http://www.windermere.com/index.cfm?fuseaction=Listing.MapPropertyInteractive&amp;ListingID=19192648&amp;resize=true&amp;windowWidth=800&amp;windowHeight=600","Map")</f>
        <v>Map</v>
      </c>
      <c r="O38" s="2" t="str">
        <f>HYPERLINK("http://www.windermere.com/index.cfm?fuseaction=viewGallery.Home&amp;customTourID=193819&amp;wvt=0","More")</f>
        <v>More</v>
      </c>
      <c r="AI38" t="s">
        <v>66</v>
      </c>
      <c r="AJ38">
        <v>98125</v>
      </c>
      <c r="AS38" t="s">
        <v>415</v>
      </c>
      <c r="AT38">
        <v>19192648</v>
      </c>
      <c r="AU38" s="12">
        <v>39495</v>
      </c>
      <c r="BB38" t="s">
        <v>912</v>
      </c>
      <c r="BC38" s="7">
        <v>39457</v>
      </c>
      <c r="BG38">
        <v>38</v>
      </c>
      <c r="BH38" s="17">
        <f t="shared" ca="1" si="0"/>
        <v>70</v>
      </c>
      <c r="BI38" s="17"/>
      <c r="BJ38" s="17"/>
    </row>
    <row r="39" spans="1:63" hidden="1">
      <c r="A39">
        <v>28016250</v>
      </c>
      <c r="B39" s="2" t="str">
        <f>HYPERLINK("http://www.windermere.com/index.cfm?fuseaction=Listing.ListingDetail&amp;ListingID=19291015","Active")</f>
        <v>Active</v>
      </c>
      <c r="D39" t="s">
        <v>42</v>
      </c>
      <c r="E39" t="s">
        <v>416</v>
      </c>
      <c r="F39" s="10">
        <v>332000</v>
      </c>
      <c r="G39" t="s">
        <v>147</v>
      </c>
      <c r="H39" s="1">
        <v>1471</v>
      </c>
      <c r="J39">
        <v>3</v>
      </c>
      <c r="K39">
        <v>2.5</v>
      </c>
      <c r="M39" s="2" t="str">
        <f>HYPERLINK("http://www.windermere.com/index.cfm?fuseaction=Listing.MapPropertyInteractive&amp;ListingID=19291015&amp;resize=true&amp;windowWidth=800&amp;windowHeight=600","Map")</f>
        <v>Map</v>
      </c>
      <c r="O39" s="2" t="str">
        <f>HYPERLINK("http://www.windermere.com/index.cfm?fuseaction=Listing.MultiImageViewer&amp;ListingID=19291015&amp;ln=28016250&amp;pub_mls=1","More")</f>
        <v>More</v>
      </c>
      <c r="AI39" t="s">
        <v>66</v>
      </c>
      <c r="AJ39">
        <v>98296</v>
      </c>
      <c r="AS39" t="s">
        <v>417</v>
      </c>
      <c r="AT39">
        <v>19291015</v>
      </c>
      <c r="AU39" s="12">
        <v>39495</v>
      </c>
      <c r="BB39" t="s">
        <v>912</v>
      </c>
      <c r="BC39" s="7">
        <v>39475</v>
      </c>
      <c r="BG39">
        <v>20</v>
      </c>
      <c r="BH39" s="17">
        <f t="shared" ca="1" si="0"/>
        <v>52</v>
      </c>
      <c r="BI39" s="17"/>
      <c r="BJ39" s="17"/>
    </row>
    <row r="40" spans="1:63" hidden="1">
      <c r="A40">
        <v>28024275</v>
      </c>
      <c r="B40" s="2" t="str">
        <f>HYPERLINK("http://www.windermere.com/index.cfm?fuseaction=Listing.ListingDetail&amp;ListingID=19349709","Active")</f>
        <v>Active</v>
      </c>
      <c r="D40" t="s">
        <v>66</v>
      </c>
      <c r="E40" t="s">
        <v>418</v>
      </c>
      <c r="F40" s="13">
        <v>324900</v>
      </c>
      <c r="G40" t="s">
        <v>419</v>
      </c>
      <c r="H40">
        <v>960</v>
      </c>
      <c r="J40">
        <v>3</v>
      </c>
      <c r="K40">
        <v>1</v>
      </c>
      <c r="M40" s="2" t="str">
        <f>HYPERLINK("http://www.windermere.com/index.cfm?fuseaction=Listing.MapPropertyInteractive&amp;ListingID=19349709&amp;resize=true&amp;windowWidth=800&amp;windowHeight=600","Map")</f>
        <v>Map</v>
      </c>
      <c r="O40" s="2" t="str">
        <f>HYPERLINK("http://www.windermere.com/index.cfm?fuseaction=Listing.MultiImageViewer&amp;ListingID=19349709&amp;ln=28024275&amp;pub_mls=1","More")</f>
        <v>More</v>
      </c>
      <c r="AI40" t="s">
        <v>396</v>
      </c>
      <c r="AJ40">
        <v>98133</v>
      </c>
      <c r="AS40" t="s">
        <v>420</v>
      </c>
      <c r="AT40">
        <v>19349709</v>
      </c>
      <c r="AU40" s="12">
        <v>39495</v>
      </c>
      <c r="BB40" t="s">
        <v>912</v>
      </c>
      <c r="BC40" s="7">
        <v>39488</v>
      </c>
      <c r="BD40">
        <v>4</v>
      </c>
      <c r="BE40" t="s">
        <v>1436</v>
      </c>
      <c r="BF40" t="s">
        <v>1345</v>
      </c>
      <c r="BG40">
        <v>7</v>
      </c>
      <c r="BH40" s="17">
        <f t="shared" ca="1" si="0"/>
        <v>39</v>
      </c>
      <c r="BI40" s="17"/>
      <c r="BJ40" s="17"/>
    </row>
    <row r="41" spans="1:63" hidden="1">
      <c r="A41">
        <v>27202509</v>
      </c>
      <c r="B41" s="4" t="str">
        <f>HYPERLINK("http://www.windermere.com/index.cfm?fuseaction=Listing.ListingDetail&amp;ListingID=18979832","Subject To Inspection")</f>
        <v>Subject To Inspection</v>
      </c>
      <c r="D41" t="s">
        <v>60</v>
      </c>
      <c r="E41" t="s">
        <v>423</v>
      </c>
      <c r="F41" s="10">
        <v>335000</v>
      </c>
      <c r="G41" t="s">
        <v>424</v>
      </c>
      <c r="H41" s="1">
        <v>1260</v>
      </c>
      <c r="J41">
        <v>2</v>
      </c>
      <c r="K41">
        <v>1.5</v>
      </c>
      <c r="M41" s="2" t="str">
        <f>HYPERLINK("http://www.windermere.com/index.cfm?fuseaction=Listing.MapPropertyInteractive&amp;ListingID=18979832&amp;resize=true&amp;windowWidth=800&amp;windowHeight=600","Map")</f>
        <v>Map</v>
      </c>
      <c r="O41" s="2" t="str">
        <f>HYPERLINK("http://www.windermere.com/index.cfm?fuseaction=Listing.MultiImageViewer&amp;ListingID=18979832&amp;ln=27202509&amp;pub_mls=1","More")</f>
        <v>More</v>
      </c>
      <c r="P41" t="s">
        <v>44</v>
      </c>
      <c r="AI41" t="s">
        <v>66</v>
      </c>
      <c r="AJ41">
        <v>98103</v>
      </c>
      <c r="AS41" t="s">
        <v>425</v>
      </c>
      <c r="AT41">
        <v>18979832</v>
      </c>
      <c r="AU41" s="12">
        <v>39495</v>
      </c>
      <c r="BB41" t="s">
        <v>912</v>
      </c>
      <c r="BC41" s="7">
        <v>39401</v>
      </c>
      <c r="BG41">
        <v>94</v>
      </c>
      <c r="BH41" s="17">
        <f t="shared" ca="1" si="0"/>
        <v>126</v>
      </c>
      <c r="BI41" s="17"/>
      <c r="BJ41" s="17"/>
    </row>
    <row r="42" spans="1:63" hidden="1">
      <c r="A42">
        <v>28010709</v>
      </c>
      <c r="B42" s="15" t="str">
        <f>HYPERLINK("http://www.windermere.com/index.cfm?fuseaction=Listing.ListingDetail&amp;ListingID=19489538","Active")</f>
        <v>Active</v>
      </c>
      <c r="D42" t="s">
        <v>42</v>
      </c>
      <c r="E42" t="s">
        <v>421</v>
      </c>
      <c r="F42" s="13">
        <v>330000</v>
      </c>
      <c r="G42" t="s">
        <v>161</v>
      </c>
      <c r="H42" s="1">
        <v>1020</v>
      </c>
      <c r="I42">
        <v>7863</v>
      </c>
      <c r="J42">
        <v>2</v>
      </c>
      <c r="K42">
        <v>1</v>
      </c>
      <c r="M42" s="2" t="str">
        <f>HYPERLINK("http://www.windermere.com/index.cfm?fuseaction=Listing.MapPropertyInteractive&amp;ListingID=19489538&amp;resize=true&amp;windowWidth=800&amp;windowHeight=600","Map")</f>
        <v>Map</v>
      </c>
      <c r="O42" s="2" t="str">
        <f>HYPERLINK("http://www.windermere.com/index.cfm?fuseaction=Listing.MultiImageViewer&amp;ListingID=19489538&amp;ln=28010709&amp;pub_mls=1","More")</f>
        <v>More</v>
      </c>
      <c r="P42" t="s">
        <v>44</v>
      </c>
      <c r="AI42" t="s">
        <v>66</v>
      </c>
      <c r="AJ42">
        <v>98133</v>
      </c>
      <c r="AS42" s="3" t="s">
        <v>1704</v>
      </c>
      <c r="AT42" s="3">
        <v>19489538</v>
      </c>
      <c r="AU42" s="12">
        <v>39495</v>
      </c>
      <c r="BB42" t="s">
        <v>912</v>
      </c>
      <c r="BC42" s="7">
        <v>39465</v>
      </c>
      <c r="BG42">
        <v>30</v>
      </c>
      <c r="BH42" s="17">
        <f t="shared" ca="1" si="0"/>
        <v>62</v>
      </c>
      <c r="BI42" s="17"/>
      <c r="BJ42" s="17"/>
      <c r="BK42" t="str">
        <f>B42</f>
        <v>Active</v>
      </c>
    </row>
    <row r="43" spans="1:63" hidden="1">
      <c r="A43">
        <v>28005412</v>
      </c>
      <c r="B43" s="15" t="str">
        <f>HYPERLINK("http://www.windermere.com/index.cfm?fuseaction=Listing.ListingDetail&amp;ListingID=19183393","Subject To Inspection")</f>
        <v>Subject To Inspection</v>
      </c>
      <c r="D43" t="s">
        <v>202</v>
      </c>
      <c r="E43" t="s">
        <v>426</v>
      </c>
      <c r="F43" s="10">
        <v>336000</v>
      </c>
      <c r="G43" t="s">
        <v>162</v>
      </c>
      <c r="I43">
        <v>6525</v>
      </c>
      <c r="J43">
        <v>2</v>
      </c>
      <c r="K43">
        <v>1</v>
      </c>
      <c r="M43" s="2" t="str">
        <f>HYPERLINK("http://www.windermere.com/index.cfm?fuseaction=Listing.MapPropertyInteractive&amp;ListingID=19183393&amp;resize=true&amp;windowWidth=800&amp;windowHeight=600","Map")</f>
        <v>Map</v>
      </c>
      <c r="O43" s="2" t="str">
        <f>HYPERLINK("http://www.windermere.com/index.cfm?fuseaction=viewGallery.Home&amp;customTourID=203879&amp;wvt=0","More")</f>
        <v>More</v>
      </c>
      <c r="AI43" t="s">
        <v>66</v>
      </c>
      <c r="AJ43">
        <v>98125</v>
      </c>
      <c r="AS43" t="s">
        <v>427</v>
      </c>
      <c r="AT43">
        <v>19183393</v>
      </c>
      <c r="AU43" s="12">
        <v>39495</v>
      </c>
      <c r="BB43" t="s">
        <v>912</v>
      </c>
      <c r="BC43" s="7">
        <v>39456</v>
      </c>
      <c r="BE43" t="s">
        <v>1349</v>
      </c>
      <c r="BG43">
        <v>39</v>
      </c>
      <c r="BH43" s="17">
        <f t="shared" ca="1" si="0"/>
        <v>71</v>
      </c>
      <c r="BI43" s="17"/>
      <c r="BJ43" s="17"/>
      <c r="BK43" s="16" t="str">
        <f>B43</f>
        <v>Subject To Inspection</v>
      </c>
    </row>
    <row r="44" spans="1:63" hidden="1">
      <c r="A44">
        <v>27205518</v>
      </c>
      <c r="B44" s="2" t="str">
        <f>HYPERLINK("http://www.windermere.com/index.cfm?fuseaction=Listing.ListingDetail&amp;ListingID=19408389","Active")</f>
        <v>Active</v>
      </c>
      <c r="D44" t="s">
        <v>60</v>
      </c>
      <c r="E44" t="s">
        <v>428</v>
      </c>
      <c r="F44" s="10">
        <v>338900</v>
      </c>
      <c r="G44" t="s">
        <v>128</v>
      </c>
      <c r="H44" s="1">
        <v>1200</v>
      </c>
      <c r="J44">
        <v>2</v>
      </c>
      <c r="K44">
        <v>1.5</v>
      </c>
      <c r="M44" s="2" t="str">
        <f>HYPERLINK("http://www.windermere.com/index.cfm?fuseaction=Listing.MapPropertyInteractive&amp;ListingID=19408389&amp;resize=true&amp;windowWidth=800&amp;windowHeight=600","Map")</f>
        <v>Map</v>
      </c>
      <c r="O44" s="2" t="str">
        <f>HYPERLINK("http://www.windermere.com/index.cfm?fuseaction=Listing.MultiImageViewer&amp;ListingID=19408389&amp;ln=27205518&amp;pub_mls=1","More")</f>
        <v>More</v>
      </c>
      <c r="AI44" t="s">
        <v>66</v>
      </c>
      <c r="AJ44">
        <v>98103</v>
      </c>
      <c r="AS44" s="19" t="s">
        <v>1456</v>
      </c>
      <c r="AT44" s="19">
        <v>19408389</v>
      </c>
      <c r="AU44" s="12">
        <v>39495</v>
      </c>
      <c r="BB44" t="s">
        <v>912</v>
      </c>
      <c r="BC44" s="7">
        <v>39410</v>
      </c>
      <c r="BG44">
        <v>85</v>
      </c>
      <c r="BH44" s="17">
        <f t="shared" ca="1" si="0"/>
        <v>117</v>
      </c>
      <c r="BI44" s="17"/>
      <c r="BJ44" s="17"/>
    </row>
    <row r="45" spans="1:63" hidden="1">
      <c r="A45">
        <v>27154929</v>
      </c>
      <c r="B45" s="2" t="str">
        <f>HYPERLINK("http://www.windermere.com/index.cfm?fuseaction=Listing.ListingDetail&amp;ListingID=18521283","Subject To Inspection")</f>
        <v>Subject To Inspection</v>
      </c>
      <c r="D45" t="s">
        <v>60</v>
      </c>
      <c r="E45" t="s">
        <v>431</v>
      </c>
      <c r="F45" s="10">
        <v>339000</v>
      </c>
      <c r="G45" t="s">
        <v>147</v>
      </c>
      <c r="J45">
        <v>2</v>
      </c>
      <c r="K45">
        <v>1.5</v>
      </c>
      <c r="M45" s="2" t="str">
        <f>HYPERLINK("http://www.windermere.com/index.cfm?fuseaction=Listing.MapPropertyInteractive&amp;ListingID=18521283&amp;resize=true&amp;windowWidth=800&amp;windowHeight=600","Map")</f>
        <v>Map</v>
      </c>
      <c r="O45" s="2" t="str">
        <f>HYPERLINK("http://www.windermere.com/index.cfm?fuseaction=Listing.MultiImageViewer&amp;ListingID=18521283&amp;ln=27154929&amp;pub_mls=1","More")</f>
        <v>More</v>
      </c>
      <c r="AI45" t="s">
        <v>66</v>
      </c>
      <c r="AJ45">
        <v>98103</v>
      </c>
      <c r="AS45" t="s">
        <v>432</v>
      </c>
      <c r="AT45">
        <v>18521283</v>
      </c>
      <c r="AU45" s="12">
        <v>39495</v>
      </c>
      <c r="BB45" t="s">
        <v>912</v>
      </c>
      <c r="BC45" s="7">
        <v>39319</v>
      </c>
      <c r="BD45">
        <v>3</v>
      </c>
      <c r="BE45" s="6" t="s">
        <v>1323</v>
      </c>
      <c r="BG45">
        <v>176</v>
      </c>
      <c r="BH45" s="17">
        <f t="shared" ca="1" si="0"/>
        <v>208</v>
      </c>
      <c r="BI45" s="17"/>
      <c r="BJ45" s="17"/>
      <c r="BK45" t="str">
        <f>B45</f>
        <v>Subject To Inspection</v>
      </c>
    </row>
    <row r="46" spans="1:63" hidden="1">
      <c r="A46">
        <v>27184903</v>
      </c>
      <c r="B46" s="2" t="str">
        <f>HYPERLINK("http://www.windermere.com/index.cfm?fuseaction=Listing.ListingDetail&amp;ListingID=18799513","Active")</f>
        <v>Active</v>
      </c>
      <c r="D46" t="s">
        <v>55</v>
      </c>
      <c r="E46" t="s">
        <v>429</v>
      </c>
      <c r="F46" s="10">
        <v>339000</v>
      </c>
      <c r="G46" t="s">
        <v>147</v>
      </c>
      <c r="J46">
        <v>3</v>
      </c>
      <c r="K46">
        <v>1.5</v>
      </c>
      <c r="M46" s="2" t="str">
        <f>HYPERLINK("http://www.windermere.com/index.cfm?fuseaction=Listing.MapPropertyInteractive&amp;ListingID=18799513&amp;resize=true&amp;windowWidth=800&amp;windowHeight=600","Map")</f>
        <v>Map</v>
      </c>
      <c r="O46" s="2" t="str">
        <f>HYPERLINK("http://www.windermere.com/index.cfm?fuseaction=Listing.MultiImageViewer&amp;ListingID=18799513&amp;ln=27184903&amp;pub_mls=1","More")</f>
        <v>More</v>
      </c>
      <c r="AI46" t="s">
        <v>66</v>
      </c>
      <c r="AJ46">
        <v>98133</v>
      </c>
      <c r="AS46" t="s">
        <v>430</v>
      </c>
      <c r="AT46">
        <v>18799513</v>
      </c>
      <c r="AU46" s="12">
        <v>39495</v>
      </c>
      <c r="BB46" t="s">
        <v>912</v>
      </c>
      <c r="BC46" s="7">
        <v>39367</v>
      </c>
      <c r="BG46">
        <v>128</v>
      </c>
      <c r="BH46" s="17">
        <f t="shared" ca="1" si="0"/>
        <v>160</v>
      </c>
      <c r="BI46" s="17"/>
      <c r="BJ46" s="17"/>
    </row>
    <row r="47" spans="1:63" hidden="1">
      <c r="A47">
        <v>28012906</v>
      </c>
      <c r="B47" s="2" t="str">
        <f>HYPERLINK("http://www.windermere.com/index.cfm?fuseaction=Listing.ListingDetail&amp;ListingID=19261837","Active")</f>
        <v>Active</v>
      </c>
      <c r="D47" t="s">
        <v>55</v>
      </c>
      <c r="E47" t="s">
        <v>433</v>
      </c>
      <c r="F47" s="10">
        <v>339000</v>
      </c>
      <c r="G47" t="s">
        <v>147</v>
      </c>
      <c r="J47">
        <v>3</v>
      </c>
      <c r="K47">
        <v>1.5</v>
      </c>
      <c r="M47" s="2" t="str">
        <f>HYPERLINK("http://www.windermere.com/index.cfm?fuseaction=Listing.MapPropertyInteractive&amp;ListingID=19261837&amp;resize=true&amp;windowWidth=800&amp;windowHeight=600","Map")</f>
        <v>Map</v>
      </c>
      <c r="O47" s="2" t="str">
        <f>HYPERLINK("http://www.windermere.com/index.cfm?fuseaction=Listing.MultiImageViewer&amp;ListingID=19261837&amp;ln=28012906&amp;pub_mls=1","More")</f>
        <v>More</v>
      </c>
      <c r="P47" t="s">
        <v>44</v>
      </c>
      <c r="AI47" t="s">
        <v>66</v>
      </c>
      <c r="AJ47">
        <v>98103</v>
      </c>
      <c r="AS47" t="s">
        <v>434</v>
      </c>
      <c r="AT47">
        <v>19261837</v>
      </c>
      <c r="AU47" s="12">
        <v>39495</v>
      </c>
      <c r="BB47" t="s">
        <v>912</v>
      </c>
      <c r="BC47" s="7">
        <v>39469</v>
      </c>
      <c r="BG47">
        <v>26</v>
      </c>
      <c r="BH47" s="17">
        <f t="shared" ca="1" si="0"/>
        <v>58</v>
      </c>
      <c r="BI47" s="17"/>
      <c r="BJ47" s="17"/>
    </row>
    <row r="48" spans="1:63" hidden="1">
      <c r="A48">
        <v>28016234</v>
      </c>
      <c r="B48" s="2" t="str">
        <f>HYPERLINK("http://www.windermere.com/index.cfm?fuseaction=Listing.ListingDetail&amp;ListingID=19293598","Active")</f>
        <v>Active</v>
      </c>
      <c r="D48" t="s">
        <v>42</v>
      </c>
      <c r="E48" t="s">
        <v>435</v>
      </c>
      <c r="F48" s="10">
        <v>339000</v>
      </c>
      <c r="G48" t="s">
        <v>147</v>
      </c>
      <c r="H48" s="1">
        <v>1471</v>
      </c>
      <c r="J48">
        <v>3</v>
      </c>
      <c r="K48">
        <v>2.5</v>
      </c>
      <c r="M48" s="2" t="str">
        <f>HYPERLINK("http://www.windermere.com/index.cfm?fuseaction=Listing.MapPropertyInteractive&amp;ListingID=19293598&amp;resize=true&amp;windowWidth=800&amp;windowHeight=600","Map")</f>
        <v>Map</v>
      </c>
      <c r="O48" s="2" t="str">
        <f>HYPERLINK("http://www.windermere.com/index.cfm?fuseaction=Listing.MultiImageViewer&amp;ListingID=19293598&amp;ln=28016234&amp;pub_mls=1","More")</f>
        <v>More</v>
      </c>
      <c r="AI48" t="s">
        <v>66</v>
      </c>
      <c r="AJ48">
        <v>98133</v>
      </c>
      <c r="AS48" t="s">
        <v>436</v>
      </c>
      <c r="AT48">
        <v>19293598</v>
      </c>
      <c r="AU48" s="12">
        <v>39495</v>
      </c>
      <c r="BB48" t="s">
        <v>912</v>
      </c>
      <c r="BC48" s="7">
        <v>39476</v>
      </c>
      <c r="BG48">
        <v>19</v>
      </c>
      <c r="BH48" s="17">
        <f t="shared" ca="1" si="0"/>
        <v>51</v>
      </c>
      <c r="BI48" s="17"/>
      <c r="BJ48" s="17"/>
    </row>
    <row r="49" spans="1:63" hidden="1">
      <c r="A49">
        <v>27202070</v>
      </c>
      <c r="B49" s="2" t="str">
        <f>HYPERLINK("http://www.windermere.com/index.cfm?fuseaction=Listing.ListingDetail&amp;ListingID=18978903","Active")</f>
        <v>Active</v>
      </c>
      <c r="D49" t="s">
        <v>920</v>
      </c>
      <c r="E49" t="s">
        <v>445</v>
      </c>
      <c r="F49" s="10">
        <v>339950</v>
      </c>
      <c r="G49" t="s">
        <v>137</v>
      </c>
      <c r="H49">
        <v>880</v>
      </c>
      <c r="I49">
        <v>6024</v>
      </c>
      <c r="J49">
        <v>2</v>
      </c>
      <c r="K49">
        <v>1</v>
      </c>
      <c r="M49" s="2" t="str">
        <f>HYPERLINK("http://www.windermere.com/index.cfm?fuseaction=Listing.MapPropertyInteractive&amp;ListingID=18978903&amp;resize=true&amp;windowWidth=800&amp;windowHeight=600","Map")</f>
        <v>Map</v>
      </c>
      <c r="O49" s="2" t="str">
        <f>HYPERLINK("http://www.windermere.com/index.cfm?fuseaction=viewGallery.Home&amp;customTourID=199286&amp;wvt=0","More")</f>
        <v>More</v>
      </c>
      <c r="P49" t="s">
        <v>44</v>
      </c>
      <c r="AI49" t="s">
        <v>66</v>
      </c>
      <c r="AJ49">
        <v>98133</v>
      </c>
      <c r="AS49" t="s">
        <v>446</v>
      </c>
      <c r="AT49">
        <v>18978903</v>
      </c>
      <c r="AU49" s="12">
        <v>39495</v>
      </c>
      <c r="BB49" t="s">
        <v>912</v>
      </c>
      <c r="BC49" s="7">
        <v>39401</v>
      </c>
      <c r="BG49">
        <v>94</v>
      </c>
      <c r="BH49" s="17">
        <f t="shared" ca="1" si="0"/>
        <v>126</v>
      </c>
      <c r="BI49" s="17"/>
      <c r="BJ49" s="17"/>
    </row>
    <row r="50" spans="1:63" hidden="1">
      <c r="A50">
        <v>27204669</v>
      </c>
      <c r="B50" s="2" t="str">
        <f>HYPERLINK("http://www.windermere.com/index.cfm?fuseaction=Listing.ListingDetail&amp;ListingID=19000289","Active")</f>
        <v>Active</v>
      </c>
      <c r="D50" t="s">
        <v>100</v>
      </c>
      <c r="E50" t="s">
        <v>439</v>
      </c>
      <c r="F50" s="13">
        <v>319950</v>
      </c>
      <c r="G50" t="s">
        <v>440</v>
      </c>
      <c r="H50">
        <v>820</v>
      </c>
      <c r="I50">
        <v>2500</v>
      </c>
      <c r="J50">
        <v>2</v>
      </c>
      <c r="K50">
        <v>1</v>
      </c>
      <c r="M50" s="2" t="str">
        <f>HYPERLINK("http://www.windermere.com/index.cfm?fuseaction=Listing.MapPropertyInteractive&amp;ListingID=19000289&amp;resize=true&amp;windowWidth=800&amp;windowHeight=600","Map")</f>
        <v>Map</v>
      </c>
      <c r="P50" t="s">
        <v>44</v>
      </c>
      <c r="AI50" t="s">
        <v>66</v>
      </c>
      <c r="AJ50">
        <v>98103</v>
      </c>
      <c r="AS50" t="s">
        <v>441</v>
      </c>
      <c r="AT50">
        <v>19000289</v>
      </c>
      <c r="AU50" s="12">
        <v>39495</v>
      </c>
      <c r="BB50" t="s">
        <v>912</v>
      </c>
      <c r="BC50" s="7">
        <v>39406</v>
      </c>
      <c r="BG50">
        <v>89</v>
      </c>
      <c r="BH50" s="17">
        <f t="shared" ca="1" si="0"/>
        <v>121</v>
      </c>
      <c r="BI50" s="17"/>
      <c r="BJ50" s="17"/>
    </row>
    <row r="51" spans="1:63" hidden="1">
      <c r="A51">
        <v>28011583</v>
      </c>
      <c r="B51" s="2" t="str">
        <f>HYPERLINK("http://www.windermere.com/index.cfm?fuseaction=Listing.ListingDetail&amp;ListingID=19246531","Active")</f>
        <v>Active</v>
      </c>
      <c r="D51" t="s">
        <v>100</v>
      </c>
      <c r="E51" t="s">
        <v>442</v>
      </c>
      <c r="F51" s="10">
        <v>339950</v>
      </c>
      <c r="G51" t="s">
        <v>443</v>
      </c>
      <c r="J51">
        <v>2</v>
      </c>
      <c r="K51">
        <v>1</v>
      </c>
      <c r="M51" s="2" t="str">
        <f>HYPERLINK("http://www.windermere.com/index.cfm?fuseaction=Listing.MapPropertyInteractive&amp;ListingID=19246531&amp;resize=true&amp;windowWidth=800&amp;windowHeight=600","Map")</f>
        <v>Map</v>
      </c>
      <c r="O51" s="2" t="str">
        <f>HYPERLINK("http://www.windermere.com/index.cfm?fuseaction=Listing.MultiImageViewer&amp;ListingID=19246531&amp;ln=28011583&amp;pub_mls=1","More")</f>
        <v>More</v>
      </c>
      <c r="P51" t="s">
        <v>44</v>
      </c>
      <c r="AI51" t="s">
        <v>66</v>
      </c>
      <c r="AJ51">
        <v>98103</v>
      </c>
      <c r="AS51" t="s">
        <v>444</v>
      </c>
      <c r="AT51">
        <v>19246531</v>
      </c>
      <c r="AU51" s="12">
        <v>39495</v>
      </c>
      <c r="BB51" t="s">
        <v>912</v>
      </c>
      <c r="BC51" s="7">
        <v>39465</v>
      </c>
      <c r="BG51">
        <v>30</v>
      </c>
      <c r="BH51" s="17">
        <f t="shared" ca="1" si="0"/>
        <v>62</v>
      </c>
      <c r="BI51" s="17"/>
      <c r="BJ51" s="17"/>
    </row>
    <row r="52" spans="1:63" hidden="1">
      <c r="A52">
        <v>28022372</v>
      </c>
      <c r="B52" s="2" t="str">
        <f>HYPERLINK("http://www.windermere.com/index.cfm?fuseaction=Listing.ListingDetail&amp;ListingID=19345068","Active")</f>
        <v>Active</v>
      </c>
      <c r="D52" t="s">
        <v>42</v>
      </c>
      <c r="E52" t="s">
        <v>437</v>
      </c>
      <c r="F52" s="10">
        <v>339950</v>
      </c>
      <c r="G52" t="s">
        <v>247</v>
      </c>
      <c r="H52" s="1">
        <v>1621</v>
      </c>
      <c r="J52">
        <v>3</v>
      </c>
      <c r="K52">
        <v>3.5</v>
      </c>
      <c r="M52" s="2" t="str">
        <f>HYPERLINK("http://www.windermere.com/index.cfm?fuseaction=Listing.MapPropertyInteractive&amp;ListingID=19345068&amp;resize=true&amp;windowWidth=800&amp;windowHeight=600","Map")</f>
        <v>Map</v>
      </c>
      <c r="O52" s="2" t="str">
        <f>HYPERLINK("http://www.windermere.com/index.cfm?fuseaction=Listing.MultiImageViewer&amp;ListingID=19345068&amp;ln=28022372&amp;pub_mls=1","More")</f>
        <v>More</v>
      </c>
      <c r="AI52" t="s">
        <v>66</v>
      </c>
      <c r="AJ52">
        <v>98133</v>
      </c>
      <c r="AS52" t="s">
        <v>438</v>
      </c>
      <c r="AT52">
        <v>19345068</v>
      </c>
      <c r="AU52" s="12">
        <v>39495</v>
      </c>
      <c r="BB52" t="s">
        <v>912</v>
      </c>
      <c r="BC52" s="7">
        <v>39486</v>
      </c>
      <c r="BG52">
        <v>9</v>
      </c>
      <c r="BH52" s="17">
        <f t="shared" ca="1" si="0"/>
        <v>41</v>
      </c>
      <c r="BI52" s="17"/>
      <c r="BJ52" s="17"/>
    </row>
    <row r="53" spans="1:63" hidden="1">
      <c r="A53">
        <v>28006035</v>
      </c>
      <c r="B53" s="2" t="str">
        <f>HYPERLINK("http://www.windermere.com/index.cfm?fuseaction=Listing.ListingDetail&amp;ListingID=19386011","Active")</f>
        <v>Active</v>
      </c>
      <c r="D53" t="s">
        <v>920</v>
      </c>
      <c r="E53" t="s">
        <v>1334</v>
      </c>
      <c r="F53" s="18">
        <v>325000</v>
      </c>
      <c r="G53" t="s">
        <v>156</v>
      </c>
      <c r="H53">
        <v>810</v>
      </c>
      <c r="I53">
        <v>6272</v>
      </c>
      <c r="J53">
        <v>2</v>
      </c>
      <c r="K53">
        <v>1</v>
      </c>
      <c r="M53" s="2" t="str">
        <f>HYPERLINK("http://www.windermere.com/index.cfm?fuseaction=Listing.MapPropertyInteractive&amp;ListingID=19386011&amp;resize=true&amp;windowWidth=800&amp;windowHeight=600","Map")</f>
        <v>Map</v>
      </c>
      <c r="O53" s="2" t="str">
        <f>HYPERLINK("http://www.windermere.com/index.cfm?fuseaction=Listing.MultiImageViewer&amp;ListingID=19386011&amp;ln=28006035&amp;pub_mls=1","More")</f>
        <v>More</v>
      </c>
      <c r="AI53" t="s">
        <v>66</v>
      </c>
      <c r="AJ53">
        <v>98125</v>
      </c>
      <c r="AS53" t="s">
        <v>1335</v>
      </c>
      <c r="AT53">
        <v>19386011</v>
      </c>
      <c r="AU53" s="7">
        <v>39496</v>
      </c>
      <c r="BB53" t="s">
        <v>912</v>
      </c>
      <c r="BC53" s="7">
        <v>39457</v>
      </c>
      <c r="BD53">
        <v>2</v>
      </c>
      <c r="BE53" t="s">
        <v>1348</v>
      </c>
      <c r="BG53">
        <v>39</v>
      </c>
      <c r="BH53" s="17">
        <f t="shared" ca="1" si="0"/>
        <v>70</v>
      </c>
      <c r="BI53" s="17"/>
      <c r="BJ53" s="17"/>
    </row>
    <row r="54" spans="1:63" hidden="1">
      <c r="A54">
        <v>28018855</v>
      </c>
      <c r="B54" s="2" t="str">
        <f>HYPERLINK("http://www.windermere.com/index.cfm?fuseaction=Listing.ListingDetail&amp;ListingID=19305143","Active")</f>
        <v>Active</v>
      </c>
      <c r="D54" t="s">
        <v>55</v>
      </c>
      <c r="E54" t="s">
        <v>447</v>
      </c>
      <c r="F54" s="10">
        <v>344000</v>
      </c>
      <c r="G54" t="s">
        <v>247</v>
      </c>
      <c r="H54" s="1">
        <v>1320</v>
      </c>
      <c r="J54">
        <v>2</v>
      </c>
      <c r="K54" s="19">
        <v>2.5</v>
      </c>
      <c r="M54" s="2" t="str">
        <f>HYPERLINK("http://www.windermere.com/index.cfm?fuseaction=Listing.MapPropertyInteractive&amp;ListingID=19305143&amp;resize=true&amp;windowWidth=800&amp;windowHeight=600","Map")</f>
        <v>Map</v>
      </c>
      <c r="O54" s="2" t="str">
        <f>HYPERLINK("http://www.windermere.com/index.cfm?fuseaction=Listing.MultiImageViewer&amp;ListingID=19305143&amp;ln=28018855&amp;pub_mls=1","More")</f>
        <v>More</v>
      </c>
      <c r="AI54" t="s">
        <v>66</v>
      </c>
      <c r="AJ54">
        <v>98133</v>
      </c>
      <c r="AS54" t="s">
        <v>448</v>
      </c>
      <c r="AT54">
        <v>19305143</v>
      </c>
      <c r="AU54" s="12">
        <v>39495</v>
      </c>
      <c r="BB54" t="s">
        <v>912</v>
      </c>
      <c r="BC54" s="7">
        <v>39478</v>
      </c>
      <c r="BG54">
        <v>17</v>
      </c>
      <c r="BH54" s="17">
        <f t="shared" ca="1" si="0"/>
        <v>49</v>
      </c>
      <c r="BI54" s="17"/>
      <c r="BJ54" s="17"/>
    </row>
    <row r="55" spans="1:63" hidden="1">
      <c r="A55">
        <v>27186885</v>
      </c>
      <c r="B55" s="15" t="str">
        <f>HYPERLINK("http://www.windermere.com/index.cfm?fuseaction=Listing.ListingDetail&amp;ListingID=18817082","Subject To Inspection")</f>
        <v>Subject To Inspection</v>
      </c>
      <c r="D55" t="s">
        <v>70</v>
      </c>
      <c r="E55" t="s">
        <v>449</v>
      </c>
      <c r="F55" s="10">
        <v>344888</v>
      </c>
      <c r="G55" t="s">
        <v>147</v>
      </c>
      <c r="H55" s="1">
        <v>1515</v>
      </c>
      <c r="J55">
        <v>3</v>
      </c>
      <c r="K55">
        <v>2.25</v>
      </c>
      <c r="M55" s="2" t="str">
        <f>HYPERLINK("http://www.windermere.com/index.cfm?fuseaction=Listing.MapPropertyInteractive&amp;ListingID=18817082&amp;resize=true&amp;windowWidth=800&amp;windowHeight=600","Map")</f>
        <v>Map</v>
      </c>
      <c r="O55" s="2" t="str">
        <f>HYPERLINK("http://www.windermere.com/index.cfm?fuseaction=Listing.MultiImageViewer&amp;ListingID=18817082&amp;ln=27186885&amp;pub_mls=1","More")</f>
        <v>More</v>
      </c>
      <c r="AI55" t="s">
        <v>66</v>
      </c>
      <c r="AJ55">
        <v>98133</v>
      </c>
      <c r="AS55" t="s">
        <v>450</v>
      </c>
      <c r="AT55">
        <v>18817082</v>
      </c>
      <c r="AU55" s="12">
        <v>39495</v>
      </c>
      <c r="BB55" t="s">
        <v>912</v>
      </c>
      <c r="BC55" s="7">
        <v>39371</v>
      </c>
      <c r="BE55" t="s">
        <v>1437</v>
      </c>
      <c r="BG55">
        <v>124</v>
      </c>
      <c r="BH55" s="17">
        <f t="shared" ca="1" si="0"/>
        <v>156</v>
      </c>
      <c r="BI55" s="17"/>
      <c r="BJ55" s="17"/>
    </row>
    <row r="56" spans="1:63" hidden="1">
      <c r="A56">
        <v>27187691</v>
      </c>
      <c r="B56" s="2" t="str">
        <f>HYPERLINK("http://www.windermere.com/index.cfm?fuseaction=Listing.ListingDetail&amp;ListingID=18826288","Active")</f>
        <v>Active</v>
      </c>
      <c r="D56" t="s">
        <v>70</v>
      </c>
      <c r="E56" t="s">
        <v>457</v>
      </c>
      <c r="F56" s="10">
        <v>344888</v>
      </c>
      <c r="G56" t="s">
        <v>147</v>
      </c>
      <c r="H56" s="1">
        <v>1413</v>
      </c>
      <c r="J56">
        <v>3</v>
      </c>
      <c r="K56">
        <v>2.25</v>
      </c>
      <c r="M56" s="2" t="str">
        <f>HYPERLINK("http://www.windermere.com/index.cfm?fuseaction=Listing.MapPropertyInteractive&amp;ListingID=18826288&amp;resize=true&amp;windowWidth=800&amp;windowHeight=600","Map")</f>
        <v>Map</v>
      </c>
      <c r="O56" s="2" t="str">
        <f>HYPERLINK("http://www.windermere.com/index.cfm?fuseaction=Listing.MultiImageViewer&amp;ListingID=18826288&amp;ln=27187691&amp;pub_mls=1","More")</f>
        <v>More</v>
      </c>
      <c r="AI56" t="s">
        <v>66</v>
      </c>
      <c r="AJ56">
        <v>98133</v>
      </c>
      <c r="AS56" t="s">
        <v>458</v>
      </c>
      <c r="AT56">
        <v>18826288</v>
      </c>
      <c r="AU56" s="12">
        <v>39495</v>
      </c>
      <c r="BB56" t="s">
        <v>912</v>
      </c>
      <c r="BC56" s="7">
        <v>39372</v>
      </c>
      <c r="BG56">
        <v>123</v>
      </c>
      <c r="BH56" s="17">
        <f t="shared" ca="1" si="0"/>
        <v>155</v>
      </c>
      <c r="BI56" s="17"/>
      <c r="BJ56" s="17"/>
    </row>
    <row r="57" spans="1:63" hidden="1">
      <c r="A57">
        <v>27193940</v>
      </c>
      <c r="B57" s="2" t="str">
        <f>HYPERLINK("http://www.windermere.com/index.cfm?fuseaction=Listing.ListingDetail&amp;ListingID=18883849","Active")</f>
        <v>Active</v>
      </c>
      <c r="D57" t="s">
        <v>70</v>
      </c>
      <c r="E57" t="s">
        <v>455</v>
      </c>
      <c r="F57" s="10">
        <v>344888</v>
      </c>
      <c r="G57" t="s">
        <v>147</v>
      </c>
      <c r="H57" s="1">
        <v>1413</v>
      </c>
      <c r="J57">
        <v>3</v>
      </c>
      <c r="K57">
        <v>2.25</v>
      </c>
      <c r="M57" s="2" t="str">
        <f>HYPERLINK("http://www.windermere.com/index.cfm?fuseaction=Listing.MapPropertyInteractive&amp;ListingID=18883849&amp;resize=true&amp;windowWidth=800&amp;windowHeight=600","Map")</f>
        <v>Map</v>
      </c>
      <c r="O57" s="2" t="str">
        <f>HYPERLINK("http://www.windermere.com/index.cfm?fuseaction=Listing.MultiImageViewer&amp;ListingID=18883849&amp;ln=27193940&amp;pub_mls=1","More")</f>
        <v>More</v>
      </c>
      <c r="AI57" t="s">
        <v>66</v>
      </c>
      <c r="AJ57">
        <v>98133</v>
      </c>
      <c r="AS57" t="s">
        <v>456</v>
      </c>
      <c r="AT57">
        <v>18883849</v>
      </c>
      <c r="AU57" s="12">
        <v>39495</v>
      </c>
      <c r="BB57" t="s">
        <v>912</v>
      </c>
      <c r="BC57" s="7">
        <v>39384</v>
      </c>
      <c r="BG57">
        <v>111</v>
      </c>
      <c r="BH57" s="17">
        <f t="shared" ca="1" si="0"/>
        <v>143</v>
      </c>
      <c r="BI57" s="17"/>
      <c r="BJ57" s="17"/>
    </row>
    <row r="58" spans="1:63" hidden="1">
      <c r="A58">
        <v>27193941</v>
      </c>
      <c r="B58" s="2" t="str">
        <f>HYPERLINK("http://www.windermere.com/index.cfm?fuseaction=Listing.ListingDetail&amp;ListingID=18883850","Active")</f>
        <v>Active</v>
      </c>
      <c r="D58" t="s">
        <v>70</v>
      </c>
      <c r="E58" t="s">
        <v>453</v>
      </c>
      <c r="F58" s="10">
        <v>344888</v>
      </c>
      <c r="G58" t="s">
        <v>147</v>
      </c>
      <c r="H58" s="1">
        <v>1450</v>
      </c>
      <c r="J58">
        <v>3</v>
      </c>
      <c r="K58">
        <v>2.25</v>
      </c>
      <c r="M58" s="2" t="str">
        <f>HYPERLINK("http://www.windermere.com/index.cfm?fuseaction=Listing.MapPropertyInteractive&amp;ListingID=18883850&amp;resize=true&amp;windowWidth=800&amp;windowHeight=600","Map")</f>
        <v>Map</v>
      </c>
      <c r="O58" s="2" t="str">
        <f>HYPERLINK("http://www.windermere.com/index.cfm?fuseaction=Listing.MultiImageViewer&amp;ListingID=18883850&amp;ln=27193941&amp;pub_mls=1","More")</f>
        <v>More</v>
      </c>
      <c r="AI58" t="s">
        <v>66</v>
      </c>
      <c r="AJ58">
        <v>98133</v>
      </c>
      <c r="AS58" t="s">
        <v>454</v>
      </c>
      <c r="AT58">
        <v>18883850</v>
      </c>
      <c r="AU58" s="12">
        <v>39495</v>
      </c>
      <c r="BB58" t="s">
        <v>912</v>
      </c>
      <c r="BC58" s="7">
        <v>39384</v>
      </c>
      <c r="BG58">
        <v>111</v>
      </c>
      <c r="BH58" s="17">
        <f t="shared" ca="1" si="0"/>
        <v>143</v>
      </c>
      <c r="BI58" s="17"/>
      <c r="BJ58" s="17"/>
    </row>
    <row r="59" spans="1:63" hidden="1">
      <c r="A59">
        <v>27193943</v>
      </c>
      <c r="B59" s="2" t="str">
        <f>HYPERLINK("http://www.windermere.com/index.cfm?fuseaction=Listing.ListingDetail&amp;ListingID=18883851","Subject To Inspection")</f>
        <v>Subject To Inspection</v>
      </c>
      <c r="D59" t="s">
        <v>70</v>
      </c>
      <c r="E59" t="s">
        <v>451</v>
      </c>
      <c r="F59" s="10">
        <v>344888</v>
      </c>
      <c r="G59" t="s">
        <v>147</v>
      </c>
      <c r="H59" s="1">
        <v>1479</v>
      </c>
      <c r="J59">
        <v>3</v>
      </c>
      <c r="K59">
        <v>2.25</v>
      </c>
      <c r="M59" s="2" t="str">
        <f>HYPERLINK("http://www.windermere.com/index.cfm?fuseaction=Listing.MapPropertyInteractive&amp;ListingID=18883851&amp;resize=true&amp;windowWidth=800&amp;windowHeight=600","Map")</f>
        <v>Map</v>
      </c>
      <c r="O59" s="2" t="str">
        <f>HYPERLINK("http://www.windermere.com/index.cfm?fuseaction=Listing.MultiImageViewer&amp;ListingID=18883851&amp;ln=27193943&amp;pub_mls=1","More")</f>
        <v>More</v>
      </c>
      <c r="AI59" t="s">
        <v>66</v>
      </c>
      <c r="AJ59">
        <v>98133</v>
      </c>
      <c r="AS59" t="s">
        <v>452</v>
      </c>
      <c r="AT59">
        <v>18883851</v>
      </c>
      <c r="AU59" s="12">
        <v>39495</v>
      </c>
      <c r="BB59" t="s">
        <v>912</v>
      </c>
      <c r="BC59" s="7">
        <v>39385</v>
      </c>
      <c r="BG59">
        <v>110</v>
      </c>
      <c r="BH59" s="17">
        <f t="shared" ca="1" si="0"/>
        <v>142</v>
      </c>
      <c r="BI59" s="17"/>
      <c r="BJ59" s="17"/>
      <c r="BK59" t="str">
        <f>B59</f>
        <v>Subject To Inspection</v>
      </c>
    </row>
    <row r="60" spans="1:63" hidden="1">
      <c r="A60">
        <v>28023714</v>
      </c>
      <c r="B60" s="2" t="str">
        <f>HYPERLINK("http://www.windermere.com/index.cfm?fuseaction=Listing.ListingDetail&amp;ListingID=19344609","Active")</f>
        <v>Active</v>
      </c>
      <c r="D60" t="s">
        <v>184</v>
      </c>
      <c r="E60" t="s">
        <v>459</v>
      </c>
      <c r="F60" s="10">
        <v>344888</v>
      </c>
      <c r="G60" t="s">
        <v>247</v>
      </c>
      <c r="H60" s="1">
        <v>1400</v>
      </c>
      <c r="J60">
        <v>3</v>
      </c>
      <c r="K60">
        <v>2</v>
      </c>
      <c r="M60" s="2" t="str">
        <f>HYPERLINK("http://www.windermere.com/index.cfm?fuseaction=Listing.MapPropertyInteractive&amp;ListingID=19344609&amp;resize=true&amp;windowWidth=800&amp;windowHeight=600","Map")</f>
        <v>Map</v>
      </c>
      <c r="O60" s="2" t="str">
        <f>HYPERLINK("http://www.windermere.com/index.cfm?fuseaction=Listing.MultiImageViewer&amp;ListingID=19344609&amp;ln=28023714&amp;pub_mls=1","More")</f>
        <v>More</v>
      </c>
      <c r="P60" t="s">
        <v>44</v>
      </c>
      <c r="AI60" t="s">
        <v>66</v>
      </c>
      <c r="AJ60">
        <v>98125</v>
      </c>
      <c r="AS60" t="s">
        <v>460</v>
      </c>
      <c r="AT60">
        <v>19344609</v>
      </c>
      <c r="AU60" s="12">
        <v>39495</v>
      </c>
      <c r="BB60" t="s">
        <v>912</v>
      </c>
      <c r="BC60" s="7">
        <v>39486</v>
      </c>
      <c r="BG60">
        <v>9</v>
      </c>
      <c r="BH60" s="17">
        <f t="shared" ca="1" si="0"/>
        <v>41</v>
      </c>
      <c r="BI60" s="17"/>
      <c r="BJ60" s="17"/>
    </row>
    <row r="61" spans="1:63" hidden="1">
      <c r="A61">
        <v>28006840</v>
      </c>
      <c r="B61" s="2" t="str">
        <f>HYPERLINK("http://www.windermere.com/index.cfm?fuseaction=Listing.ListingDetail&amp;ListingID=19200062","Active")</f>
        <v>Active</v>
      </c>
      <c r="D61" t="s">
        <v>60</v>
      </c>
      <c r="E61" t="s">
        <v>463</v>
      </c>
      <c r="F61" s="10">
        <v>345000</v>
      </c>
      <c r="G61" t="s">
        <v>128</v>
      </c>
      <c r="J61">
        <v>2</v>
      </c>
      <c r="K61">
        <v>1.5</v>
      </c>
      <c r="M61" s="2" t="str">
        <f>HYPERLINK("http://www.windermere.com/index.cfm?fuseaction=Listing.MapPropertyInteractive&amp;ListingID=19200062&amp;resize=true&amp;windowWidth=800&amp;windowHeight=600","Map")</f>
        <v>Map</v>
      </c>
      <c r="O61" s="2" t="str">
        <f>HYPERLINK("http://www.windermere.com/index.cfm?fuseaction=viewGallery.Home&amp;customTourID=204019&amp;wvt=0","More")</f>
        <v>More</v>
      </c>
      <c r="P61" t="s">
        <v>44</v>
      </c>
      <c r="AI61" t="s">
        <v>66</v>
      </c>
      <c r="AJ61">
        <v>98103</v>
      </c>
      <c r="AS61" t="s">
        <v>464</v>
      </c>
      <c r="AT61">
        <v>19200062</v>
      </c>
      <c r="AU61" s="12">
        <v>39495</v>
      </c>
      <c r="BB61" t="s">
        <v>912</v>
      </c>
      <c r="BC61" s="7">
        <v>39458</v>
      </c>
      <c r="BG61">
        <v>37</v>
      </c>
      <c r="BH61" s="17">
        <f t="shared" ca="1" si="0"/>
        <v>69</v>
      </c>
      <c r="BI61" s="17"/>
      <c r="BJ61" s="17"/>
    </row>
    <row r="62" spans="1:63" hidden="1">
      <c r="A62">
        <v>28018719</v>
      </c>
      <c r="B62" s="15" t="str">
        <f>HYPERLINK("http://www.windermere.com/index.cfm?fuseaction=Listing.ListingDetail&amp;ListingID=19304377","Subject To Inspection")</f>
        <v>Subject To Inspection</v>
      </c>
      <c r="D62" t="s">
        <v>66</v>
      </c>
      <c r="E62" t="s">
        <v>461</v>
      </c>
      <c r="F62" s="10">
        <v>345000</v>
      </c>
      <c r="G62" t="s">
        <v>130</v>
      </c>
      <c r="H62" s="1">
        <v>2060</v>
      </c>
      <c r="I62">
        <v>7200</v>
      </c>
      <c r="J62">
        <v>3</v>
      </c>
      <c r="K62">
        <v>1.5</v>
      </c>
      <c r="M62" s="2" t="str">
        <f>HYPERLINK("http://www.windermere.com/index.cfm?fuseaction=Listing.MapPropertyInteractive&amp;ListingID=19304377&amp;resize=true&amp;windowWidth=800&amp;windowHeight=600","Map")</f>
        <v>Map</v>
      </c>
      <c r="O62" s="2" t="str">
        <f>HYPERLINK("http://www.windermere.com/index.cfm?fuseaction=Listing.MultiImageViewer&amp;ListingID=19304377&amp;ln=28018719&amp;pub_mls=1","More")</f>
        <v>More</v>
      </c>
      <c r="AI62" t="s">
        <v>66</v>
      </c>
      <c r="AJ62">
        <v>98133</v>
      </c>
      <c r="AS62" t="s">
        <v>462</v>
      </c>
      <c r="AT62">
        <v>19304377</v>
      </c>
      <c r="AU62" s="12">
        <v>39495</v>
      </c>
      <c r="BB62" t="s">
        <v>912</v>
      </c>
      <c r="BC62" s="7">
        <v>39478</v>
      </c>
      <c r="BD62">
        <v>3</v>
      </c>
      <c r="BE62" t="s">
        <v>1438</v>
      </c>
      <c r="BG62">
        <v>17</v>
      </c>
      <c r="BH62" s="17">
        <f t="shared" ca="1" si="0"/>
        <v>49</v>
      </c>
      <c r="BI62" s="17"/>
      <c r="BJ62" s="17"/>
    </row>
    <row r="63" spans="1:63" hidden="1">
      <c r="A63">
        <v>28028259</v>
      </c>
      <c r="B63" s="15" t="str">
        <f>HYPERLINK("http://www.windermere.com/index.cfm?fuseaction=Listing.ListingDetail&amp;ListingID=19379302","Subject To Inspection")</f>
        <v>Subject To Inspection</v>
      </c>
      <c r="D63" t="s">
        <v>184</v>
      </c>
      <c r="E63" t="s">
        <v>469</v>
      </c>
      <c r="F63" s="10">
        <v>348888</v>
      </c>
      <c r="G63" t="s">
        <v>147</v>
      </c>
      <c r="H63" s="1">
        <v>1547</v>
      </c>
      <c r="J63">
        <v>3</v>
      </c>
      <c r="K63">
        <v>2.5</v>
      </c>
      <c r="M63" s="2" t="str">
        <f>HYPERLINK("http://www.windermere.com/index.cfm?fuseaction=Listing.MapPropertyInteractive&amp;ListingID=19379302&amp;resize=true&amp;windowWidth=800&amp;windowHeight=600","Map")</f>
        <v>Map</v>
      </c>
      <c r="O63" s="2" t="str">
        <f>HYPERLINK("http://www.windermere.com/index.cfm?fuseaction=Listing.MultiImageViewer&amp;ListingID=19379302&amp;ln=28028259&amp;pub_mls=1","More")</f>
        <v>More</v>
      </c>
      <c r="AI63" t="s">
        <v>66</v>
      </c>
      <c r="AJ63">
        <v>98125</v>
      </c>
      <c r="AS63" t="s">
        <v>470</v>
      </c>
      <c r="AT63">
        <v>19379302</v>
      </c>
      <c r="AU63" s="12">
        <v>39495</v>
      </c>
      <c r="BB63" t="s">
        <v>912</v>
      </c>
      <c r="BC63" s="7">
        <v>39493</v>
      </c>
      <c r="BG63">
        <v>2</v>
      </c>
      <c r="BH63" s="17">
        <f t="shared" ca="1" si="0"/>
        <v>34</v>
      </c>
      <c r="BI63" s="17"/>
      <c r="BJ63" s="17"/>
      <c r="BK63" t="str">
        <f>B63</f>
        <v>Subject To Inspection</v>
      </c>
    </row>
    <row r="64" spans="1:63" hidden="1">
      <c r="A64">
        <v>28028260</v>
      </c>
      <c r="B64" s="2" t="str">
        <f>HYPERLINK("http://www.windermere.com/index.cfm?fuseaction=Listing.ListingDetail&amp;ListingID=19379306","Active")</f>
        <v>Active</v>
      </c>
      <c r="D64" t="s">
        <v>184</v>
      </c>
      <c r="E64" t="s">
        <v>465</v>
      </c>
      <c r="F64" s="10">
        <v>348888</v>
      </c>
      <c r="G64" t="s">
        <v>147</v>
      </c>
      <c r="H64" s="1">
        <v>1547</v>
      </c>
      <c r="J64">
        <v>3</v>
      </c>
      <c r="K64">
        <v>2.5</v>
      </c>
      <c r="M64" s="2" t="str">
        <f>HYPERLINK("http://www.windermere.com/index.cfm?fuseaction=Listing.MapPropertyInteractive&amp;ListingID=19379306&amp;resize=true&amp;windowWidth=800&amp;windowHeight=600","Map")</f>
        <v>Map</v>
      </c>
      <c r="O64" s="2" t="str">
        <f>HYPERLINK("http://www.windermere.com/index.cfm?fuseaction=Listing.MultiImageViewer&amp;ListingID=19379306&amp;ln=28028260&amp;pub_mls=1","More")</f>
        <v>More</v>
      </c>
      <c r="AI64" t="s">
        <v>66</v>
      </c>
      <c r="AJ64">
        <v>98125</v>
      </c>
      <c r="AS64" t="s">
        <v>466</v>
      </c>
      <c r="AT64">
        <v>19379306</v>
      </c>
      <c r="AU64" s="12">
        <v>39495</v>
      </c>
      <c r="BB64" t="s">
        <v>912</v>
      </c>
      <c r="BC64" s="7">
        <v>39493</v>
      </c>
      <c r="BG64">
        <v>2</v>
      </c>
      <c r="BH64" s="17">
        <f t="shared" ca="1" si="0"/>
        <v>34</v>
      </c>
      <c r="BI64" s="17"/>
      <c r="BJ64" s="17"/>
    </row>
    <row r="65" spans="1:63" hidden="1">
      <c r="A65">
        <v>28028261</v>
      </c>
      <c r="B65" s="2" t="str">
        <f>HYPERLINK("http://www.windermere.com/index.cfm?fuseaction=Listing.ListingDetail&amp;ListingID=19379299","Active")</f>
        <v>Active</v>
      </c>
      <c r="D65" t="s">
        <v>184</v>
      </c>
      <c r="E65" t="s">
        <v>467</v>
      </c>
      <c r="F65" s="10">
        <v>348888</v>
      </c>
      <c r="G65" t="s">
        <v>147</v>
      </c>
      <c r="H65" s="1">
        <v>1547</v>
      </c>
      <c r="J65">
        <v>3</v>
      </c>
      <c r="K65">
        <v>2.5</v>
      </c>
      <c r="M65" s="2" t="str">
        <f>HYPERLINK("http://www.windermere.com/index.cfm?fuseaction=Listing.MapPropertyInteractive&amp;ListingID=19379299&amp;resize=true&amp;windowWidth=800&amp;windowHeight=600","Map")</f>
        <v>Map</v>
      </c>
      <c r="O65" s="2" t="str">
        <f>HYPERLINK("http://www.windermere.com/index.cfm?fuseaction=Listing.MultiImageViewer&amp;ListingID=19379299&amp;ln=28028261&amp;pub_mls=1","More")</f>
        <v>More</v>
      </c>
      <c r="AI65" t="s">
        <v>66</v>
      </c>
      <c r="AJ65">
        <v>98125</v>
      </c>
      <c r="AS65" t="s">
        <v>468</v>
      </c>
      <c r="AT65">
        <v>19379299</v>
      </c>
      <c r="AU65" s="12">
        <v>39495</v>
      </c>
      <c r="BB65" t="s">
        <v>912</v>
      </c>
      <c r="BC65" s="7">
        <v>39493</v>
      </c>
      <c r="BG65">
        <v>2</v>
      </c>
      <c r="BH65" s="17">
        <f t="shared" ca="1" si="0"/>
        <v>34</v>
      </c>
      <c r="BI65" s="17"/>
      <c r="BJ65" s="17"/>
    </row>
    <row r="66" spans="1:63" hidden="1">
      <c r="A66">
        <v>27193580</v>
      </c>
      <c r="B66" s="2" t="str">
        <f>HYPERLINK("http://www.windermere.com/index.cfm?fuseaction=Listing.ListingDetail&amp;ListingID=18914260","Active")</f>
        <v>Active</v>
      </c>
      <c r="D66" t="s">
        <v>60</v>
      </c>
      <c r="E66" t="s">
        <v>473</v>
      </c>
      <c r="F66" s="10">
        <v>349000</v>
      </c>
      <c r="G66" t="s">
        <v>404</v>
      </c>
      <c r="H66" s="1">
        <v>1260</v>
      </c>
      <c r="I66">
        <v>981</v>
      </c>
      <c r="J66">
        <v>3</v>
      </c>
      <c r="K66">
        <v>2.5</v>
      </c>
      <c r="M66" s="2" t="str">
        <f>HYPERLINK("http://www.windermere.com/index.cfm?fuseaction=Listing.MapPropertyInteractive&amp;ListingID=18914260&amp;resize=true&amp;windowWidth=800&amp;windowHeight=600","Map")</f>
        <v>Map</v>
      </c>
      <c r="O66" s="2" t="str">
        <f>HYPERLINK("http://www.windermere.com/index.cfm?fuseaction=viewGallery.Home&amp;customTourID=198927&amp;wvt=0","More")</f>
        <v>More</v>
      </c>
      <c r="P66" t="s">
        <v>44</v>
      </c>
      <c r="AI66" t="s">
        <v>66</v>
      </c>
      <c r="AJ66">
        <v>98103</v>
      </c>
      <c r="AS66" t="s">
        <v>474</v>
      </c>
      <c r="AT66">
        <v>18914260</v>
      </c>
      <c r="AU66" s="12">
        <v>39495</v>
      </c>
      <c r="BB66" t="s">
        <v>912</v>
      </c>
      <c r="BC66" s="7">
        <v>39390</v>
      </c>
      <c r="BG66">
        <v>105</v>
      </c>
      <c r="BH66" s="17">
        <f t="shared" ca="1" si="0"/>
        <v>137</v>
      </c>
      <c r="BI66" s="17"/>
      <c r="BJ66" s="17"/>
    </row>
    <row r="67" spans="1:63" hidden="1">
      <c r="A67">
        <v>28010742</v>
      </c>
      <c r="B67" s="15" t="str">
        <f>HYPERLINK("http://www.windermere.com/index.cfm?fuseaction=Listing.ListingDetail&amp;ListingID=19245355","Subject To Inspection")</f>
        <v>Subject To Inspection</v>
      </c>
      <c r="D67" t="s">
        <v>42</v>
      </c>
      <c r="E67" t="s">
        <v>471</v>
      </c>
      <c r="F67" s="10">
        <v>349000</v>
      </c>
      <c r="G67" t="s">
        <v>157</v>
      </c>
      <c r="I67">
        <v>5250</v>
      </c>
      <c r="J67">
        <v>2</v>
      </c>
      <c r="K67">
        <v>1</v>
      </c>
      <c r="M67" s="2" t="str">
        <f>HYPERLINK("http://www.windermere.com/index.cfm?fuseaction=Listing.MapPropertyInteractive&amp;ListingID=19245355&amp;resize=true&amp;windowWidth=800&amp;windowHeight=600","Map")</f>
        <v>Map</v>
      </c>
      <c r="O67" s="2" t="str">
        <f>HYPERLINK("http://www.windermere.com/index.cfm?fuseaction=Listing.MultiImageViewer&amp;ListingID=19245355&amp;ln=28010742&amp;pub_mls=1","More")</f>
        <v>More</v>
      </c>
      <c r="P67" t="s">
        <v>44</v>
      </c>
      <c r="AI67" t="s">
        <v>66</v>
      </c>
      <c r="AJ67">
        <v>98133</v>
      </c>
      <c r="AS67" t="s">
        <v>472</v>
      </c>
      <c r="AT67">
        <v>19245355</v>
      </c>
      <c r="AU67" s="12">
        <v>39495</v>
      </c>
      <c r="BB67" t="s">
        <v>912</v>
      </c>
      <c r="BC67" s="7">
        <v>39465</v>
      </c>
      <c r="BG67">
        <v>30</v>
      </c>
      <c r="BH67" s="17">
        <f t="shared" ref="BH67:BH130" ca="1" si="1">TODAY()-BC67</f>
        <v>62</v>
      </c>
      <c r="BI67" s="17"/>
      <c r="BJ67" s="17"/>
    </row>
    <row r="68" spans="1:63" hidden="1">
      <c r="A68">
        <v>27192998</v>
      </c>
      <c r="B68" s="2" t="str">
        <f>HYPERLINK("http://www.windermere.com/index.cfm?fuseaction=Listing.ListingDetail&amp;ListingID=18876585","Active")</f>
        <v>Active</v>
      </c>
      <c r="D68" t="s">
        <v>42</v>
      </c>
      <c r="E68" t="s">
        <v>123</v>
      </c>
      <c r="F68" s="18">
        <v>339500</v>
      </c>
      <c r="G68" t="s">
        <v>124</v>
      </c>
      <c r="I68">
        <v>6408</v>
      </c>
      <c r="J68">
        <v>2</v>
      </c>
      <c r="K68">
        <v>1</v>
      </c>
      <c r="M68" s="2" t="str">
        <f>HYPERLINK("http://www.windermere.com/index.cfm?fuseaction=Listing.MapPropertyInteractive&amp;ListingID=18876585&amp;resize=true&amp;windowWidth=800&amp;windowHeight=600","Map")</f>
        <v>Map</v>
      </c>
      <c r="O68" s="2" t="str">
        <f>HYPERLINK("http://www.windermere.com/index.cfm?fuseaction=Listing.MultiImageViewer&amp;ListingID=18876585&amp;ln=27192998&amp;pub_mls=1","More")</f>
        <v>More</v>
      </c>
      <c r="AI68" t="s">
        <v>66</v>
      </c>
      <c r="AJ68">
        <v>98133</v>
      </c>
      <c r="AS68" t="s">
        <v>475</v>
      </c>
      <c r="AT68">
        <v>18876585</v>
      </c>
      <c r="AU68" s="12">
        <v>39495</v>
      </c>
      <c r="BB68" t="s">
        <v>912</v>
      </c>
      <c r="BC68" s="7">
        <v>39382</v>
      </c>
      <c r="BG68">
        <v>113</v>
      </c>
      <c r="BH68" s="17">
        <f t="shared" ca="1" si="1"/>
        <v>145</v>
      </c>
      <c r="BI68" s="17"/>
      <c r="BJ68" s="17"/>
    </row>
    <row r="69" spans="1:63" hidden="1">
      <c r="A69">
        <v>27203216</v>
      </c>
      <c r="B69" s="2" t="str">
        <f>HYPERLINK("http://www.windermere.com/index.cfm?fuseaction=Listing.ListingDetail&amp;ListingID=19239109","Active")</f>
        <v>Active</v>
      </c>
      <c r="D69" t="s">
        <v>63</v>
      </c>
      <c r="E69" t="s">
        <v>327</v>
      </c>
      <c r="F69" s="10">
        <v>349500</v>
      </c>
      <c r="G69" t="s">
        <v>177</v>
      </c>
      <c r="H69">
        <v>840</v>
      </c>
      <c r="I69">
        <v>4800</v>
      </c>
      <c r="J69">
        <v>2</v>
      </c>
      <c r="K69">
        <v>1</v>
      </c>
      <c r="M69" s="2" t="str">
        <f>HYPERLINK("http://www.windermere.com/index.cfm?fuseaction=Listing.MapPropertyInteractive&amp;ListingID=19239109&amp;resize=true&amp;windowWidth=800&amp;windowHeight=600","Map")</f>
        <v>Map</v>
      </c>
      <c r="O69" s="2" t="str">
        <f>HYPERLINK("http://www.windermere.com/index.cfm?fuseaction=Listing.MultiImageViewer&amp;ListingID=19239109&amp;ln=27203216&amp;pub_mls=1","More")</f>
        <v>More</v>
      </c>
      <c r="P69" t="s">
        <v>44</v>
      </c>
      <c r="AI69" t="s">
        <v>66</v>
      </c>
      <c r="AJ69">
        <v>98117</v>
      </c>
      <c r="AS69" t="s">
        <v>328</v>
      </c>
      <c r="AT69">
        <v>19239109</v>
      </c>
      <c r="AU69" s="12">
        <v>39495</v>
      </c>
      <c r="BB69" t="s">
        <v>912</v>
      </c>
      <c r="BC69" s="7">
        <v>39402</v>
      </c>
      <c r="BG69">
        <v>93</v>
      </c>
      <c r="BH69" s="17">
        <f t="shared" ca="1" si="1"/>
        <v>125</v>
      </c>
      <c r="BI69" s="17"/>
      <c r="BJ69" s="17"/>
    </row>
    <row r="70" spans="1:63" hidden="1">
      <c r="A70">
        <v>28019576</v>
      </c>
      <c r="B70" s="4" t="str">
        <f>HYPERLINK("http://www.windermere.com/index.cfm?fuseaction=Listing.ListingDetail&amp;ListingID=19310679","Subject To Inspection")</f>
        <v>Subject To Inspection</v>
      </c>
      <c r="D70" t="s">
        <v>70</v>
      </c>
      <c r="E70" t="s">
        <v>478</v>
      </c>
      <c r="F70" s="13">
        <v>344888</v>
      </c>
      <c r="G70" t="s">
        <v>147</v>
      </c>
      <c r="H70" s="1">
        <v>1662</v>
      </c>
      <c r="J70">
        <v>3</v>
      </c>
      <c r="K70">
        <v>2.25</v>
      </c>
      <c r="M70" s="2" t="str">
        <f>HYPERLINK("http://www.windermere.com/index.cfm?fuseaction=Listing.MapPropertyInteractive&amp;ListingID=19310679&amp;resize=true&amp;windowWidth=800&amp;windowHeight=600","Map")</f>
        <v>Map</v>
      </c>
      <c r="O70" s="2" t="str">
        <f>HYPERLINK("http://www.windermere.com/index.cfm?fuseaction=Listing.MultiImageViewer&amp;ListingID=19310679&amp;ln=28019576&amp;pub_mls=1","More")</f>
        <v>More</v>
      </c>
      <c r="AI70" t="s">
        <v>66</v>
      </c>
      <c r="AJ70">
        <v>98133</v>
      </c>
      <c r="AS70" t="s">
        <v>479</v>
      </c>
      <c r="AT70">
        <v>19310679</v>
      </c>
      <c r="AU70" s="12">
        <v>39495</v>
      </c>
      <c r="BB70" t="s">
        <v>912</v>
      </c>
      <c r="BC70" s="7">
        <v>39479</v>
      </c>
      <c r="BG70">
        <v>16</v>
      </c>
      <c r="BH70" s="17">
        <f t="shared" ca="1" si="1"/>
        <v>48</v>
      </c>
      <c r="BI70" s="17"/>
      <c r="BJ70" s="17"/>
    </row>
    <row r="71" spans="1:63" hidden="1">
      <c r="A71">
        <v>28023734</v>
      </c>
      <c r="B71" s="15" t="str">
        <f>HYPERLINK("http://www.windermere.com/index.cfm?fuseaction=Listing.ListingDetail&amp;ListingID=19344675","Subject To Inspection")</f>
        <v>Subject To Inspection</v>
      </c>
      <c r="D71" t="s">
        <v>184</v>
      </c>
      <c r="E71" t="s">
        <v>476</v>
      </c>
      <c r="F71" s="10">
        <v>349888</v>
      </c>
      <c r="G71" t="s">
        <v>147</v>
      </c>
      <c r="H71" s="1">
        <v>1400</v>
      </c>
      <c r="J71">
        <v>3</v>
      </c>
      <c r="K71">
        <v>2</v>
      </c>
      <c r="M71" s="2" t="str">
        <f>HYPERLINK("http://www.windermere.com/index.cfm?fuseaction=Listing.MapPropertyInteractive&amp;ListingID=19344675&amp;resize=true&amp;windowWidth=800&amp;windowHeight=600","Map")</f>
        <v>Map</v>
      </c>
      <c r="O71" s="2" t="str">
        <f>HYPERLINK("http://www.windermere.com/index.cfm?fuseaction=Listing.MultiImageViewer&amp;ListingID=19344675&amp;ln=28023734&amp;pub_mls=1","More")</f>
        <v>More</v>
      </c>
      <c r="P71" t="s">
        <v>44</v>
      </c>
      <c r="AI71" t="s">
        <v>66</v>
      </c>
      <c r="AJ71">
        <v>98125</v>
      </c>
      <c r="AS71" t="s">
        <v>477</v>
      </c>
      <c r="AT71">
        <v>19344675</v>
      </c>
      <c r="AU71" s="12">
        <v>39495</v>
      </c>
      <c r="BB71" t="s">
        <v>912</v>
      </c>
      <c r="BC71" s="7">
        <v>39486</v>
      </c>
      <c r="BG71">
        <v>9</v>
      </c>
      <c r="BH71" s="17">
        <f t="shared" ca="1" si="1"/>
        <v>41</v>
      </c>
      <c r="BI71" s="17"/>
      <c r="BJ71" s="17"/>
    </row>
    <row r="72" spans="1:63" hidden="1">
      <c r="A72">
        <v>28018165</v>
      </c>
      <c r="B72" s="2" t="str">
        <f>HYPERLINK("http://www.windermere.com/index.cfm?fuseaction=Listing.ListingDetail&amp;ListingID=19336068","Active")</f>
        <v>Active</v>
      </c>
      <c r="C72">
        <v>705</v>
      </c>
      <c r="D72" t="s">
        <v>70</v>
      </c>
      <c r="E72" t="s">
        <v>480</v>
      </c>
      <c r="F72" s="18">
        <v>329900</v>
      </c>
      <c r="G72" t="s">
        <v>162</v>
      </c>
      <c r="H72">
        <v>870</v>
      </c>
      <c r="I72">
        <v>5950</v>
      </c>
      <c r="J72">
        <v>2</v>
      </c>
      <c r="K72">
        <v>1</v>
      </c>
      <c r="M72" s="2" t="str">
        <f>HYPERLINK("http://www.windermere.com/index.cfm?fuseaction=Listing.MapPropertyInteractive&amp;ListingID=19336068&amp;resize=true&amp;windowWidth=800&amp;windowHeight=600","Map")</f>
        <v>Map</v>
      </c>
      <c r="N72" s="2" t="str">
        <f>HYPERLINK("http://locmedia.nwmls.com/DO_NOT_LINK/bigphoto/165/28018165.jpg?tsp=20080207085957","Photo")</f>
        <v>Photo</v>
      </c>
      <c r="O72" s="2" t="str">
        <f>HYPERLINK("http://www.windermere.com/index.cfm?fuseaction=Listing.MultiImageViewer&amp;ListingID=19336068&amp;ln=28018165&amp;pub_mls=1","More")</f>
        <v>More</v>
      </c>
      <c r="P72" t="s">
        <v>44</v>
      </c>
      <c r="Q72" t="s">
        <v>56</v>
      </c>
      <c r="R72" t="s">
        <v>67</v>
      </c>
      <c r="S72" t="s">
        <v>104</v>
      </c>
      <c r="T72" t="s">
        <v>50</v>
      </c>
      <c r="X72" t="s">
        <v>47</v>
      </c>
      <c r="Y72" t="s">
        <v>48</v>
      </c>
      <c r="Z72" t="s">
        <v>102</v>
      </c>
      <c r="AB72">
        <v>2007</v>
      </c>
      <c r="AC72">
        <v>2325</v>
      </c>
      <c r="AD72" t="s">
        <v>917</v>
      </c>
      <c r="AF72" t="s">
        <v>918</v>
      </c>
      <c r="AG72">
        <v>47.729663000000002</v>
      </c>
      <c r="AH72">
        <v>-122.35689499999999</v>
      </c>
      <c r="AI72" t="s">
        <v>66</v>
      </c>
      <c r="AJ72">
        <v>98133</v>
      </c>
      <c r="AK72" t="s">
        <v>41</v>
      </c>
      <c r="AL72" t="s">
        <v>40</v>
      </c>
      <c r="AM72" t="s">
        <v>40</v>
      </c>
      <c r="AO72">
        <v>0.13700000000000001</v>
      </c>
      <c r="AP72" t="s">
        <v>919</v>
      </c>
      <c r="AQ72">
        <v>504</v>
      </c>
      <c r="AR72" t="s">
        <v>81</v>
      </c>
      <c r="AS72" t="s">
        <v>481</v>
      </c>
      <c r="AT72">
        <v>19336068</v>
      </c>
      <c r="AU72" s="12">
        <v>39495</v>
      </c>
      <c r="BA72" t="s">
        <v>912</v>
      </c>
      <c r="BB72" t="s">
        <v>912</v>
      </c>
      <c r="BC72" s="7">
        <v>39485</v>
      </c>
      <c r="BG72">
        <v>10</v>
      </c>
      <c r="BH72" s="17">
        <f t="shared" ca="1" si="1"/>
        <v>42</v>
      </c>
      <c r="BI72" s="17"/>
      <c r="BJ72" s="17"/>
    </row>
    <row r="73" spans="1:63" hidden="1">
      <c r="A73">
        <v>28028118</v>
      </c>
      <c r="B73" s="2" t="str">
        <f>HYPERLINK("http://www.windermere.com/index.cfm?fuseaction=Listing.ListingDetail&amp;ListingID=19378000","Active")</f>
        <v>Active</v>
      </c>
      <c r="D73" t="s">
        <v>63</v>
      </c>
      <c r="E73" t="s">
        <v>329</v>
      </c>
      <c r="F73" s="10">
        <v>349900</v>
      </c>
      <c r="G73" t="s">
        <v>247</v>
      </c>
      <c r="H73" s="1">
        <v>1030</v>
      </c>
      <c r="J73">
        <v>2</v>
      </c>
      <c r="K73">
        <v>1.5</v>
      </c>
      <c r="M73" s="2" t="str">
        <f>HYPERLINK("http://www.windermere.com/index.cfm?fuseaction=Listing.MapPropertyInteractive&amp;ListingID=19378000&amp;resize=true&amp;windowWidth=800&amp;windowHeight=600","Map")</f>
        <v>Map</v>
      </c>
      <c r="O73" s="2" t="str">
        <f>HYPERLINK("http://www.windermere.com/index.cfm?fuseaction=Listing.MultiImageViewer&amp;ListingID=19378000&amp;ln=28028118&amp;pub_mls=1","More")</f>
        <v>More</v>
      </c>
      <c r="AI73" t="s">
        <v>66</v>
      </c>
      <c r="AJ73">
        <v>98117</v>
      </c>
      <c r="AS73" t="s">
        <v>330</v>
      </c>
      <c r="AT73">
        <v>19378000</v>
      </c>
      <c r="AU73" s="12">
        <v>39495</v>
      </c>
      <c r="BB73" t="s">
        <v>912</v>
      </c>
      <c r="BC73" s="7">
        <v>39493</v>
      </c>
      <c r="BG73">
        <v>2</v>
      </c>
      <c r="BH73" s="17">
        <f t="shared" ca="1" si="1"/>
        <v>34</v>
      </c>
      <c r="BI73" s="17"/>
      <c r="BJ73" s="17"/>
    </row>
    <row r="74" spans="1:63" hidden="1">
      <c r="A74">
        <v>27186397</v>
      </c>
      <c r="B74" s="15" t="str">
        <f>HYPERLINK("http://www.windermere.com/index.cfm?fuseaction=Listing.ListingDetail&amp;ListingID=19155004","Subject To Inspection")</f>
        <v>Subject To Inspection</v>
      </c>
      <c r="D74" t="s">
        <v>188</v>
      </c>
      <c r="E74" t="s">
        <v>488</v>
      </c>
      <c r="F74" s="10">
        <v>349950</v>
      </c>
      <c r="G74" t="s">
        <v>130</v>
      </c>
      <c r="H74" s="1">
        <v>1410</v>
      </c>
      <c r="I74">
        <v>5775</v>
      </c>
      <c r="J74">
        <v>3</v>
      </c>
      <c r="K74">
        <v>1</v>
      </c>
      <c r="M74" s="2" t="str">
        <f>HYPERLINK("http://www.windermere.com/index.cfm?fuseaction=Listing.MapPropertyInteractive&amp;ListingID=19155004&amp;resize=true&amp;windowWidth=800&amp;windowHeight=600","Map")</f>
        <v>Map</v>
      </c>
      <c r="O74" s="2" t="str">
        <f>HYPERLINK("http://www.windermere.com/index.cfm?fuseaction=Listing.MultiImageViewer&amp;ListingID=19155004&amp;ln=27186397&amp;pub_mls=1","More")</f>
        <v>More</v>
      </c>
      <c r="AI74" t="s">
        <v>66</v>
      </c>
      <c r="AJ74">
        <v>98125</v>
      </c>
      <c r="AS74" t="s">
        <v>489</v>
      </c>
      <c r="AT74">
        <v>19155004</v>
      </c>
      <c r="AU74" s="12">
        <v>39495</v>
      </c>
      <c r="BB74" t="s">
        <v>912</v>
      </c>
      <c r="BC74" s="7">
        <v>39370</v>
      </c>
      <c r="BG74">
        <v>125</v>
      </c>
      <c r="BH74" s="17">
        <f t="shared" ca="1" si="1"/>
        <v>157</v>
      </c>
      <c r="BI74" s="17"/>
      <c r="BJ74" s="17"/>
    </row>
    <row r="75" spans="1:63" hidden="1">
      <c r="A75">
        <v>27213150</v>
      </c>
      <c r="B75" s="2" t="str">
        <f>HYPERLINK("http://www.windermere.com/index.cfm?fuseaction=Listing.ListingDetail&amp;ListingID=19098221","Active")</f>
        <v>Active</v>
      </c>
      <c r="D75" t="s">
        <v>99</v>
      </c>
      <c r="E75" t="s">
        <v>331</v>
      </c>
      <c r="F75" s="10">
        <v>349950</v>
      </c>
      <c r="G75" t="s">
        <v>332</v>
      </c>
      <c r="I75">
        <v>5000</v>
      </c>
      <c r="J75">
        <v>4</v>
      </c>
      <c r="K75">
        <v>1.5</v>
      </c>
      <c r="M75" s="2" t="str">
        <f>HYPERLINK("http://www.windermere.com/index.cfm?fuseaction=Listing.MapPropertyInteractive&amp;ListingID=19098221&amp;resize=true&amp;windowWidth=800&amp;windowHeight=600","Map")</f>
        <v>Map</v>
      </c>
      <c r="AI75" t="s">
        <v>66</v>
      </c>
      <c r="AJ75">
        <v>98117</v>
      </c>
      <c r="AS75" t="s">
        <v>333</v>
      </c>
      <c r="AT75">
        <v>19098221</v>
      </c>
      <c r="AU75" s="12">
        <v>39495</v>
      </c>
      <c r="BB75" t="s">
        <v>912</v>
      </c>
      <c r="BC75" s="7">
        <v>39430</v>
      </c>
      <c r="BG75">
        <v>65</v>
      </c>
      <c r="BH75" s="17">
        <f t="shared" ca="1" si="1"/>
        <v>97</v>
      </c>
      <c r="BI75" s="17"/>
      <c r="BJ75" s="17"/>
    </row>
    <row r="76" spans="1:63" hidden="1">
      <c r="A76">
        <v>28001207</v>
      </c>
      <c r="B76" s="2" t="str">
        <f>HYPERLINK("http://www.windermere.com/index.cfm?fuseaction=Listing.ListingDetail&amp;ListingID=19149402","Subject To Inspection")</f>
        <v>Subject To Inspection</v>
      </c>
      <c r="D76" t="s">
        <v>100</v>
      </c>
      <c r="E76" t="s">
        <v>482</v>
      </c>
      <c r="F76" s="10">
        <v>349950</v>
      </c>
      <c r="G76" t="s">
        <v>443</v>
      </c>
      <c r="J76">
        <v>2</v>
      </c>
      <c r="K76">
        <v>1</v>
      </c>
      <c r="M76" s="2" t="str">
        <f>HYPERLINK("http://www.windermere.com/index.cfm?fuseaction=Listing.MapPropertyInteractive&amp;ListingID=19149402&amp;resize=true&amp;windowWidth=800&amp;windowHeight=600","Map")</f>
        <v>Map</v>
      </c>
      <c r="O76" s="2" t="str">
        <f>HYPERLINK("http://www.windermere.com/index.cfm?fuseaction=Listing.MultiImageViewer&amp;ListingID=19149402&amp;ln=28001207&amp;pub_mls=1","More")</f>
        <v>More</v>
      </c>
      <c r="P76" t="s">
        <v>44</v>
      </c>
      <c r="AI76" t="s">
        <v>66</v>
      </c>
      <c r="AJ76">
        <v>98103</v>
      </c>
      <c r="AS76" t="s">
        <v>483</v>
      </c>
      <c r="AT76">
        <v>19149402</v>
      </c>
      <c r="AU76" s="12">
        <v>39495</v>
      </c>
      <c r="BB76" t="s">
        <v>912</v>
      </c>
      <c r="BC76" s="7">
        <v>39449</v>
      </c>
      <c r="BG76">
        <v>46</v>
      </c>
      <c r="BH76" s="17">
        <f t="shared" ca="1" si="1"/>
        <v>78</v>
      </c>
      <c r="BI76" s="17"/>
      <c r="BJ76" s="17"/>
      <c r="BK76" t="str">
        <f>B76</f>
        <v>Subject To Inspection</v>
      </c>
    </row>
    <row r="77" spans="1:63" hidden="1">
      <c r="A77">
        <v>28001764</v>
      </c>
      <c r="B77" s="2" t="str">
        <f>HYPERLINK("http://www.windermere.com/index.cfm?fuseaction=Listing.ListingDetail&amp;ListingID=19154257","Active")</f>
        <v>Active</v>
      </c>
      <c r="D77" t="s">
        <v>968</v>
      </c>
      <c r="E77" t="s">
        <v>1100</v>
      </c>
      <c r="F77" s="10">
        <v>349950</v>
      </c>
      <c r="G77" t="s">
        <v>147</v>
      </c>
      <c r="H77" s="1">
        <v>1762</v>
      </c>
      <c r="J77">
        <v>3</v>
      </c>
      <c r="K77">
        <v>2</v>
      </c>
      <c r="M77" s="2" t="str">
        <f>HYPERLINK("http://www.windermere.com/index.cfm?fuseaction=Listing.MapPropertyInteractive&amp;ListingID=19154257&amp;resize=true&amp;windowWidth=800&amp;windowHeight=600","Map")</f>
        <v>Map</v>
      </c>
      <c r="O77" s="2" t="str">
        <f>HYPERLINK("http://www.windermere.com/index.cfm?fuseaction=Listing.MultiImageViewer&amp;ListingID=19154257&amp;ln=28001764&amp;pub_mls=1","More")</f>
        <v>More</v>
      </c>
      <c r="AI77" t="s">
        <v>66</v>
      </c>
      <c r="AJ77">
        <v>98125</v>
      </c>
      <c r="AS77" t="s">
        <v>1101</v>
      </c>
      <c r="AT77">
        <v>19154257</v>
      </c>
      <c r="AU77" s="12">
        <v>39495</v>
      </c>
      <c r="BB77" t="s">
        <v>912</v>
      </c>
      <c r="BC77" s="7">
        <v>39450</v>
      </c>
      <c r="BG77">
        <v>45</v>
      </c>
      <c r="BH77" s="17">
        <f t="shared" ca="1" si="1"/>
        <v>77</v>
      </c>
      <c r="BI77" s="17"/>
      <c r="BJ77" s="17"/>
    </row>
    <row r="78" spans="1:63" hidden="1">
      <c r="A78">
        <v>28006116</v>
      </c>
      <c r="B78" s="15" t="str">
        <f>HYPERLINK("http://www.windermere.com/index.cfm?fuseaction=Listing.ListingDetail&amp;ListingID=19189952","Subject To Inspection")</f>
        <v>Subject To Inspection</v>
      </c>
      <c r="D78" t="s">
        <v>920</v>
      </c>
      <c r="E78" t="s">
        <v>486</v>
      </c>
      <c r="F78" s="10">
        <v>349950</v>
      </c>
      <c r="G78" t="s">
        <v>147</v>
      </c>
      <c r="H78" s="1">
        <v>1477</v>
      </c>
      <c r="J78">
        <v>3</v>
      </c>
      <c r="K78">
        <v>2.5</v>
      </c>
      <c r="M78" s="2" t="str">
        <f>HYPERLINK("http://www.windermere.com/index.cfm?fuseaction=Listing.MapPropertyInteractive&amp;ListingID=19189952&amp;resize=true&amp;windowWidth=800&amp;windowHeight=600","Map")</f>
        <v>Map</v>
      </c>
      <c r="O78" s="2" t="str">
        <f>HYPERLINK("http://www.windermere.com/index.cfm?fuseaction=Listing.MultiImageViewer&amp;ListingID=19189952&amp;ln=28006116&amp;pub_mls=1","More")</f>
        <v>More</v>
      </c>
      <c r="AI78" t="s">
        <v>66</v>
      </c>
      <c r="AJ78">
        <v>98133</v>
      </c>
      <c r="AS78" t="s">
        <v>487</v>
      </c>
      <c r="AT78">
        <v>19189952</v>
      </c>
      <c r="AU78" s="12">
        <v>39495</v>
      </c>
      <c r="BB78" t="s">
        <v>912</v>
      </c>
      <c r="BC78" s="7">
        <v>39456</v>
      </c>
      <c r="BG78">
        <v>39</v>
      </c>
      <c r="BH78" s="17">
        <f t="shared" ca="1" si="1"/>
        <v>71</v>
      </c>
      <c r="BI78" s="17"/>
      <c r="BJ78" s="17"/>
    </row>
    <row r="79" spans="1:63" hidden="1">
      <c r="A79">
        <v>28006458</v>
      </c>
      <c r="B79" s="2" t="str">
        <f>HYPERLINK("http://www.windermere.com/index.cfm?fuseaction=Listing.ListingDetail&amp;ListingID=19195065","Active")</f>
        <v>Active</v>
      </c>
      <c r="D79" t="s">
        <v>60</v>
      </c>
      <c r="E79" t="s">
        <v>484</v>
      </c>
      <c r="F79" s="10">
        <v>349950</v>
      </c>
      <c r="G79" t="s">
        <v>147</v>
      </c>
      <c r="H79" s="1">
        <v>1353</v>
      </c>
      <c r="J79">
        <v>3</v>
      </c>
      <c r="K79">
        <v>2.5</v>
      </c>
      <c r="M79" s="2" t="str">
        <f>HYPERLINK("http://www.windermere.com/index.cfm?fuseaction=Listing.MapPropertyInteractive&amp;ListingID=19195065&amp;resize=true&amp;windowWidth=800&amp;windowHeight=600","Map")</f>
        <v>Map</v>
      </c>
      <c r="O79" s="2" t="str">
        <f>HYPERLINK("http://www.windermere.com/index.cfm?fuseaction=viewGallery.Home&amp;customTourID=204136&amp;wvt=0","More")</f>
        <v>More</v>
      </c>
      <c r="AI79" t="s">
        <v>66</v>
      </c>
      <c r="AJ79">
        <v>98103</v>
      </c>
      <c r="AS79" t="s">
        <v>485</v>
      </c>
      <c r="AT79">
        <v>19195065</v>
      </c>
      <c r="AU79" s="12">
        <v>39495</v>
      </c>
      <c r="BB79" t="s">
        <v>912</v>
      </c>
      <c r="BC79" s="7">
        <v>39457</v>
      </c>
      <c r="BG79">
        <v>38</v>
      </c>
      <c r="BH79" s="17">
        <f t="shared" ca="1" si="1"/>
        <v>70</v>
      </c>
      <c r="BI79" s="17"/>
      <c r="BJ79" s="17"/>
    </row>
    <row r="80" spans="1:63" hidden="1">
      <c r="A80">
        <v>28011510</v>
      </c>
      <c r="B80" s="4" t="str">
        <f>HYPERLINK("http://www.windermere.com/index.cfm?fuseaction=Listing.ListingDetail&amp;ListingID=19246215","Subject To Inspection")</f>
        <v>Subject To Inspection</v>
      </c>
      <c r="D80" t="s">
        <v>99</v>
      </c>
      <c r="E80" t="s">
        <v>334</v>
      </c>
      <c r="F80" s="13">
        <v>335000</v>
      </c>
      <c r="G80" t="s">
        <v>137</v>
      </c>
      <c r="H80" s="1">
        <v>1020</v>
      </c>
      <c r="I80">
        <v>6120</v>
      </c>
      <c r="J80">
        <v>2</v>
      </c>
      <c r="K80">
        <v>1</v>
      </c>
      <c r="M80" s="2" t="str">
        <f>HYPERLINK("http://www.windermere.com/index.cfm?fuseaction=Listing.MapPropertyInteractive&amp;ListingID=19246215&amp;resize=true&amp;windowWidth=800&amp;windowHeight=600","Map")</f>
        <v>Map</v>
      </c>
      <c r="O80" s="2" t="str">
        <f>HYPERLINK("http://www.windermere.com/index.cfm?fuseaction=viewGallery.Home&amp;customTourID=204990&amp;wvt=0","More")</f>
        <v>More</v>
      </c>
      <c r="AI80" t="s">
        <v>66</v>
      </c>
      <c r="AJ80">
        <v>98117</v>
      </c>
      <c r="AS80" t="s">
        <v>335</v>
      </c>
      <c r="AT80">
        <v>19246215</v>
      </c>
      <c r="AU80" s="12">
        <v>39495</v>
      </c>
      <c r="BB80" t="s">
        <v>912</v>
      </c>
      <c r="BC80" s="7">
        <v>39465</v>
      </c>
      <c r="BD80">
        <v>4</v>
      </c>
      <c r="BE80" t="s">
        <v>1401</v>
      </c>
      <c r="BF80" t="s">
        <v>1345</v>
      </c>
      <c r="BG80">
        <v>30</v>
      </c>
      <c r="BH80" s="17">
        <f t="shared" ca="1" si="1"/>
        <v>62</v>
      </c>
      <c r="BI80" s="17"/>
      <c r="BJ80" s="17"/>
    </row>
    <row r="81" spans="1:63" hidden="1">
      <c r="A81">
        <v>28004194</v>
      </c>
      <c r="B81" s="2" t="str">
        <f>HYPERLINK("http://www.windermere.com/index.cfm?fuseaction=Listing.ListingDetail&amp;ListingID=19185353","Active")</f>
        <v>Active</v>
      </c>
      <c r="D81" t="s">
        <v>55</v>
      </c>
      <c r="E81" t="s">
        <v>490</v>
      </c>
      <c r="F81" s="18">
        <v>339500</v>
      </c>
      <c r="G81" t="s">
        <v>161</v>
      </c>
      <c r="H81">
        <v>740</v>
      </c>
      <c r="I81">
        <v>6350</v>
      </c>
      <c r="J81">
        <v>2</v>
      </c>
      <c r="K81">
        <v>1</v>
      </c>
      <c r="M81" s="2" t="str">
        <f>HYPERLINK("http://www.windermere.com/index.cfm?fuseaction=Listing.MapPropertyInteractive&amp;ListingID=19185353&amp;resize=true&amp;windowWidth=800&amp;windowHeight=600","Map")</f>
        <v>Map</v>
      </c>
      <c r="O81" s="2" t="str">
        <f>HYPERLINK("http://www.windermere.com/index.cfm?fuseaction=viewGallery.Home&amp;customTourID=203947&amp;wvt=0","More")</f>
        <v>More</v>
      </c>
      <c r="AI81" t="s">
        <v>66</v>
      </c>
      <c r="AJ81">
        <v>98103</v>
      </c>
      <c r="AS81" t="s">
        <v>491</v>
      </c>
      <c r="AT81">
        <v>19185353</v>
      </c>
      <c r="AU81" s="12">
        <v>39495</v>
      </c>
      <c r="BB81" t="s">
        <v>912</v>
      </c>
      <c r="BC81" s="7">
        <v>39456</v>
      </c>
      <c r="BG81">
        <v>39</v>
      </c>
      <c r="BH81" s="17">
        <f t="shared" ca="1" si="1"/>
        <v>71</v>
      </c>
      <c r="BI81" s="17"/>
      <c r="BJ81" s="17"/>
    </row>
    <row r="82" spans="1:63" hidden="1">
      <c r="A82">
        <v>28025026</v>
      </c>
      <c r="B82" s="2" t="str">
        <f>HYPERLINK("http://www.windermere.com/index.cfm?fuseaction=Listing.ListingDetail&amp;ListingID=19361620","Active")</f>
        <v>Active</v>
      </c>
      <c r="D82" t="s">
        <v>63</v>
      </c>
      <c r="E82" t="s">
        <v>336</v>
      </c>
      <c r="F82" s="10">
        <v>350000</v>
      </c>
      <c r="G82" t="s">
        <v>137</v>
      </c>
      <c r="H82" s="1">
        <v>1280</v>
      </c>
      <c r="I82">
        <v>4120</v>
      </c>
      <c r="J82">
        <v>2</v>
      </c>
      <c r="K82">
        <v>1</v>
      </c>
      <c r="M82" s="2" t="str">
        <f>HYPERLINK("http://www.windermere.com/index.cfm?fuseaction=Listing.MapPropertyInteractive&amp;ListingID=19361620&amp;resize=true&amp;windowWidth=800&amp;windowHeight=600","Map")</f>
        <v>Map</v>
      </c>
      <c r="O82" s="2" t="str">
        <f>HYPERLINK("http://www.windermere.com/index.cfm?fuseaction=viewGallery.Home&amp;customTourID=207030&amp;wvt=0","More")</f>
        <v>More</v>
      </c>
      <c r="AI82" t="s">
        <v>66</v>
      </c>
      <c r="AJ82">
        <v>98117</v>
      </c>
      <c r="AS82" t="s">
        <v>337</v>
      </c>
      <c r="AT82">
        <v>19361620</v>
      </c>
      <c r="AU82" s="12">
        <v>39495</v>
      </c>
      <c r="BB82" t="s">
        <v>912</v>
      </c>
      <c r="BC82" s="7">
        <v>39491</v>
      </c>
      <c r="BG82">
        <v>4</v>
      </c>
      <c r="BH82" s="17">
        <f t="shared" ca="1" si="1"/>
        <v>36</v>
      </c>
      <c r="BI82" s="17"/>
      <c r="BJ82" s="17"/>
    </row>
    <row r="83" spans="1:63" hidden="1">
      <c r="A83">
        <v>27183222</v>
      </c>
      <c r="B83" s="2" t="str">
        <f>HYPERLINK("http://www.windermere.com/index.cfm?fuseaction=Listing.ListingDetail&amp;ListingID=18789512","Contingent")</f>
        <v>Contingent</v>
      </c>
      <c r="D83" t="s">
        <v>55</v>
      </c>
      <c r="E83" t="s">
        <v>492</v>
      </c>
      <c r="F83" s="10">
        <v>351000</v>
      </c>
      <c r="G83" t="s">
        <v>144</v>
      </c>
      <c r="H83" s="1">
        <v>1020</v>
      </c>
      <c r="I83">
        <v>4133</v>
      </c>
      <c r="J83">
        <v>2</v>
      </c>
      <c r="K83">
        <v>1</v>
      </c>
      <c r="M83" s="2" t="str">
        <f>HYPERLINK("http://www.windermere.com/index.cfm?fuseaction=Listing.MapPropertyInteractive&amp;ListingID=18789512&amp;resize=true&amp;windowWidth=800&amp;windowHeight=600","Map")</f>
        <v>Map</v>
      </c>
      <c r="O83" s="2" t="str">
        <f>HYPERLINK("http://www.windermere.com/index.cfm?fuseaction=Listing.MultiImageViewer&amp;ListingID=18789512&amp;ln=27183222&amp;pub_mls=1","More")</f>
        <v>More</v>
      </c>
      <c r="AI83" t="s">
        <v>66</v>
      </c>
      <c r="AJ83">
        <v>98133</v>
      </c>
      <c r="AS83" t="s">
        <v>493</v>
      </c>
      <c r="AT83">
        <v>18789512</v>
      </c>
      <c r="AU83" s="12">
        <v>39495</v>
      </c>
      <c r="BB83" t="s">
        <v>912</v>
      </c>
      <c r="BC83" s="7">
        <v>39365</v>
      </c>
      <c r="BG83">
        <v>130</v>
      </c>
      <c r="BH83" s="17">
        <f t="shared" ca="1" si="1"/>
        <v>162</v>
      </c>
      <c r="BI83" s="17"/>
      <c r="BJ83" s="17"/>
      <c r="BK83" t="str">
        <f>B83</f>
        <v>Contingent</v>
      </c>
    </row>
    <row r="84" spans="1:63" hidden="1">
      <c r="A84">
        <v>27206666</v>
      </c>
      <c r="B84" s="2" t="str">
        <f>HYPERLINK("http://www.windermere.com/index.cfm?fuseaction=Listing.ListingDetail&amp;ListingID=19021437","Active")</f>
        <v>Active</v>
      </c>
      <c r="D84" t="s">
        <v>99</v>
      </c>
      <c r="E84" t="s">
        <v>338</v>
      </c>
      <c r="F84" s="10">
        <v>354950</v>
      </c>
      <c r="G84" t="s">
        <v>219</v>
      </c>
      <c r="H84">
        <v>975</v>
      </c>
      <c r="I84">
        <v>4000</v>
      </c>
      <c r="J84">
        <v>3</v>
      </c>
      <c r="K84">
        <v>1.5</v>
      </c>
      <c r="M84" s="2" t="str">
        <f>HYPERLINK("http://www.windermere.com/index.cfm?fuseaction=Listing.MapPropertyInteractive&amp;ListingID=19021437&amp;resize=true&amp;windowWidth=800&amp;windowHeight=600","Map")</f>
        <v>Map</v>
      </c>
      <c r="O84" s="2" t="str">
        <f>HYPERLINK("http://www.windermere.com/index.cfm?fuseaction=Listing.MultiImageViewer&amp;ListingID=19021437&amp;ln=27206666&amp;pub_mls=1","More")</f>
        <v>More</v>
      </c>
      <c r="AI84" t="s">
        <v>66</v>
      </c>
      <c r="AJ84">
        <v>98117</v>
      </c>
      <c r="AS84" t="s">
        <v>339</v>
      </c>
      <c r="AT84">
        <v>19021437</v>
      </c>
      <c r="AU84" s="12">
        <v>39495</v>
      </c>
      <c r="BB84" t="s">
        <v>912</v>
      </c>
      <c r="BC84" s="7">
        <v>39414</v>
      </c>
      <c r="BG84">
        <v>81</v>
      </c>
      <c r="BH84" s="17">
        <f t="shared" ca="1" si="1"/>
        <v>113</v>
      </c>
      <c r="BI84" s="17"/>
      <c r="BJ84" s="17"/>
    </row>
    <row r="85" spans="1:63" hidden="1">
      <c r="A85">
        <v>28023467</v>
      </c>
      <c r="B85" s="2" t="str">
        <f>HYPERLINK("http://www.windermere.com/index.cfm?fuseaction=Listing.ListingDetail&amp;ListingID=19342133","Active")</f>
        <v>Active</v>
      </c>
      <c r="D85" t="s">
        <v>55</v>
      </c>
      <c r="E85" t="s">
        <v>494</v>
      </c>
      <c r="F85" s="10">
        <v>355000</v>
      </c>
      <c r="G85" t="s">
        <v>495</v>
      </c>
      <c r="H85" s="1">
        <v>1460</v>
      </c>
      <c r="I85">
        <v>1376</v>
      </c>
      <c r="J85">
        <v>3</v>
      </c>
      <c r="K85">
        <v>2.25</v>
      </c>
      <c r="M85" s="2" t="str">
        <f>HYPERLINK("http://www.windermere.com/index.cfm?fuseaction=Listing.MapPropertyInteractive&amp;ListingID=19342133&amp;resize=true&amp;windowWidth=800&amp;windowHeight=600","Map")</f>
        <v>Map</v>
      </c>
      <c r="O85" s="2" t="str">
        <f>HYPERLINK("http://www.windermere.com/index.cfm?fuseaction=Listing.MultiImageViewer&amp;ListingID=19342133&amp;ln=28023467&amp;pub_mls=1","More")</f>
        <v>More</v>
      </c>
      <c r="P85" t="s">
        <v>44</v>
      </c>
      <c r="AI85" t="s">
        <v>66</v>
      </c>
      <c r="AJ85">
        <v>98103</v>
      </c>
      <c r="AS85" t="s">
        <v>496</v>
      </c>
      <c r="AT85">
        <v>19342133</v>
      </c>
      <c r="AU85" s="12">
        <v>39495</v>
      </c>
      <c r="BB85" t="s">
        <v>912</v>
      </c>
      <c r="BC85" s="7">
        <v>39486</v>
      </c>
      <c r="BG85">
        <v>9</v>
      </c>
      <c r="BH85" s="17">
        <f t="shared" ca="1" si="1"/>
        <v>41</v>
      </c>
      <c r="BI85" s="17"/>
      <c r="BJ85" s="17"/>
    </row>
    <row r="86" spans="1:63" hidden="1">
      <c r="A86">
        <v>27211523</v>
      </c>
      <c r="B86" s="2" t="str">
        <f>HYPERLINK("http://www.windermere.com/index.cfm?fuseaction=Listing.ListingDetail&amp;ListingID=19079640","Active")</f>
        <v>Active</v>
      </c>
      <c r="D86" t="s">
        <v>55</v>
      </c>
      <c r="E86" t="s">
        <v>497</v>
      </c>
      <c r="F86" s="10">
        <v>357999</v>
      </c>
      <c r="G86" t="s">
        <v>147</v>
      </c>
      <c r="J86">
        <v>3</v>
      </c>
      <c r="K86">
        <v>2</v>
      </c>
      <c r="M86" s="2" t="str">
        <f>HYPERLINK("http://www.windermere.com/index.cfm?fuseaction=Listing.MapPropertyInteractive&amp;ListingID=19079640&amp;resize=true&amp;windowWidth=800&amp;windowHeight=600","Map")</f>
        <v>Map</v>
      </c>
      <c r="O86" s="2" t="str">
        <f>HYPERLINK("http://www.windermere.com/index.cfm?fuseaction=Listing.MultiImageViewer&amp;ListingID=19079640&amp;ln=27211523&amp;pub_mls=1","More")</f>
        <v>More</v>
      </c>
      <c r="AI86" t="s">
        <v>66</v>
      </c>
      <c r="AJ86">
        <v>98177</v>
      </c>
      <c r="AS86" t="s">
        <v>498</v>
      </c>
      <c r="AT86">
        <v>19079640</v>
      </c>
      <c r="AU86" s="12">
        <v>39495</v>
      </c>
      <c r="BB86" t="s">
        <v>912</v>
      </c>
      <c r="BC86" s="7">
        <v>39427</v>
      </c>
      <c r="BG86">
        <v>68</v>
      </c>
      <c r="BH86" s="17">
        <f t="shared" ca="1" si="1"/>
        <v>100</v>
      </c>
      <c r="BI86" s="17"/>
      <c r="BJ86" s="17"/>
    </row>
    <row r="87" spans="1:63" hidden="1">
      <c r="A87">
        <v>27160848</v>
      </c>
      <c r="B87" s="2" t="str">
        <f>HYPERLINK("http://www.windermere.com/index.cfm?fuseaction=Listing.ListingDetail&amp;ListingID=18557407","Active")</f>
        <v>Active</v>
      </c>
      <c r="D87" t="s">
        <v>55</v>
      </c>
      <c r="E87" t="s">
        <v>501</v>
      </c>
      <c r="F87" s="10">
        <v>359950</v>
      </c>
      <c r="G87" t="s">
        <v>147</v>
      </c>
      <c r="H87" s="1">
        <v>1350</v>
      </c>
      <c r="J87">
        <v>2</v>
      </c>
      <c r="K87">
        <v>1.5</v>
      </c>
      <c r="M87" s="2" t="str">
        <f>HYPERLINK("http://www.windermere.com/index.cfm?fuseaction=Listing.MapPropertyInteractive&amp;ListingID=18557407&amp;resize=true&amp;windowWidth=800&amp;windowHeight=600","Map")</f>
        <v>Map</v>
      </c>
      <c r="O87" s="2" t="str">
        <f>HYPERLINK("http://www.windermere.com/index.cfm?fuseaction=Listing.MultiImageViewer&amp;ListingID=18557407&amp;ln=27160848&amp;pub_mls=1","More")</f>
        <v>More</v>
      </c>
      <c r="P87" t="s">
        <v>44</v>
      </c>
      <c r="AI87" t="s">
        <v>66</v>
      </c>
      <c r="AJ87">
        <v>98103</v>
      </c>
      <c r="AS87" t="s">
        <v>502</v>
      </c>
      <c r="AT87">
        <v>18557407</v>
      </c>
      <c r="AU87" s="12">
        <v>39495</v>
      </c>
      <c r="BB87" t="s">
        <v>912</v>
      </c>
      <c r="BC87" s="7">
        <v>39327</v>
      </c>
      <c r="BD87">
        <v>3</v>
      </c>
      <c r="BE87" s="6" t="s">
        <v>1327</v>
      </c>
      <c r="BG87">
        <v>168</v>
      </c>
      <c r="BH87" s="17">
        <f t="shared" ca="1" si="1"/>
        <v>200</v>
      </c>
      <c r="BI87" s="17"/>
      <c r="BJ87" s="17"/>
    </row>
    <row r="88" spans="1:63" hidden="1">
      <c r="A88">
        <v>28014694</v>
      </c>
      <c r="B88" s="15" t="str">
        <f>HYPERLINK("http://www.windermere.com/index.cfm?fuseaction=Listing.ListingDetail&amp;ListingID=19269794","Subject To Inspection")</f>
        <v>Subject To Inspection</v>
      </c>
      <c r="D88" t="s">
        <v>920</v>
      </c>
      <c r="E88" t="s">
        <v>499</v>
      </c>
      <c r="F88" s="10">
        <v>359950</v>
      </c>
      <c r="G88" t="s">
        <v>147</v>
      </c>
      <c r="H88" s="1">
        <v>1477</v>
      </c>
      <c r="J88">
        <v>3</v>
      </c>
      <c r="K88">
        <v>2.5</v>
      </c>
      <c r="M88" s="2" t="str">
        <f>HYPERLINK("http://www.windermere.com/index.cfm?fuseaction=Listing.MapPropertyInteractive&amp;ListingID=19269794&amp;resize=true&amp;windowWidth=800&amp;windowHeight=600","Map")</f>
        <v>Map</v>
      </c>
      <c r="O88" s="2" t="str">
        <f>HYPERLINK("http://www.windermere.com/index.cfm?fuseaction=Listing.MultiImageViewer&amp;ListingID=19269794&amp;ln=28014694&amp;pub_mls=1","More")</f>
        <v>More</v>
      </c>
      <c r="AI88" t="s">
        <v>66</v>
      </c>
      <c r="AJ88">
        <v>98133</v>
      </c>
      <c r="AS88" t="s">
        <v>500</v>
      </c>
      <c r="AT88">
        <v>19269794</v>
      </c>
      <c r="AU88" s="12">
        <v>39495</v>
      </c>
      <c r="BB88" t="s">
        <v>912</v>
      </c>
      <c r="BC88" s="7">
        <v>39470</v>
      </c>
      <c r="BG88">
        <v>25</v>
      </c>
      <c r="BH88" s="17">
        <f t="shared" ca="1" si="1"/>
        <v>57</v>
      </c>
      <c r="BI88" s="17"/>
      <c r="BJ88" s="17"/>
    </row>
    <row r="89" spans="1:63" hidden="1">
      <c r="A89">
        <v>28017976</v>
      </c>
      <c r="B89" s="15" t="str">
        <f>HYPERLINK("http://www.windermere.com/index.cfm?fuseaction=Listing.ListingDetail&amp;ListingID=19310131","Subject To Inspection")</f>
        <v>Subject To Inspection</v>
      </c>
      <c r="D89" t="s">
        <v>60</v>
      </c>
      <c r="E89" t="s">
        <v>503</v>
      </c>
      <c r="F89" s="10">
        <v>359950</v>
      </c>
      <c r="G89" t="s">
        <v>256</v>
      </c>
      <c r="H89" s="1">
        <v>1540</v>
      </c>
      <c r="I89">
        <v>1340</v>
      </c>
      <c r="J89">
        <v>3</v>
      </c>
      <c r="K89">
        <v>2</v>
      </c>
      <c r="M89" s="2" t="str">
        <f>HYPERLINK("http://www.windermere.com/index.cfm?fuseaction=Listing.MapPropertyInteractive&amp;ListingID=19310131&amp;resize=true&amp;windowWidth=800&amp;windowHeight=600","Map")</f>
        <v>Map</v>
      </c>
      <c r="O89" s="2" t="str">
        <f>HYPERLINK("http://www.windermere.com/index.cfm?fuseaction=Listing.MultiImageViewer&amp;ListingID=19310131&amp;ln=28017976&amp;pub_mls=1","More")</f>
        <v>More</v>
      </c>
      <c r="AI89" t="s">
        <v>66</v>
      </c>
      <c r="AJ89">
        <v>98103</v>
      </c>
      <c r="AS89" t="s">
        <v>504</v>
      </c>
      <c r="AT89">
        <v>19310131</v>
      </c>
      <c r="AU89" s="12">
        <v>39495</v>
      </c>
      <c r="BB89" t="s">
        <v>912</v>
      </c>
      <c r="BC89" s="7">
        <v>39479</v>
      </c>
      <c r="BD89">
        <v>3</v>
      </c>
      <c r="BE89" t="s">
        <v>1402</v>
      </c>
      <c r="BG89">
        <v>16</v>
      </c>
      <c r="BH89" s="17">
        <f t="shared" ca="1" si="1"/>
        <v>48</v>
      </c>
      <c r="BI89" s="17"/>
      <c r="BJ89" s="17"/>
    </row>
    <row r="90" spans="1:63" hidden="1">
      <c r="A90">
        <v>28025060</v>
      </c>
      <c r="B90" s="2" t="str">
        <f>HYPERLINK("http://www.windermere.com/index.cfm?fuseaction=Listing.ListingDetail&amp;ListingID=19386709","Active")</f>
        <v>Active</v>
      </c>
      <c r="D90" t="s">
        <v>55</v>
      </c>
      <c r="E90" t="s">
        <v>1336</v>
      </c>
      <c r="F90" s="13">
        <v>349950</v>
      </c>
      <c r="G90" t="s">
        <v>731</v>
      </c>
      <c r="H90">
        <v>860</v>
      </c>
      <c r="I90">
        <v>6900</v>
      </c>
      <c r="J90">
        <v>3</v>
      </c>
      <c r="K90">
        <v>1</v>
      </c>
      <c r="M90" s="2" t="str">
        <f>HYPERLINK("http://www.windermere.com/index.cfm?fuseaction=Listing.MapPropertyInteractive&amp;ListingID=19386709&amp;resize=true&amp;windowWidth=800&amp;windowHeight=600","Map")</f>
        <v>Map</v>
      </c>
      <c r="O90" s="2" t="str">
        <f>HYPERLINK("http://www.windermere.com/index.cfm?fuseaction=Listing.MultiImageViewer&amp;ListingID=19386709&amp;ln=28025060&amp;pub_mls=1","More")</f>
        <v>More</v>
      </c>
      <c r="AI90" t="s">
        <v>66</v>
      </c>
      <c r="AJ90">
        <v>98117</v>
      </c>
      <c r="AS90" t="s">
        <v>1337</v>
      </c>
      <c r="AT90">
        <v>19386709</v>
      </c>
      <c r="AU90" s="7">
        <v>39496</v>
      </c>
      <c r="BB90" t="s">
        <v>912</v>
      </c>
      <c r="BC90" s="7">
        <v>39495</v>
      </c>
      <c r="BD90">
        <v>2</v>
      </c>
      <c r="BE90" t="s">
        <v>1346</v>
      </c>
      <c r="BF90" t="s">
        <v>1345</v>
      </c>
      <c r="BG90">
        <v>1</v>
      </c>
      <c r="BH90" s="17">
        <f t="shared" ca="1" si="1"/>
        <v>32</v>
      </c>
      <c r="BI90" s="17"/>
      <c r="BJ90" s="17"/>
    </row>
    <row r="91" spans="1:63" hidden="1">
      <c r="A91">
        <v>27144530</v>
      </c>
      <c r="B91" s="2" t="str">
        <f>HYPERLINK("http://www.windermere.com/index.cfm?fuseaction=Listing.ListingDetail&amp;ListingID=18424718","Subject To Inspection")</f>
        <v>Subject To Inspection</v>
      </c>
      <c r="D91" t="s">
        <v>55</v>
      </c>
      <c r="E91" t="s">
        <v>505</v>
      </c>
      <c r="F91" s="10">
        <v>360000</v>
      </c>
      <c r="G91" t="s">
        <v>137</v>
      </c>
      <c r="H91" s="1">
        <v>1050</v>
      </c>
      <c r="I91">
        <v>5100</v>
      </c>
      <c r="J91">
        <v>3</v>
      </c>
      <c r="K91">
        <v>1</v>
      </c>
      <c r="M91" s="2" t="str">
        <f>HYPERLINK("http://www.windermere.com/index.cfm?fuseaction=Listing.MapPropertyInteractive&amp;ListingID=18424718&amp;resize=true&amp;windowWidth=800&amp;windowHeight=600","Map")</f>
        <v>Map</v>
      </c>
      <c r="O91" s="2" t="str">
        <f>HYPERLINK("http://www.windermere.com/index.cfm?fuseaction=Listing.MultiImageViewer&amp;ListingID=18424718&amp;ln=27144530&amp;pub_mls=1","More")</f>
        <v>More</v>
      </c>
      <c r="AI91" t="s">
        <v>66</v>
      </c>
      <c r="AJ91">
        <v>98103</v>
      </c>
      <c r="AS91" t="s">
        <v>506</v>
      </c>
      <c r="AT91">
        <v>18424718</v>
      </c>
      <c r="AU91" s="12">
        <v>39495</v>
      </c>
      <c r="BB91" t="s">
        <v>912</v>
      </c>
      <c r="BC91" s="7">
        <v>39301</v>
      </c>
      <c r="BD91">
        <v>-2</v>
      </c>
      <c r="BE91" s="6" t="s">
        <v>1321</v>
      </c>
      <c r="BG91">
        <v>194</v>
      </c>
      <c r="BH91" s="17">
        <f t="shared" ca="1" si="1"/>
        <v>226</v>
      </c>
      <c r="BI91" s="17"/>
      <c r="BJ91" s="17"/>
      <c r="BK91" t="str">
        <f>B91</f>
        <v>Subject To Inspection</v>
      </c>
    </row>
    <row r="92" spans="1:63" hidden="1">
      <c r="A92">
        <v>27173221</v>
      </c>
      <c r="B92" s="2" t="str">
        <f>HYPERLINK("http://www.windermere.com/index.cfm?fuseaction=Listing.ListingDetail&amp;ListingID=18678127","Active")</f>
        <v>Active</v>
      </c>
      <c r="D92" t="s">
        <v>184</v>
      </c>
      <c r="E92" t="s">
        <v>507</v>
      </c>
      <c r="F92" s="10">
        <v>360000</v>
      </c>
      <c r="G92" t="s">
        <v>130</v>
      </c>
      <c r="H92" s="1">
        <v>2040</v>
      </c>
      <c r="I92">
        <v>6000</v>
      </c>
      <c r="J92">
        <v>4</v>
      </c>
      <c r="K92">
        <v>2</v>
      </c>
      <c r="M92" s="2" t="str">
        <f>HYPERLINK("http://www.windermere.com/index.cfm?fuseaction=Listing.MapPropertyInteractive&amp;ListingID=18678127&amp;resize=true&amp;windowWidth=800&amp;windowHeight=600","Map")</f>
        <v>Map</v>
      </c>
      <c r="O92" s="2" t="str">
        <f>HYPERLINK("http://www.windermere.com/index.cfm?fuseaction=Listing.MultiImageViewer&amp;ListingID=18678127&amp;ln=27173221&amp;pub_mls=1","More")</f>
        <v>More</v>
      </c>
      <c r="AI92" t="s">
        <v>66</v>
      </c>
      <c r="AJ92">
        <v>98125</v>
      </c>
      <c r="AS92" t="s">
        <v>508</v>
      </c>
      <c r="AT92">
        <v>18678127</v>
      </c>
      <c r="AU92" s="12">
        <v>39495</v>
      </c>
      <c r="BB92" t="s">
        <v>912</v>
      </c>
      <c r="BC92" s="7">
        <v>39346</v>
      </c>
      <c r="BG92">
        <v>149</v>
      </c>
      <c r="BH92" s="17">
        <f t="shared" ca="1" si="1"/>
        <v>181</v>
      </c>
      <c r="BI92" s="17"/>
      <c r="BJ92" s="17"/>
    </row>
    <row r="93" spans="1:63" hidden="1">
      <c r="A93">
        <v>27203636</v>
      </c>
      <c r="B93" s="2" t="str">
        <f>HYPERLINK("http://www.windermere.com/index.cfm?fuseaction=Listing.ListingDetail&amp;ListingID=18991624","Active")</f>
        <v>Active</v>
      </c>
      <c r="D93" t="s">
        <v>60</v>
      </c>
      <c r="E93" t="s">
        <v>550</v>
      </c>
      <c r="F93" s="13">
        <v>362000</v>
      </c>
      <c r="G93" t="s">
        <v>191</v>
      </c>
      <c r="I93">
        <v>4203</v>
      </c>
      <c r="J93">
        <v>3</v>
      </c>
      <c r="K93">
        <v>1</v>
      </c>
      <c r="M93" s="2" t="str">
        <f>HYPERLINK("http://www.windermere.com/index.cfm?fuseaction=Listing.MapPropertyInteractive&amp;ListingID=18991624&amp;resize=true&amp;windowWidth=800&amp;windowHeight=600","Map")</f>
        <v>Map</v>
      </c>
      <c r="O93" s="2" t="str">
        <f>HYPERLINK("http://www.windermere.com/index.cfm?fuseaction=Listing.MultiImageViewer&amp;ListingID=18991624&amp;ln=27203636&amp;pub_mls=1","More")</f>
        <v>More</v>
      </c>
      <c r="AI93" t="s">
        <v>66</v>
      </c>
      <c r="AJ93">
        <v>98103</v>
      </c>
      <c r="AS93" t="s">
        <v>551</v>
      </c>
      <c r="AT93">
        <v>18991624</v>
      </c>
      <c r="AU93" s="12">
        <v>39495</v>
      </c>
      <c r="BB93" t="s">
        <v>912</v>
      </c>
      <c r="BC93" s="7">
        <v>39404</v>
      </c>
      <c r="BG93">
        <v>91</v>
      </c>
      <c r="BH93" s="17">
        <f t="shared" ca="1" si="1"/>
        <v>123</v>
      </c>
      <c r="BI93" s="17"/>
      <c r="BJ93" s="17"/>
    </row>
    <row r="94" spans="1:63" hidden="1">
      <c r="A94">
        <v>27191568</v>
      </c>
      <c r="B94" s="2" t="str">
        <f>HYPERLINK("http://www.windermere.com/index.cfm?fuseaction=Listing.ListingDetail&amp;ListingID=18858794","Active")</f>
        <v>Active</v>
      </c>
      <c r="D94" t="s">
        <v>60</v>
      </c>
      <c r="E94" t="s">
        <v>127</v>
      </c>
      <c r="F94" s="10">
        <v>363500</v>
      </c>
      <c r="G94" t="s">
        <v>128</v>
      </c>
      <c r="H94" s="1">
        <v>1175</v>
      </c>
      <c r="I94">
        <v>1366</v>
      </c>
      <c r="J94">
        <v>2</v>
      </c>
      <c r="K94">
        <v>2.5</v>
      </c>
      <c r="M94" s="2" t="str">
        <f>HYPERLINK("http://www.windermere.com/index.cfm?fuseaction=Listing.MapPropertyInteractive&amp;ListingID=18858794&amp;resize=true&amp;windowWidth=800&amp;windowHeight=600","Map")</f>
        <v>Map</v>
      </c>
      <c r="O94" s="2" t="str">
        <f>HYPERLINK("http://www.windermere.com/index.cfm?fuseaction=Listing.MultiImageViewer&amp;ListingID=18858794&amp;ln=27191568&amp;pub_mls=1","More")</f>
        <v>More</v>
      </c>
      <c r="P94" t="s">
        <v>44</v>
      </c>
      <c r="AI94" t="s">
        <v>66</v>
      </c>
      <c r="AJ94">
        <v>98103</v>
      </c>
      <c r="AS94" t="s">
        <v>509</v>
      </c>
      <c r="AT94">
        <v>18858794</v>
      </c>
      <c r="AU94" s="12">
        <v>39495</v>
      </c>
      <c r="BB94" t="s">
        <v>912</v>
      </c>
      <c r="BC94" s="7">
        <v>39379</v>
      </c>
      <c r="BG94">
        <v>116</v>
      </c>
      <c r="BH94" s="17">
        <f t="shared" ca="1" si="1"/>
        <v>148</v>
      </c>
      <c r="BI94" s="17"/>
      <c r="BJ94" s="17"/>
    </row>
    <row r="95" spans="1:63" hidden="1">
      <c r="A95">
        <v>28006638</v>
      </c>
      <c r="B95" s="2" t="str">
        <f>HYPERLINK("http://www.windermere.com/index.cfm?fuseaction=Listing.ListingDetail&amp;ListingID=19194788","Active")</f>
        <v>Active</v>
      </c>
      <c r="D95" t="s">
        <v>60</v>
      </c>
      <c r="E95" t="s">
        <v>510</v>
      </c>
      <c r="F95" s="10">
        <v>364500</v>
      </c>
      <c r="G95" t="s">
        <v>128</v>
      </c>
      <c r="H95" s="1">
        <v>1300</v>
      </c>
      <c r="J95">
        <v>3</v>
      </c>
      <c r="K95">
        <v>2.5</v>
      </c>
      <c r="M95" s="2" t="str">
        <f>HYPERLINK("http://www.windermere.com/index.cfm?fuseaction=Listing.MapPropertyInteractive&amp;ListingID=19194788&amp;resize=true&amp;windowWidth=800&amp;windowHeight=600","Map")</f>
        <v>Map</v>
      </c>
      <c r="O95" s="2" t="str">
        <f>HYPERLINK("http://www.windermere.com/index.cfm?fuseaction=viewGallery.Home&amp;customTourID=202453&amp;wvt=0","More")</f>
        <v>More</v>
      </c>
      <c r="P95" t="s">
        <v>44</v>
      </c>
      <c r="AI95" t="s">
        <v>66</v>
      </c>
      <c r="AJ95">
        <v>98103</v>
      </c>
      <c r="AS95" t="s">
        <v>511</v>
      </c>
      <c r="AT95">
        <v>19194788</v>
      </c>
      <c r="AU95" s="12">
        <v>39495</v>
      </c>
      <c r="BB95" t="s">
        <v>912</v>
      </c>
      <c r="BC95" s="7">
        <v>39457</v>
      </c>
      <c r="BG95">
        <v>38</v>
      </c>
      <c r="BH95" s="17">
        <f t="shared" ca="1" si="1"/>
        <v>70</v>
      </c>
      <c r="BI95" s="17"/>
      <c r="BJ95" s="17"/>
    </row>
    <row r="96" spans="1:63" hidden="1">
      <c r="A96">
        <v>27191720</v>
      </c>
      <c r="B96" s="2" t="str">
        <f>HYPERLINK("http://www.windermere.com/index.cfm?fuseaction=Listing.ListingDetail&amp;ListingID=18859931","Active")</f>
        <v>Active</v>
      </c>
      <c r="D96" t="s">
        <v>63</v>
      </c>
      <c r="E96" t="s">
        <v>342</v>
      </c>
      <c r="F96" s="13">
        <v>349999</v>
      </c>
      <c r="G96" t="s">
        <v>147</v>
      </c>
      <c r="H96" s="1">
        <v>1338</v>
      </c>
      <c r="J96">
        <v>3</v>
      </c>
      <c r="K96">
        <v>2.5</v>
      </c>
      <c r="M96" s="2" t="str">
        <f>HYPERLINK("http://www.windermere.com/index.cfm?fuseaction=Listing.MapPropertyInteractive&amp;ListingID=18859931&amp;resize=true&amp;windowWidth=800&amp;windowHeight=600","Map")</f>
        <v>Map</v>
      </c>
      <c r="O96" s="2" t="str">
        <f>HYPERLINK("http://www.windermere.com/index.cfm?fuseaction=Listing.MultiImageViewer&amp;ListingID=18859931&amp;ln=27191720&amp;pub_mls=1","More")</f>
        <v>More</v>
      </c>
      <c r="AI96" t="s">
        <v>66</v>
      </c>
      <c r="AJ96">
        <v>98117</v>
      </c>
      <c r="AS96" t="s">
        <v>343</v>
      </c>
      <c r="AT96">
        <v>18859931</v>
      </c>
      <c r="AU96" s="12">
        <v>39495</v>
      </c>
      <c r="BB96" t="s">
        <v>912</v>
      </c>
      <c r="BC96" s="7">
        <v>39379</v>
      </c>
      <c r="BG96">
        <v>116</v>
      </c>
      <c r="BH96" s="17">
        <f t="shared" ca="1" si="1"/>
        <v>148</v>
      </c>
      <c r="BI96" s="17"/>
      <c r="BJ96" s="17"/>
    </row>
    <row r="97" spans="1:63" hidden="1">
      <c r="A97">
        <v>27191728</v>
      </c>
      <c r="B97" s="4" t="str">
        <f>HYPERLINK("http://www.windermere.com/index.cfm?fuseaction=Listing.ListingDetail&amp;ListingID=18860071","Subject To Inspection")</f>
        <v>Subject To Inspection</v>
      </c>
      <c r="D97" t="s">
        <v>63</v>
      </c>
      <c r="E97" t="s">
        <v>340</v>
      </c>
      <c r="F97" s="13">
        <v>349999</v>
      </c>
      <c r="G97" t="s">
        <v>147</v>
      </c>
      <c r="H97" s="1">
        <v>1338</v>
      </c>
      <c r="J97">
        <v>3</v>
      </c>
      <c r="K97">
        <v>2.5</v>
      </c>
      <c r="M97" s="2" t="str">
        <f>HYPERLINK("http://www.windermere.com/index.cfm?fuseaction=Listing.MapPropertyInteractive&amp;ListingID=18860071&amp;resize=true&amp;windowWidth=800&amp;windowHeight=600","Map")</f>
        <v>Map</v>
      </c>
      <c r="O97" s="2" t="str">
        <f>HYPERLINK("http://www.windermere.com/index.cfm?fuseaction=Listing.MultiImageViewer&amp;ListingID=18860071&amp;ln=27191728&amp;pub_mls=1","More")</f>
        <v>More</v>
      </c>
      <c r="AI97" t="s">
        <v>66</v>
      </c>
      <c r="AJ97">
        <v>98117</v>
      </c>
      <c r="AS97" t="s">
        <v>341</v>
      </c>
      <c r="AT97">
        <v>18860071</v>
      </c>
      <c r="AU97" s="12">
        <v>39495</v>
      </c>
      <c r="BB97" t="s">
        <v>912</v>
      </c>
      <c r="BC97" s="7">
        <v>39379</v>
      </c>
      <c r="BG97">
        <v>116</v>
      </c>
      <c r="BH97" s="17">
        <f t="shared" ca="1" si="1"/>
        <v>148</v>
      </c>
      <c r="BI97" s="17"/>
      <c r="BJ97" s="17"/>
    </row>
    <row r="98" spans="1:63" hidden="1">
      <c r="A98">
        <v>27191729</v>
      </c>
      <c r="B98" s="2" t="str">
        <f>HYPERLINK("http://www.windermere.com/index.cfm?fuseaction=Listing.ListingDetail&amp;ListingID=18860069","Active")</f>
        <v>Active</v>
      </c>
      <c r="D98" t="s">
        <v>63</v>
      </c>
      <c r="E98" t="s">
        <v>344</v>
      </c>
      <c r="F98" s="13">
        <v>349999</v>
      </c>
      <c r="G98" t="s">
        <v>147</v>
      </c>
      <c r="H98" s="1">
        <v>1338</v>
      </c>
      <c r="J98">
        <v>3</v>
      </c>
      <c r="K98">
        <v>2.5</v>
      </c>
      <c r="M98" s="2" t="str">
        <f>HYPERLINK("http://www.windermere.com/index.cfm?fuseaction=Listing.MapPropertyInteractive&amp;ListingID=18860069&amp;resize=true&amp;windowWidth=800&amp;windowHeight=600","Map")</f>
        <v>Map</v>
      </c>
      <c r="O98" s="2" t="str">
        <f>HYPERLINK("http://www.windermere.com/index.cfm?fuseaction=Listing.MultiImageViewer&amp;ListingID=18860069&amp;ln=27191729&amp;pub_mls=1","More")</f>
        <v>More</v>
      </c>
      <c r="AI98" t="s">
        <v>66</v>
      </c>
      <c r="AJ98">
        <v>98117</v>
      </c>
      <c r="AS98" t="s">
        <v>345</v>
      </c>
      <c r="AT98">
        <v>18860069</v>
      </c>
      <c r="AU98" s="12">
        <v>39495</v>
      </c>
      <c r="BB98" t="s">
        <v>912</v>
      </c>
      <c r="BC98" s="7">
        <v>39379</v>
      </c>
      <c r="BG98">
        <v>116</v>
      </c>
      <c r="BH98" s="17">
        <f t="shared" ca="1" si="1"/>
        <v>148</v>
      </c>
      <c r="BI98" s="17"/>
      <c r="BJ98" s="17"/>
    </row>
    <row r="99" spans="1:63" hidden="1">
      <c r="A99">
        <v>27191731</v>
      </c>
      <c r="B99" s="4" t="str">
        <f>HYPERLINK("http://www.windermere.com/index.cfm?fuseaction=Listing.ListingDetail&amp;ListingID=18860070","Subject To Inspection")</f>
        <v>Subject To Inspection</v>
      </c>
      <c r="D99" t="s">
        <v>63</v>
      </c>
      <c r="E99" t="s">
        <v>346</v>
      </c>
      <c r="F99" s="13">
        <v>349999</v>
      </c>
      <c r="G99" t="s">
        <v>147</v>
      </c>
      <c r="H99" s="1">
        <v>1338</v>
      </c>
      <c r="J99">
        <v>3</v>
      </c>
      <c r="K99">
        <v>2.5</v>
      </c>
      <c r="M99" s="2" t="str">
        <f>HYPERLINK("http://www.windermere.com/index.cfm?fuseaction=Listing.MapPropertyInteractive&amp;ListingID=18860070&amp;resize=true&amp;windowWidth=800&amp;windowHeight=600","Map")</f>
        <v>Map</v>
      </c>
      <c r="O99" s="2" t="str">
        <f>HYPERLINK("http://www.windermere.com/index.cfm?fuseaction=Listing.MultiImageViewer&amp;ListingID=18860070&amp;ln=27191731&amp;pub_mls=1","More")</f>
        <v>More</v>
      </c>
      <c r="AI99" t="s">
        <v>66</v>
      </c>
      <c r="AJ99">
        <v>98117</v>
      </c>
      <c r="AS99" t="s">
        <v>347</v>
      </c>
      <c r="AT99">
        <v>18860070</v>
      </c>
      <c r="AU99" s="12">
        <v>39495</v>
      </c>
      <c r="BB99" t="s">
        <v>912</v>
      </c>
      <c r="BC99" s="7">
        <v>39379</v>
      </c>
      <c r="BG99">
        <v>116</v>
      </c>
      <c r="BH99" s="17">
        <f t="shared" ca="1" si="1"/>
        <v>148</v>
      </c>
      <c r="BI99" s="17"/>
      <c r="BJ99" s="17"/>
    </row>
    <row r="100" spans="1:63" hidden="1">
      <c r="A100">
        <v>28026528</v>
      </c>
      <c r="B100" s="15" t="str">
        <f>HYPERLINK("http://www.windermere.com/index.cfm?fuseaction=Listing.ListingDetail&amp;ListingID=19365753","Subject To Inspection")</f>
        <v>Subject To Inspection</v>
      </c>
      <c r="D100" t="s">
        <v>70</v>
      </c>
      <c r="E100" t="s">
        <v>512</v>
      </c>
      <c r="F100" s="10">
        <v>364888</v>
      </c>
      <c r="G100" t="s">
        <v>147</v>
      </c>
      <c r="H100" s="1">
        <v>1530</v>
      </c>
      <c r="J100">
        <v>3</v>
      </c>
      <c r="K100">
        <v>2.25</v>
      </c>
      <c r="M100" s="2" t="str">
        <f>HYPERLINK("http://www.windermere.com/index.cfm?fuseaction=Listing.MapPropertyInteractive&amp;ListingID=19365753&amp;resize=true&amp;windowWidth=800&amp;windowHeight=600","Map")</f>
        <v>Map</v>
      </c>
      <c r="O100" s="2" t="str">
        <f>HYPERLINK("http://www.windermere.com/index.cfm?fuseaction=Listing.MultiImageViewer&amp;ListingID=19365753&amp;ln=28026528&amp;pub_mls=1","More")</f>
        <v>More</v>
      </c>
      <c r="AI100" t="s">
        <v>66</v>
      </c>
      <c r="AJ100">
        <v>98133</v>
      </c>
      <c r="AS100" t="s">
        <v>513</v>
      </c>
      <c r="AT100">
        <v>19365753</v>
      </c>
      <c r="AU100" s="12">
        <v>39495</v>
      </c>
      <c r="BB100" t="s">
        <v>912</v>
      </c>
      <c r="BC100" s="7">
        <v>39491</v>
      </c>
      <c r="BD100">
        <v>-4</v>
      </c>
      <c r="BE100" t="s">
        <v>1403</v>
      </c>
      <c r="BG100">
        <v>4</v>
      </c>
      <c r="BH100" s="17">
        <f t="shared" ca="1" si="1"/>
        <v>36</v>
      </c>
      <c r="BI100" s="17"/>
      <c r="BJ100" s="17"/>
    </row>
    <row r="101" spans="1:63" hidden="1">
      <c r="A101">
        <v>27160841</v>
      </c>
      <c r="B101" s="2" t="str">
        <f>HYPERLINK("http://www.windermere.com/index.cfm?fuseaction=Listing.ListingDetail&amp;ListingID=19060032","Active")</f>
        <v>Active</v>
      </c>
      <c r="D101" t="s">
        <v>55</v>
      </c>
      <c r="E101" t="s">
        <v>521</v>
      </c>
      <c r="F101" s="10">
        <v>364950</v>
      </c>
      <c r="G101" t="s">
        <v>147</v>
      </c>
      <c r="H101" s="1">
        <v>1325</v>
      </c>
      <c r="J101">
        <v>2</v>
      </c>
      <c r="K101">
        <v>1.5</v>
      </c>
      <c r="M101" s="2" t="str">
        <f>HYPERLINK("http://www.windermere.com/index.cfm?fuseaction=Listing.MapPropertyInteractive&amp;ListingID=19060032&amp;resize=true&amp;windowWidth=800&amp;windowHeight=600","Map")</f>
        <v>Map</v>
      </c>
      <c r="O101" s="2" t="str">
        <f>HYPERLINK("http://www.windermere.com/index.cfm?fuseaction=Listing.MultiImageViewer&amp;ListingID=19060032&amp;ln=27160841&amp;pub_mls=1","More")</f>
        <v>More</v>
      </c>
      <c r="P101" t="s">
        <v>44</v>
      </c>
      <c r="AI101" t="s">
        <v>66</v>
      </c>
      <c r="AJ101">
        <v>98103</v>
      </c>
      <c r="AS101" t="s">
        <v>522</v>
      </c>
      <c r="AT101">
        <v>19060032</v>
      </c>
      <c r="AU101" s="12">
        <v>39495</v>
      </c>
      <c r="BB101" t="s">
        <v>912</v>
      </c>
      <c r="BC101" s="7">
        <v>39327</v>
      </c>
      <c r="BD101">
        <v>3</v>
      </c>
      <c r="BE101" s="6" t="s">
        <v>1327</v>
      </c>
      <c r="BG101">
        <v>168</v>
      </c>
      <c r="BH101" s="17">
        <f t="shared" ca="1" si="1"/>
        <v>200</v>
      </c>
      <c r="BI101" s="17"/>
      <c r="BJ101" s="17"/>
    </row>
    <row r="102" spans="1:63" hidden="1">
      <c r="A102">
        <v>27194391</v>
      </c>
      <c r="B102" s="2" t="str">
        <f>HYPERLINK("http://www.windermere.com/index.cfm?fuseaction=Listing.ListingDetail&amp;ListingID=18898996","Active")</f>
        <v>Active</v>
      </c>
      <c r="D102" t="s">
        <v>66</v>
      </c>
      <c r="E102" t="s">
        <v>519</v>
      </c>
      <c r="F102" s="10">
        <v>364950</v>
      </c>
      <c r="G102" t="s">
        <v>404</v>
      </c>
      <c r="H102" s="1">
        <v>1580</v>
      </c>
      <c r="I102">
        <v>1200</v>
      </c>
      <c r="J102">
        <v>3</v>
      </c>
      <c r="K102">
        <v>2.5</v>
      </c>
      <c r="M102" s="2" t="str">
        <f>HYPERLINK("http://www.windermere.com/index.cfm?fuseaction=Listing.MapPropertyInteractive&amp;ListingID=18898996&amp;resize=true&amp;windowWidth=800&amp;windowHeight=600","Map")</f>
        <v>Map</v>
      </c>
      <c r="AI102" t="s">
        <v>66</v>
      </c>
      <c r="AJ102">
        <v>98133</v>
      </c>
      <c r="AS102" t="s">
        <v>520</v>
      </c>
      <c r="AT102">
        <v>18898996</v>
      </c>
      <c r="AU102" s="12">
        <v>39495</v>
      </c>
      <c r="BB102" t="s">
        <v>912</v>
      </c>
      <c r="BC102" s="7">
        <v>39387</v>
      </c>
      <c r="BG102">
        <v>108</v>
      </c>
      <c r="BH102" s="17">
        <f t="shared" ca="1" si="1"/>
        <v>140</v>
      </c>
      <c r="BI102" s="17"/>
      <c r="BJ102" s="17"/>
    </row>
    <row r="103" spans="1:63" hidden="1">
      <c r="A103">
        <v>27199578</v>
      </c>
      <c r="B103" s="2" t="str">
        <f>HYPERLINK("http://www.windermere.com/index.cfm?fuseaction=Listing.ListingDetail&amp;ListingID=18938966","Contingent")</f>
        <v>Contingent</v>
      </c>
      <c r="D103" t="s">
        <v>968</v>
      </c>
      <c r="E103" t="s">
        <v>1102</v>
      </c>
      <c r="F103" s="10">
        <v>364950</v>
      </c>
      <c r="G103" t="s">
        <v>147</v>
      </c>
      <c r="H103" s="1">
        <v>1951</v>
      </c>
      <c r="I103">
        <v>1631</v>
      </c>
      <c r="J103">
        <v>3</v>
      </c>
      <c r="K103">
        <v>3.25</v>
      </c>
      <c r="M103" s="2" t="str">
        <f>HYPERLINK("http://www.windermere.com/index.cfm?fuseaction=Listing.MapPropertyInteractive&amp;ListingID=18938966&amp;resize=true&amp;windowWidth=800&amp;windowHeight=600","Map")</f>
        <v>Map</v>
      </c>
      <c r="O103" s="2" t="str">
        <f>HYPERLINK("http://www.windermere.com/index.cfm?fuseaction=Listing.MultiImageViewer&amp;ListingID=18938966&amp;ln=27199578&amp;pub_mls=1","More")</f>
        <v>More</v>
      </c>
      <c r="P103" t="s">
        <v>44</v>
      </c>
      <c r="AI103" t="s">
        <v>396</v>
      </c>
      <c r="AJ103">
        <v>98155</v>
      </c>
      <c r="AS103" t="s">
        <v>1103</v>
      </c>
      <c r="AT103">
        <v>18938966</v>
      </c>
      <c r="AU103" s="12">
        <v>39495</v>
      </c>
      <c r="BB103" t="s">
        <v>912</v>
      </c>
      <c r="BC103" s="7">
        <v>39395</v>
      </c>
      <c r="BG103">
        <v>100</v>
      </c>
      <c r="BH103" s="17">
        <f t="shared" ca="1" si="1"/>
        <v>132</v>
      </c>
      <c r="BI103" s="17"/>
      <c r="BJ103" s="17"/>
      <c r="BK103" t="str">
        <f>B103</f>
        <v>Contingent</v>
      </c>
    </row>
    <row r="104" spans="1:63" hidden="1">
      <c r="A104">
        <v>28013775</v>
      </c>
      <c r="B104" s="2" t="str">
        <f>HYPERLINK("http://www.windermere.com/index.cfm?fuseaction=Listing.ListingDetail&amp;ListingID=19280728","Active")</f>
        <v>Active</v>
      </c>
      <c r="D104" t="s">
        <v>70</v>
      </c>
      <c r="E104" t="s">
        <v>514</v>
      </c>
      <c r="F104" s="13">
        <v>354950</v>
      </c>
      <c r="G104" t="s">
        <v>247</v>
      </c>
      <c r="H104" s="1">
        <v>1518</v>
      </c>
      <c r="J104">
        <v>3</v>
      </c>
      <c r="K104">
        <v>3.5</v>
      </c>
      <c r="M104" s="2" t="str">
        <f>HYPERLINK("http://www.windermere.com/index.cfm?fuseaction=Listing.MapPropertyInteractive&amp;ListingID=19280728&amp;resize=true&amp;windowWidth=800&amp;windowHeight=600","Map")</f>
        <v>Map</v>
      </c>
      <c r="O104" s="2" t="str">
        <f>HYPERLINK("http://www.windermere.com/index.cfm?fuseaction=Listing.MultiImageViewer&amp;ListingID=19280728&amp;ln=28013775&amp;pub_mls=1","More")</f>
        <v>More</v>
      </c>
      <c r="P104" t="s">
        <v>44</v>
      </c>
      <c r="AI104" t="s">
        <v>66</v>
      </c>
      <c r="AJ104">
        <v>98133</v>
      </c>
      <c r="AS104" t="s">
        <v>515</v>
      </c>
      <c r="AT104">
        <v>19280728</v>
      </c>
      <c r="AU104" s="12">
        <v>39495</v>
      </c>
      <c r="BB104" t="s">
        <v>912</v>
      </c>
      <c r="BC104" s="7">
        <v>39472</v>
      </c>
      <c r="BG104">
        <v>23</v>
      </c>
      <c r="BH104" s="17">
        <f t="shared" ca="1" si="1"/>
        <v>55</v>
      </c>
      <c r="BI104" s="17"/>
      <c r="BJ104" s="17"/>
    </row>
    <row r="105" spans="1:63" hidden="1">
      <c r="A105">
        <v>28023084</v>
      </c>
      <c r="B105" s="2" t="str">
        <f>HYPERLINK("http://www.windermere.com/index.cfm?fuseaction=Listing.ListingDetail&amp;ListingID=19340741","Subject To Inspection")</f>
        <v>Subject To Inspection</v>
      </c>
      <c r="C105">
        <v>710</v>
      </c>
      <c r="D105" t="s">
        <v>199</v>
      </c>
      <c r="E105" t="s">
        <v>516</v>
      </c>
      <c r="F105" s="10">
        <v>364950</v>
      </c>
      <c r="G105" t="s">
        <v>517</v>
      </c>
      <c r="H105">
        <v>940</v>
      </c>
      <c r="I105">
        <v>8364</v>
      </c>
      <c r="J105">
        <v>3</v>
      </c>
      <c r="K105">
        <v>1</v>
      </c>
      <c r="L105">
        <v>1</v>
      </c>
      <c r="M105" s="2" t="str">
        <f>HYPERLINK("http://www.windermere.com/index.cfm?fuseaction=Listing.MapPropertyInteractive&amp;ListingID=19340741&amp;resize=true&amp;windowWidth=800&amp;windowHeight=600","Map")</f>
        <v>Map</v>
      </c>
      <c r="N105" s="2" t="str">
        <f>HYPERLINK("http://locmedia.nwmls.com/DO_NOT_LINK/bigphoto/084/28023084.jpg?tsp=20080208063946","Photo")</f>
        <v>Photo</v>
      </c>
      <c r="O105" s="2" t="str">
        <f>HYPERLINK("http://www.windermere.com/index.cfm?fuseaction=Listing.MultiImageViewer&amp;ListingID=19340741&amp;ln=28023084&amp;pub_mls=1","More")</f>
        <v>More</v>
      </c>
      <c r="Q105" t="s">
        <v>56</v>
      </c>
      <c r="R105" t="s">
        <v>67</v>
      </c>
      <c r="S105" t="s">
        <v>49</v>
      </c>
      <c r="T105" t="s">
        <v>50</v>
      </c>
      <c r="U105" t="s">
        <v>44</v>
      </c>
      <c r="X105" t="s">
        <v>47</v>
      </c>
      <c r="Y105" t="s">
        <v>48</v>
      </c>
      <c r="Z105" t="s">
        <v>1011</v>
      </c>
      <c r="AB105">
        <v>2007</v>
      </c>
      <c r="AC105">
        <v>2548</v>
      </c>
      <c r="AD105" t="s">
        <v>1012</v>
      </c>
      <c r="AE105" t="s">
        <v>74</v>
      </c>
      <c r="AF105" t="s">
        <v>1013</v>
      </c>
      <c r="AG105">
        <v>47.724395999999999</v>
      </c>
      <c r="AH105">
        <v>-122.29774999999999</v>
      </c>
      <c r="AI105" t="s">
        <v>66</v>
      </c>
      <c r="AJ105">
        <v>98125</v>
      </c>
      <c r="AK105" t="s">
        <v>41</v>
      </c>
      <c r="AL105" t="s">
        <v>40</v>
      </c>
      <c r="AM105" t="s">
        <v>40</v>
      </c>
      <c r="AO105">
        <v>0.192</v>
      </c>
      <c r="AP105" t="s">
        <v>1014</v>
      </c>
      <c r="AQ105">
        <v>505</v>
      </c>
      <c r="AR105" t="s">
        <v>105</v>
      </c>
      <c r="AS105" t="s">
        <v>518</v>
      </c>
      <c r="AT105">
        <v>19340741</v>
      </c>
      <c r="AU105" s="12">
        <v>39495</v>
      </c>
      <c r="BA105" t="s">
        <v>912</v>
      </c>
      <c r="BB105" t="s">
        <v>912</v>
      </c>
      <c r="BC105" s="7">
        <v>39486</v>
      </c>
      <c r="BG105">
        <v>9</v>
      </c>
      <c r="BH105" s="17">
        <f t="shared" ca="1" si="1"/>
        <v>41</v>
      </c>
      <c r="BI105" s="17"/>
      <c r="BJ105" s="17"/>
      <c r="BK105" t="str">
        <f>B105</f>
        <v>Subject To Inspection</v>
      </c>
    </row>
    <row r="106" spans="1:63" hidden="1">
      <c r="A106">
        <v>27208748</v>
      </c>
      <c r="B106" s="2" t="str">
        <f>HYPERLINK("http://www.windermere.com/index.cfm?fuseaction=Listing.ListingDetail&amp;ListingID=19048334","Active")</f>
        <v>Active</v>
      </c>
      <c r="D106" t="s">
        <v>99</v>
      </c>
      <c r="E106" t="s">
        <v>348</v>
      </c>
      <c r="F106" s="13">
        <v>355000</v>
      </c>
      <c r="G106" t="s">
        <v>151</v>
      </c>
      <c r="H106" s="1">
        <v>1220</v>
      </c>
      <c r="J106">
        <v>2</v>
      </c>
      <c r="K106">
        <v>2</v>
      </c>
      <c r="M106" s="2" t="str">
        <f>HYPERLINK("http://www.windermere.com/index.cfm?fuseaction=Listing.MapPropertyInteractive&amp;ListingID=19048334&amp;resize=true&amp;windowWidth=800&amp;windowHeight=600","Map")</f>
        <v>Map</v>
      </c>
      <c r="O106" s="2" t="str">
        <f>HYPERLINK("http://www.windermere.com/index.cfm?fuseaction=viewGallery.Home&amp;customTourID=201679&amp;wvt=0","More")</f>
        <v>More</v>
      </c>
      <c r="AI106" t="s">
        <v>66</v>
      </c>
      <c r="AJ106">
        <v>98117</v>
      </c>
      <c r="AS106" t="s">
        <v>349</v>
      </c>
      <c r="AT106">
        <v>19048334</v>
      </c>
      <c r="AU106" s="12">
        <v>39495</v>
      </c>
      <c r="BB106" t="s">
        <v>912</v>
      </c>
      <c r="BC106" s="7">
        <v>39420</v>
      </c>
      <c r="BD106">
        <v>2</v>
      </c>
      <c r="BE106" t="s">
        <v>1374</v>
      </c>
      <c r="BG106">
        <v>75</v>
      </c>
      <c r="BH106" s="17">
        <f t="shared" ca="1" si="1"/>
        <v>107</v>
      </c>
      <c r="BI106" s="17"/>
      <c r="BJ106" s="17"/>
    </row>
    <row r="107" spans="1:63" hidden="1">
      <c r="A107">
        <v>28007328</v>
      </c>
      <c r="B107" s="2" t="str">
        <f>HYPERLINK("http://www.windermere.com/index.cfm?fuseaction=Listing.ListingDetail&amp;ListingID=19206316","Active")</f>
        <v>Active</v>
      </c>
      <c r="D107" t="s">
        <v>55</v>
      </c>
      <c r="E107" t="s">
        <v>525</v>
      </c>
      <c r="F107" s="18">
        <v>349000</v>
      </c>
      <c r="G107" t="s">
        <v>191</v>
      </c>
      <c r="H107" s="1">
        <v>2060</v>
      </c>
      <c r="I107">
        <v>4120</v>
      </c>
      <c r="J107">
        <v>3</v>
      </c>
      <c r="K107">
        <v>1.25</v>
      </c>
      <c r="M107" s="2" t="str">
        <f>HYPERLINK("http://www.windermere.com/index.cfm?fuseaction=Listing.MapPropertyInteractive&amp;ListingID=19206316&amp;resize=true&amp;windowWidth=800&amp;windowHeight=600","Map")</f>
        <v>Map</v>
      </c>
      <c r="O107" s="2" t="str">
        <f>HYPERLINK("http://www.windermere.com/index.cfm?fuseaction=Listing.MultiImageViewer&amp;ListingID=19206316&amp;ln=28007328&amp;pub_mls=1","More")</f>
        <v>More</v>
      </c>
      <c r="AI107" t="s">
        <v>66</v>
      </c>
      <c r="AJ107">
        <v>98103</v>
      </c>
      <c r="AS107" t="s">
        <v>526</v>
      </c>
      <c r="AT107">
        <v>19206316</v>
      </c>
      <c r="AU107" s="12">
        <v>39495</v>
      </c>
      <c r="BB107" t="s">
        <v>912</v>
      </c>
      <c r="BC107" s="7">
        <v>39458</v>
      </c>
      <c r="BG107">
        <v>37</v>
      </c>
      <c r="BH107" s="17">
        <f t="shared" ca="1" si="1"/>
        <v>69</v>
      </c>
      <c r="BI107" s="17"/>
      <c r="BJ107" s="17"/>
    </row>
    <row r="108" spans="1:63" hidden="1">
      <c r="A108">
        <v>28008635</v>
      </c>
      <c r="B108" s="4" t="str">
        <f>HYPERLINK("http://www.windermere.com/index.cfm?fuseaction=Listing.ListingDetail&amp;ListingID=19226990","Subject To Inspection")</f>
        <v>Subject To Inspection</v>
      </c>
      <c r="D108" t="s">
        <v>60</v>
      </c>
      <c r="E108" t="s">
        <v>523</v>
      </c>
      <c r="F108" s="13">
        <v>348075</v>
      </c>
      <c r="G108" t="s">
        <v>374</v>
      </c>
      <c r="H108" s="1">
        <v>1500</v>
      </c>
      <c r="J108">
        <v>3</v>
      </c>
      <c r="K108">
        <v>2.5</v>
      </c>
      <c r="M108" s="2" t="str">
        <f>HYPERLINK("http://www.windermere.com/index.cfm?fuseaction=Listing.MapPropertyInteractive&amp;ListingID=19226990&amp;resize=true&amp;windowWidth=800&amp;windowHeight=600","Map")</f>
        <v>Map</v>
      </c>
      <c r="O108" s="2" t="str">
        <f>HYPERLINK("http://www.windermere.com/index.cfm?fuseaction=Listing.MultiImageViewer&amp;ListingID=19226990&amp;ln=28008635&amp;pub_mls=1","More")</f>
        <v>More</v>
      </c>
      <c r="P108" t="s">
        <v>44</v>
      </c>
      <c r="AI108" t="s">
        <v>66</v>
      </c>
      <c r="AJ108">
        <v>98103</v>
      </c>
      <c r="AS108" t="s">
        <v>524</v>
      </c>
      <c r="AT108">
        <v>19226990</v>
      </c>
      <c r="AU108" s="12">
        <v>39495</v>
      </c>
      <c r="BB108" t="s">
        <v>912</v>
      </c>
      <c r="BC108" s="7">
        <v>39462</v>
      </c>
      <c r="BD108">
        <v>-3</v>
      </c>
      <c r="BE108" t="s">
        <v>1439</v>
      </c>
      <c r="BG108">
        <v>33</v>
      </c>
      <c r="BH108" s="17">
        <f t="shared" ca="1" si="1"/>
        <v>65</v>
      </c>
      <c r="BI108" s="17"/>
      <c r="BJ108" s="17"/>
    </row>
    <row r="109" spans="1:63" hidden="1">
      <c r="A109">
        <v>28017810</v>
      </c>
      <c r="B109" s="2" t="str">
        <f>HYPERLINK("http://www.windermere.com/index.cfm?fuseaction=Listing.ListingDetail&amp;ListingID=19299939","Active")</f>
        <v>Active</v>
      </c>
      <c r="D109" t="s">
        <v>42</v>
      </c>
      <c r="E109" t="s">
        <v>527</v>
      </c>
      <c r="F109" s="13">
        <v>355000</v>
      </c>
      <c r="G109" t="s">
        <v>137</v>
      </c>
      <c r="H109" s="1">
        <v>1460</v>
      </c>
      <c r="I109">
        <v>6500</v>
      </c>
      <c r="J109">
        <v>3</v>
      </c>
      <c r="K109">
        <v>1</v>
      </c>
      <c r="M109" s="2" t="str">
        <f>HYPERLINK("http://www.windermere.com/index.cfm?fuseaction=Listing.MapPropertyInteractive&amp;ListingID=19299939&amp;resize=true&amp;windowWidth=800&amp;windowHeight=600","Map")</f>
        <v>Map</v>
      </c>
      <c r="O109" s="2" t="str">
        <f>HYPERLINK("http://www.windermere.com/index.cfm?fuseaction=Listing.MultiImageViewer&amp;ListingID=19299939&amp;ln=28017810&amp;pub_mls=1","More")</f>
        <v>More</v>
      </c>
      <c r="AI109" t="s">
        <v>66</v>
      </c>
      <c r="AJ109">
        <v>98133</v>
      </c>
      <c r="AS109" t="s">
        <v>528</v>
      </c>
      <c r="AT109">
        <v>19299939</v>
      </c>
      <c r="AU109" s="12">
        <v>39495</v>
      </c>
      <c r="BB109" t="s">
        <v>912</v>
      </c>
      <c r="BC109" s="7">
        <v>39477</v>
      </c>
      <c r="BG109">
        <v>18</v>
      </c>
      <c r="BH109" s="17">
        <f t="shared" ca="1" si="1"/>
        <v>50</v>
      </c>
      <c r="BI109" s="17"/>
      <c r="BJ109" s="17"/>
    </row>
    <row r="110" spans="1:63" hidden="1">
      <c r="A110">
        <v>28023500</v>
      </c>
      <c r="B110" s="15" t="str">
        <f>HYPERLINK("http://www.windermere.com/index.cfm?fuseaction=Listing.ListingDetail&amp;ListingID=19342899","Subject To Inspection")</f>
        <v>Subject To Inspection</v>
      </c>
      <c r="C110">
        <v>710</v>
      </c>
      <c r="D110" t="s">
        <v>968</v>
      </c>
      <c r="E110" t="s">
        <v>529</v>
      </c>
      <c r="F110" s="10">
        <v>365000</v>
      </c>
      <c r="G110" t="s">
        <v>530</v>
      </c>
      <c r="H110" s="1">
        <v>1500</v>
      </c>
      <c r="I110">
        <v>8880</v>
      </c>
      <c r="J110">
        <v>3</v>
      </c>
      <c r="K110">
        <v>2</v>
      </c>
      <c r="L110">
        <v>1</v>
      </c>
      <c r="M110" s="2" t="str">
        <f>HYPERLINK("http://www.windermere.com/index.cfm?fuseaction=Listing.MapPropertyInteractive&amp;ListingID=19342899&amp;resize=true&amp;windowWidth=800&amp;windowHeight=600","Map")</f>
        <v>Map</v>
      </c>
      <c r="N110" s="2" t="str">
        <f>HYPERLINK("http://locmedia.nwmls.com/DO_NOT_LINK/bigphoto/500/28023500.jpg?tsp=20080208143254","Photo")</f>
        <v>Photo</v>
      </c>
      <c r="O110" s="2" t="str">
        <f>HYPERLINK("http://www.windermere.com/index.cfm?fuseaction=Listing.MultiImageViewer&amp;ListingID=19342899&amp;ln=28023500&amp;pub_mls=1","More")</f>
        <v>More</v>
      </c>
      <c r="Q110" t="s">
        <v>56</v>
      </c>
      <c r="R110" t="s">
        <v>72</v>
      </c>
      <c r="S110" t="s">
        <v>969</v>
      </c>
      <c r="T110" t="s">
        <v>95</v>
      </c>
      <c r="U110" t="s">
        <v>44</v>
      </c>
      <c r="X110" t="s">
        <v>47</v>
      </c>
      <c r="Y110" t="s">
        <v>48</v>
      </c>
      <c r="Z110" t="s">
        <v>970</v>
      </c>
      <c r="AA110" t="s">
        <v>96</v>
      </c>
      <c r="AB110">
        <v>2007</v>
      </c>
      <c r="AC110">
        <v>3289</v>
      </c>
      <c r="AD110" t="s">
        <v>971</v>
      </c>
      <c r="AE110" t="s">
        <v>972</v>
      </c>
      <c r="AF110" t="s">
        <v>973</v>
      </c>
      <c r="AG110">
        <v>47.714790999999998</v>
      </c>
      <c r="AH110">
        <v>-122.30027800000001</v>
      </c>
      <c r="AI110" t="s">
        <v>66</v>
      </c>
      <c r="AJ110">
        <v>98125</v>
      </c>
      <c r="AK110" t="s">
        <v>41</v>
      </c>
      <c r="AL110" t="s">
        <v>40</v>
      </c>
      <c r="AM110" t="s">
        <v>40</v>
      </c>
      <c r="AO110">
        <v>0.20399999999999999</v>
      </c>
      <c r="AP110" t="s">
        <v>974</v>
      </c>
      <c r="AQ110">
        <v>505</v>
      </c>
      <c r="AR110" t="s">
        <v>203</v>
      </c>
      <c r="AS110" t="s">
        <v>531</v>
      </c>
      <c r="AT110">
        <v>19342899</v>
      </c>
      <c r="AU110" s="12">
        <v>39495</v>
      </c>
      <c r="BA110" t="s">
        <v>912</v>
      </c>
      <c r="BB110" t="s">
        <v>912</v>
      </c>
      <c r="BC110" s="7">
        <v>39486</v>
      </c>
      <c r="BG110">
        <v>9</v>
      </c>
      <c r="BH110" s="17">
        <f t="shared" ca="1" si="1"/>
        <v>41</v>
      </c>
      <c r="BI110" s="17"/>
      <c r="BJ110" s="17"/>
    </row>
    <row r="111" spans="1:63" hidden="1">
      <c r="A111">
        <v>27115984</v>
      </c>
      <c r="B111" s="2" t="str">
        <f>HYPERLINK("http://www.windermere.com/index.cfm?fuseaction=Listing.ListingDetail&amp;ListingID=18779519","Active")</f>
        <v>Active</v>
      </c>
      <c r="D111" t="s">
        <v>194</v>
      </c>
      <c r="E111" t="s">
        <v>532</v>
      </c>
      <c r="F111" s="10">
        <v>366000</v>
      </c>
      <c r="G111" t="s">
        <v>147</v>
      </c>
      <c r="H111" s="1">
        <v>1710</v>
      </c>
      <c r="J111">
        <v>3</v>
      </c>
      <c r="K111">
        <v>3</v>
      </c>
      <c r="M111" s="2" t="str">
        <f>HYPERLINK("http://www.windermere.com/index.cfm?fuseaction=Listing.MapPropertyInteractive&amp;ListingID=18779519&amp;resize=true&amp;windowWidth=800&amp;windowHeight=600","Map")</f>
        <v>Map</v>
      </c>
      <c r="O111" s="2" t="str">
        <f>HYPERLINK("http://www.windermere.com/index.cfm?fuseaction=Listing.MultiImageViewer&amp;ListingID=18779519&amp;ln=27115984&amp;pub_mls=1","More")</f>
        <v>More</v>
      </c>
      <c r="AI111" t="s">
        <v>66</v>
      </c>
      <c r="AJ111">
        <v>98115</v>
      </c>
      <c r="AS111" t="s">
        <v>533</v>
      </c>
      <c r="AT111">
        <v>18779519</v>
      </c>
      <c r="AU111" s="12">
        <v>39495</v>
      </c>
      <c r="BB111" t="s">
        <v>912</v>
      </c>
      <c r="BC111" s="7">
        <v>39260</v>
      </c>
      <c r="BD111">
        <v>1</v>
      </c>
      <c r="BE111" s="6" t="s">
        <v>1314</v>
      </c>
      <c r="BG111">
        <v>235</v>
      </c>
      <c r="BH111" s="17">
        <f t="shared" ca="1" si="1"/>
        <v>267</v>
      </c>
      <c r="BI111" s="17"/>
      <c r="BJ111" s="17"/>
    </row>
    <row r="112" spans="1:63" hidden="1">
      <c r="A112">
        <v>27207911</v>
      </c>
      <c r="B112" s="2" t="str">
        <f>HYPERLINK("http://www.windermere.com/index.cfm?fuseaction=Listing.ListingDetail&amp;ListingID=19039296","Active")</f>
        <v>Active</v>
      </c>
      <c r="D112" t="s">
        <v>60</v>
      </c>
      <c r="E112" t="s">
        <v>534</v>
      </c>
      <c r="F112" s="10">
        <v>367500</v>
      </c>
      <c r="G112" t="s">
        <v>248</v>
      </c>
      <c r="H112" s="1">
        <v>1530</v>
      </c>
      <c r="I112">
        <v>1291</v>
      </c>
      <c r="J112">
        <v>3</v>
      </c>
      <c r="K112">
        <v>2.25</v>
      </c>
      <c r="M112" s="2" t="str">
        <f>HYPERLINK("http://www.windermere.com/index.cfm?fuseaction=Listing.MapPropertyInteractive&amp;ListingID=19039296&amp;resize=true&amp;windowWidth=800&amp;windowHeight=600","Map")</f>
        <v>Map</v>
      </c>
      <c r="O112" s="2" t="str">
        <f>HYPERLINK("http://www.windermere.com/index.cfm?fuseaction=viewGallery.Home&amp;customTourID=201606&amp;wvt=0","More")</f>
        <v>More</v>
      </c>
      <c r="AI112" t="s">
        <v>66</v>
      </c>
      <c r="AJ112">
        <v>98103</v>
      </c>
      <c r="AS112" t="s">
        <v>535</v>
      </c>
      <c r="AT112">
        <v>19039296</v>
      </c>
      <c r="AU112" s="12">
        <v>39495</v>
      </c>
      <c r="BB112" t="s">
        <v>912</v>
      </c>
      <c r="BC112" s="7">
        <v>39417</v>
      </c>
      <c r="BG112">
        <v>78</v>
      </c>
      <c r="BH112" s="17">
        <f t="shared" ca="1" si="1"/>
        <v>110</v>
      </c>
      <c r="BI112" s="17"/>
      <c r="BJ112" s="17"/>
    </row>
    <row r="113" spans="1:63" hidden="1">
      <c r="A113">
        <v>28018884</v>
      </c>
      <c r="B113" s="2" t="str">
        <f>HYPERLINK("http://www.windermere.com/index.cfm?fuseaction=Listing.ListingDetail&amp;ListingID=19305266","Active")</f>
        <v>Active</v>
      </c>
      <c r="D113" t="s">
        <v>55</v>
      </c>
      <c r="E113" t="s">
        <v>536</v>
      </c>
      <c r="F113" s="13">
        <v>359000</v>
      </c>
      <c r="G113" t="s">
        <v>247</v>
      </c>
      <c r="H113" s="1">
        <v>1409</v>
      </c>
      <c r="J113">
        <v>3</v>
      </c>
      <c r="K113" s="19">
        <v>3.25</v>
      </c>
      <c r="M113" s="2" t="str">
        <f>HYPERLINK("http://www.windermere.com/index.cfm?fuseaction=Listing.MapPropertyInteractive&amp;ListingID=19305266&amp;resize=true&amp;windowWidth=800&amp;windowHeight=600","Map")</f>
        <v>Map</v>
      </c>
      <c r="O113" s="2" t="str">
        <f>HYPERLINK("http://www.windermere.com/index.cfm?fuseaction=Listing.MultiImageViewer&amp;ListingID=19305266&amp;ln=28018884&amp;pub_mls=1","More")</f>
        <v>More</v>
      </c>
      <c r="AI113" t="s">
        <v>66</v>
      </c>
      <c r="AJ113">
        <v>98133</v>
      </c>
      <c r="AS113" t="s">
        <v>537</v>
      </c>
      <c r="AT113">
        <v>19305266</v>
      </c>
      <c r="AU113" s="12">
        <v>39495</v>
      </c>
      <c r="BB113" t="s">
        <v>912</v>
      </c>
      <c r="BC113" s="7">
        <v>39478</v>
      </c>
      <c r="BD113">
        <v>-4</v>
      </c>
      <c r="BE113" t="s">
        <v>1404</v>
      </c>
      <c r="BG113">
        <v>17</v>
      </c>
      <c r="BH113" s="17">
        <f t="shared" ca="1" si="1"/>
        <v>49</v>
      </c>
      <c r="BI113" s="17"/>
      <c r="BJ113" s="17"/>
    </row>
    <row r="114" spans="1:63" hidden="1">
      <c r="A114">
        <v>28028262</v>
      </c>
      <c r="B114" s="4" t="str">
        <f>HYPERLINK("http://www.windermere.com/index.cfm?fuseaction=Listing.ListingDetail&amp;ListingID=19379300","Subject To Inspection")</f>
        <v>Subject To Inspection</v>
      </c>
      <c r="D114" t="s">
        <v>184</v>
      </c>
      <c r="E114" t="s">
        <v>538</v>
      </c>
      <c r="F114" s="10">
        <v>368888</v>
      </c>
      <c r="G114" t="s">
        <v>147</v>
      </c>
      <c r="H114" s="1">
        <v>1800</v>
      </c>
      <c r="J114">
        <v>3</v>
      </c>
      <c r="K114">
        <v>2.5</v>
      </c>
      <c r="M114" s="2" t="str">
        <f>HYPERLINK("http://www.windermere.com/index.cfm?fuseaction=Listing.MapPropertyInteractive&amp;ListingID=19379300&amp;resize=true&amp;windowWidth=800&amp;windowHeight=600","Map")</f>
        <v>Map</v>
      </c>
      <c r="O114" s="2" t="str">
        <f>HYPERLINK("http://www.windermere.com/index.cfm?fuseaction=Listing.MultiImageViewer&amp;ListingID=19379300&amp;ln=28028262&amp;pub_mls=1","More")</f>
        <v>More</v>
      </c>
      <c r="AI114" t="s">
        <v>66</v>
      </c>
      <c r="AJ114">
        <v>98125</v>
      </c>
      <c r="AS114" t="s">
        <v>539</v>
      </c>
      <c r="AT114">
        <v>19379300</v>
      </c>
      <c r="AU114" s="12">
        <v>39495</v>
      </c>
      <c r="BB114" t="s">
        <v>912</v>
      </c>
      <c r="BC114" s="7">
        <v>39493</v>
      </c>
      <c r="BG114">
        <v>2</v>
      </c>
      <c r="BH114" s="17">
        <f t="shared" ca="1" si="1"/>
        <v>34</v>
      </c>
      <c r="BI114" s="17"/>
      <c r="BJ114" s="17"/>
    </row>
    <row r="115" spans="1:63" hidden="1">
      <c r="A115">
        <v>28028263</v>
      </c>
      <c r="B115" s="2" t="str">
        <f>HYPERLINK("http://www.windermere.com/index.cfm?fuseaction=Listing.ListingDetail&amp;ListingID=19379301","Subject To Inspection")</f>
        <v>Subject To Inspection</v>
      </c>
      <c r="D115" t="s">
        <v>184</v>
      </c>
      <c r="E115" t="s">
        <v>540</v>
      </c>
      <c r="F115" s="10">
        <v>368888</v>
      </c>
      <c r="G115" t="s">
        <v>147</v>
      </c>
      <c r="H115" s="1">
        <v>1800</v>
      </c>
      <c r="J115">
        <v>3</v>
      </c>
      <c r="K115">
        <v>2.5</v>
      </c>
      <c r="M115" s="2" t="str">
        <f>HYPERLINK("http://www.windermere.com/index.cfm?fuseaction=Listing.MapPropertyInteractive&amp;ListingID=19379301&amp;resize=true&amp;windowWidth=800&amp;windowHeight=600","Map")</f>
        <v>Map</v>
      </c>
      <c r="O115" s="2" t="str">
        <f>HYPERLINK("http://www.windermere.com/index.cfm?fuseaction=Listing.MultiImageViewer&amp;ListingID=19379301&amp;ln=28028263&amp;pub_mls=1","More")</f>
        <v>More</v>
      </c>
      <c r="AI115" t="s">
        <v>66</v>
      </c>
      <c r="AJ115">
        <v>98125</v>
      </c>
      <c r="AS115" t="s">
        <v>541</v>
      </c>
      <c r="AT115">
        <v>19379301</v>
      </c>
      <c r="AU115" s="12">
        <v>39495</v>
      </c>
      <c r="BB115" t="s">
        <v>912</v>
      </c>
      <c r="BC115" s="7">
        <v>39494</v>
      </c>
      <c r="BG115">
        <v>1</v>
      </c>
      <c r="BH115" s="17">
        <f t="shared" ca="1" si="1"/>
        <v>33</v>
      </c>
      <c r="BI115" s="17"/>
      <c r="BJ115" s="17"/>
      <c r="BK115" t="str">
        <f>B115</f>
        <v>Subject To Inspection</v>
      </c>
    </row>
    <row r="116" spans="1:63" hidden="1">
      <c r="A116">
        <v>28026168</v>
      </c>
      <c r="B116" s="15" t="str">
        <f>HYPERLINK("http://www.windermere.com/index.cfm?fuseaction=Listing.ListingDetail&amp;ListingID=19371247","Active")</f>
        <v>Active</v>
      </c>
      <c r="D116" t="s">
        <v>55</v>
      </c>
      <c r="E116" t="s">
        <v>542</v>
      </c>
      <c r="F116" s="10">
        <v>369500</v>
      </c>
      <c r="G116" t="s">
        <v>143</v>
      </c>
      <c r="H116" s="1">
        <v>1360</v>
      </c>
      <c r="I116">
        <v>2204</v>
      </c>
      <c r="J116">
        <v>3</v>
      </c>
      <c r="K116">
        <v>2</v>
      </c>
      <c r="M116" s="2" t="str">
        <f>HYPERLINK("http://www.windermere.com/index.cfm?fuseaction=Listing.MapPropertyInteractive&amp;ListingID=19371247&amp;resize=true&amp;windowWidth=800&amp;windowHeight=600","Map")</f>
        <v>Map</v>
      </c>
      <c r="O116" s="2" t="str">
        <f>HYPERLINK("http://www.windermere.com/index.cfm?fuseaction=Listing.MultiImageViewer&amp;ListingID=19371247&amp;ln=28026168&amp;pub_mls=1","More")</f>
        <v>More</v>
      </c>
      <c r="P116" t="s">
        <v>44</v>
      </c>
      <c r="AI116" t="s">
        <v>66</v>
      </c>
      <c r="AJ116">
        <v>98103</v>
      </c>
      <c r="AS116" t="s">
        <v>543</v>
      </c>
      <c r="AT116">
        <v>19371247</v>
      </c>
      <c r="AU116" s="12">
        <v>39495</v>
      </c>
      <c r="BB116" t="s">
        <v>912</v>
      </c>
      <c r="BC116" s="7">
        <v>39492</v>
      </c>
      <c r="BD116">
        <v>2</v>
      </c>
      <c r="BE116" t="s">
        <v>1375</v>
      </c>
      <c r="BG116">
        <v>3</v>
      </c>
      <c r="BH116" s="17">
        <f t="shared" ca="1" si="1"/>
        <v>35</v>
      </c>
      <c r="BI116" s="17"/>
      <c r="BJ116" s="17"/>
    </row>
    <row r="117" spans="1:63" hidden="1">
      <c r="A117">
        <v>27192829</v>
      </c>
      <c r="B117" s="2" t="str">
        <f>HYPERLINK("http://www.windermere.com/index.cfm?fuseaction=Listing.ListingDetail&amp;ListingID=19322811","Active")</f>
        <v>Active</v>
      </c>
      <c r="D117" t="s">
        <v>42</v>
      </c>
      <c r="E117" t="s">
        <v>544</v>
      </c>
      <c r="F117" s="13">
        <v>364950</v>
      </c>
      <c r="G117" t="s">
        <v>130</v>
      </c>
      <c r="I117">
        <v>4680</v>
      </c>
      <c r="J117">
        <v>2</v>
      </c>
      <c r="K117">
        <v>1</v>
      </c>
      <c r="M117" s="2" t="str">
        <f>HYPERLINK("http://www.windermere.com/index.cfm?fuseaction=Listing.MapPropertyInteractive&amp;ListingID=19322811&amp;resize=true&amp;windowWidth=800&amp;windowHeight=600","Map")</f>
        <v>Map</v>
      </c>
      <c r="O117" s="2" t="str">
        <f>HYPERLINK("http://www.windermere.com/index.cfm?fuseaction=Listing.MultiImageViewer&amp;ListingID=19322811&amp;ln=27192829&amp;pub_mls=1","More")</f>
        <v>More</v>
      </c>
      <c r="AI117" t="s">
        <v>66</v>
      </c>
      <c r="AJ117">
        <v>98133</v>
      </c>
      <c r="AS117" t="s">
        <v>545</v>
      </c>
      <c r="AT117">
        <v>19322811</v>
      </c>
      <c r="AU117" s="12">
        <v>39495</v>
      </c>
      <c r="BB117" t="s">
        <v>912</v>
      </c>
      <c r="BC117" s="7">
        <v>39381</v>
      </c>
      <c r="BG117">
        <v>114</v>
      </c>
      <c r="BH117" s="17">
        <f t="shared" ca="1" si="1"/>
        <v>146</v>
      </c>
      <c r="BI117" s="17"/>
      <c r="BJ117" s="17"/>
    </row>
    <row r="118" spans="1:63" hidden="1">
      <c r="A118">
        <v>27208202</v>
      </c>
      <c r="B118" s="2" t="str">
        <f>HYPERLINK("http://www.windermere.com/index.cfm?fuseaction=Listing.ListingDetail&amp;ListingID=19036976","Active")</f>
        <v>Active</v>
      </c>
      <c r="D118" t="s">
        <v>1023</v>
      </c>
      <c r="E118" t="s">
        <v>350</v>
      </c>
      <c r="F118" s="10">
        <v>369950</v>
      </c>
      <c r="G118" t="s">
        <v>147</v>
      </c>
      <c r="H118" s="1">
        <v>1272</v>
      </c>
      <c r="J118">
        <v>3</v>
      </c>
      <c r="K118">
        <v>2.5</v>
      </c>
      <c r="M118" s="2" t="str">
        <f>HYPERLINK("http://www.windermere.com/index.cfm?fuseaction=Listing.MapPropertyInteractive&amp;ListingID=19036976&amp;resize=true&amp;windowWidth=800&amp;windowHeight=600","Map")</f>
        <v>Map</v>
      </c>
      <c r="O118" s="2" t="str">
        <f>HYPERLINK("http://www.windermere.com/index.cfm?fuseaction=viewGallery.Home&amp;customTourID=201700&amp;wvt=0","More")</f>
        <v>More</v>
      </c>
      <c r="P118" t="s">
        <v>44</v>
      </c>
      <c r="AI118" t="s">
        <v>66</v>
      </c>
      <c r="AJ118">
        <v>98117</v>
      </c>
      <c r="AS118" t="s">
        <v>351</v>
      </c>
      <c r="AT118">
        <v>19036976</v>
      </c>
      <c r="AU118" s="12">
        <v>39495</v>
      </c>
      <c r="BB118" t="s">
        <v>912</v>
      </c>
      <c r="BC118" s="7">
        <v>39416</v>
      </c>
      <c r="BG118">
        <v>79</v>
      </c>
      <c r="BH118" s="17">
        <f t="shared" ca="1" si="1"/>
        <v>111</v>
      </c>
      <c r="BI118" s="17"/>
      <c r="BJ118" s="17"/>
    </row>
    <row r="119" spans="1:63" hidden="1">
      <c r="A119">
        <v>27209523</v>
      </c>
      <c r="B119" s="2" t="str">
        <f>HYPERLINK("http://www.windermere.com/index.cfm?fuseaction=Listing.ListingDetail&amp;ListingID=19050830","Active")</f>
        <v>Active</v>
      </c>
      <c r="D119" t="s">
        <v>1023</v>
      </c>
      <c r="E119" t="s">
        <v>354</v>
      </c>
      <c r="F119" s="10">
        <v>369950</v>
      </c>
      <c r="G119" t="s">
        <v>147</v>
      </c>
      <c r="H119" s="1">
        <v>1272</v>
      </c>
      <c r="J119">
        <v>3</v>
      </c>
      <c r="K119">
        <v>2.5</v>
      </c>
      <c r="M119" s="2" t="str">
        <f>HYPERLINK("http://www.windermere.com/index.cfm?fuseaction=Listing.MapPropertyInteractive&amp;ListingID=19050830&amp;resize=true&amp;windowWidth=800&amp;windowHeight=600","Map")</f>
        <v>Map</v>
      </c>
      <c r="O119" s="2" t="str">
        <f>HYPERLINK("http://www.windermere.com/index.cfm?fuseaction=viewGallery.Home&amp;customTourID=201966&amp;wvt=0","More")</f>
        <v>More</v>
      </c>
      <c r="P119" t="s">
        <v>44</v>
      </c>
      <c r="AI119" t="s">
        <v>66</v>
      </c>
      <c r="AJ119">
        <v>98117</v>
      </c>
      <c r="AS119" t="s">
        <v>355</v>
      </c>
      <c r="AT119">
        <v>19050830</v>
      </c>
      <c r="AU119" s="12">
        <v>39495</v>
      </c>
      <c r="BB119" t="s">
        <v>912</v>
      </c>
      <c r="BC119" s="7">
        <v>39420</v>
      </c>
      <c r="BG119">
        <v>75</v>
      </c>
      <c r="BH119" s="17">
        <f t="shared" ca="1" si="1"/>
        <v>107</v>
      </c>
      <c r="BI119" s="17"/>
      <c r="BJ119" s="17"/>
    </row>
    <row r="120" spans="1:63" hidden="1">
      <c r="A120">
        <v>28014975</v>
      </c>
      <c r="B120" s="4" t="str">
        <f>HYPERLINK("http://www.windermere.com/index.cfm?fuseaction=Listing.ListingDetail&amp;ListingID=19273242","Subject To Inspection")</f>
        <v>Subject To Inspection</v>
      </c>
      <c r="D120" t="s">
        <v>1023</v>
      </c>
      <c r="E120" t="s">
        <v>352</v>
      </c>
      <c r="F120" s="10">
        <v>369950</v>
      </c>
      <c r="G120" t="s">
        <v>147</v>
      </c>
      <c r="H120" s="1">
        <v>1272</v>
      </c>
      <c r="J120">
        <v>3</v>
      </c>
      <c r="K120">
        <v>2.5</v>
      </c>
      <c r="M120" s="2" t="str">
        <f>HYPERLINK("http://www.windermere.com/index.cfm?fuseaction=Listing.MapPropertyInteractive&amp;ListingID=19273242&amp;resize=true&amp;windowWidth=800&amp;windowHeight=600","Map")</f>
        <v>Map</v>
      </c>
      <c r="O120" s="2" t="str">
        <f>HYPERLINK("http://www.windermere.com/index.cfm?fuseaction=viewGallery.Home&amp;customTourID=205637&amp;wvt=0","More")</f>
        <v>More</v>
      </c>
      <c r="P120" t="s">
        <v>44</v>
      </c>
      <c r="AI120" t="s">
        <v>66</v>
      </c>
      <c r="AJ120">
        <v>98117</v>
      </c>
      <c r="AS120" t="s">
        <v>353</v>
      </c>
      <c r="AT120">
        <v>19273242</v>
      </c>
      <c r="AU120" s="12">
        <v>39495</v>
      </c>
      <c r="BB120" t="s">
        <v>912</v>
      </c>
      <c r="BC120" s="7">
        <v>39471</v>
      </c>
      <c r="BG120">
        <v>24</v>
      </c>
      <c r="BH120" s="17">
        <f t="shared" ca="1" si="1"/>
        <v>56</v>
      </c>
      <c r="BI120" s="17"/>
      <c r="BJ120" s="17"/>
    </row>
    <row r="121" spans="1:63" hidden="1">
      <c r="A121">
        <v>28026581</v>
      </c>
      <c r="B121" s="2" t="str">
        <f>HYPERLINK("http://www.windermere.com/index.cfm?fuseaction=Listing.ListingDetail&amp;ListingID=19366086","Active")</f>
        <v>Active</v>
      </c>
      <c r="D121" t="s">
        <v>1023</v>
      </c>
      <c r="E121" t="s">
        <v>356</v>
      </c>
      <c r="F121" s="10">
        <v>369950</v>
      </c>
      <c r="G121" t="s">
        <v>147</v>
      </c>
      <c r="H121" s="1">
        <v>1272</v>
      </c>
      <c r="J121">
        <v>3</v>
      </c>
      <c r="K121">
        <v>2.5</v>
      </c>
      <c r="M121" s="2" t="str">
        <f>HYPERLINK("http://www.windermere.com/index.cfm?fuseaction=Listing.MapPropertyInteractive&amp;ListingID=19366086&amp;resize=true&amp;windowWidth=800&amp;windowHeight=600","Map")</f>
        <v>Map</v>
      </c>
      <c r="O121" s="2" t="str">
        <f>HYPERLINK("http://www.windermere.com/index.cfm?fuseaction=viewGallery.Home&amp;customTourID=207551&amp;wvt=0","More")</f>
        <v>More</v>
      </c>
      <c r="AI121" t="s">
        <v>66</v>
      </c>
      <c r="AJ121">
        <v>98117</v>
      </c>
      <c r="AS121" t="s">
        <v>357</v>
      </c>
      <c r="AT121">
        <v>19366086</v>
      </c>
      <c r="AU121" s="12">
        <v>39495</v>
      </c>
      <c r="BB121" t="s">
        <v>912</v>
      </c>
      <c r="BC121" s="7">
        <v>39491</v>
      </c>
      <c r="BG121">
        <v>4</v>
      </c>
      <c r="BH121" s="17">
        <f t="shared" ca="1" si="1"/>
        <v>36</v>
      </c>
      <c r="BI121" s="17"/>
      <c r="BJ121" s="17"/>
    </row>
    <row r="122" spans="1:63" hidden="1">
      <c r="A122">
        <v>28027078</v>
      </c>
      <c r="B122" s="15" t="str">
        <f>HYPERLINK("http://www.windermere.com/index.cfm?fuseaction=Listing.ListingDetail&amp;ListingID=19370571","Subject To Inspection")</f>
        <v>Subject To Inspection</v>
      </c>
      <c r="D122" t="s">
        <v>55</v>
      </c>
      <c r="E122" t="s">
        <v>546</v>
      </c>
      <c r="F122" s="10">
        <v>369950</v>
      </c>
      <c r="G122" t="s">
        <v>135</v>
      </c>
      <c r="H122" s="1">
        <v>1620</v>
      </c>
      <c r="J122">
        <v>3</v>
      </c>
      <c r="K122">
        <v>1.75</v>
      </c>
      <c r="M122" s="2" t="str">
        <f>HYPERLINK("http://www.windermere.com/index.cfm?fuseaction=Listing.MapPropertyInteractive&amp;ListingID=19370571&amp;resize=true&amp;windowWidth=800&amp;windowHeight=600","Map")</f>
        <v>Map</v>
      </c>
      <c r="O122" s="2" t="str">
        <f>HYPERLINK("http://www.windermere.com/index.cfm?fuseaction=Listing.MultiImageViewer&amp;ListingID=19370571&amp;ln=28027078&amp;pub_mls=1","More")</f>
        <v>More</v>
      </c>
      <c r="AI122" t="s">
        <v>66</v>
      </c>
      <c r="AJ122">
        <v>98133</v>
      </c>
      <c r="AS122" t="s">
        <v>547</v>
      </c>
      <c r="AT122">
        <v>19370571</v>
      </c>
      <c r="AU122" s="12">
        <v>39495</v>
      </c>
      <c r="BB122" t="s">
        <v>912</v>
      </c>
      <c r="BC122" s="7">
        <v>39492</v>
      </c>
      <c r="BG122">
        <v>3</v>
      </c>
      <c r="BH122" s="17">
        <f t="shared" ca="1" si="1"/>
        <v>35</v>
      </c>
      <c r="BI122" s="17"/>
      <c r="BJ122" s="17"/>
    </row>
    <row r="123" spans="1:63" hidden="1">
      <c r="A123">
        <v>28024150</v>
      </c>
      <c r="B123" s="2" t="str">
        <f>HYPERLINK("http://www.windermere.com/index.cfm?fuseaction=Listing.ListingDetail&amp;ListingID=19344098","Active")</f>
        <v>Active</v>
      </c>
      <c r="D123" t="s">
        <v>184</v>
      </c>
      <c r="E123" s="3" t="s">
        <v>1638</v>
      </c>
      <c r="F123" s="18">
        <v>349999</v>
      </c>
      <c r="G123" t="s">
        <v>124</v>
      </c>
      <c r="J123">
        <v>3</v>
      </c>
      <c r="K123">
        <v>1</v>
      </c>
      <c r="M123" s="2" t="str">
        <f>HYPERLINK("http://www.windermere.com/index.cfm?fuseaction=Listing.MapPropertyInteractive&amp;ListingID=19344098&amp;resize=true&amp;windowWidth=800&amp;windowHeight=600","Map")</f>
        <v>Map</v>
      </c>
      <c r="O123" s="2" t="str">
        <f>HYPERLINK("http://www.windermere.com/index.cfm?fuseaction=Listing.MultiImageViewer&amp;ListingID=19344098&amp;ln=28024150&amp;pub_mls=1","More")</f>
        <v>More</v>
      </c>
      <c r="AI123" t="s">
        <v>66</v>
      </c>
      <c r="AJ123">
        <v>98125</v>
      </c>
      <c r="AS123" t="s">
        <v>549</v>
      </c>
      <c r="AT123">
        <v>19344098</v>
      </c>
      <c r="AU123" s="12">
        <v>39495</v>
      </c>
      <c r="BB123" t="s">
        <v>912</v>
      </c>
      <c r="BC123" s="7">
        <v>39486</v>
      </c>
      <c r="BG123">
        <v>9</v>
      </c>
      <c r="BH123" s="17">
        <f t="shared" ca="1" si="1"/>
        <v>41</v>
      </c>
      <c r="BI123" s="17"/>
      <c r="BJ123" s="17"/>
    </row>
    <row r="124" spans="1:63" hidden="1">
      <c r="A124">
        <v>28000562</v>
      </c>
      <c r="B124" s="2" t="str">
        <f>HYPERLINK("http://www.windermere.com/index.cfm?fuseaction=Listing.ListingDetail&amp;ListingID=19169349","Active")</f>
        <v>Active</v>
      </c>
      <c r="D124" t="s">
        <v>63</v>
      </c>
      <c r="E124" t="s">
        <v>368</v>
      </c>
      <c r="F124" s="13">
        <v>370000</v>
      </c>
      <c r="G124" t="s">
        <v>149</v>
      </c>
      <c r="I124">
        <v>4000</v>
      </c>
      <c r="J124">
        <v>2</v>
      </c>
      <c r="K124">
        <v>1</v>
      </c>
      <c r="M124" s="2" t="str">
        <f>HYPERLINK("http://www.windermere.com/index.cfm?fuseaction=Listing.MapPropertyInteractive&amp;ListingID=19169349&amp;resize=true&amp;windowWidth=800&amp;windowHeight=600","Map")</f>
        <v>Map</v>
      </c>
      <c r="O124" s="2" t="str">
        <f>HYPERLINK("http://www.windermere.com/index.cfm?fuseaction=Listing.MultiImageViewer&amp;ListingID=19169349&amp;ln=28000562&amp;pub_mls=1","More")</f>
        <v>More</v>
      </c>
      <c r="AI124" t="s">
        <v>66</v>
      </c>
      <c r="AJ124">
        <v>98117</v>
      </c>
      <c r="AS124" t="s">
        <v>369</v>
      </c>
      <c r="AT124">
        <v>19169349</v>
      </c>
      <c r="AU124" s="12">
        <v>39495</v>
      </c>
      <c r="BB124" t="s">
        <v>912</v>
      </c>
      <c r="BC124" s="7">
        <v>39452</v>
      </c>
      <c r="BG124">
        <v>43</v>
      </c>
      <c r="BH124" s="17">
        <f t="shared" ca="1" si="1"/>
        <v>75</v>
      </c>
      <c r="BI124" s="17"/>
      <c r="BJ124" s="17"/>
    </row>
    <row r="125" spans="1:63" hidden="1">
      <c r="A125">
        <v>28020117</v>
      </c>
      <c r="B125" s="4" t="str">
        <f>HYPERLINK("http://www.windermere.com/index.cfm?fuseaction=Listing.ListingDetail&amp;ListingID=19315288","Subject To Inspection")</f>
        <v>Subject To Inspection</v>
      </c>
      <c r="C125">
        <v>710</v>
      </c>
      <c r="D125" t="s">
        <v>194</v>
      </c>
      <c r="E125" t="s">
        <v>975</v>
      </c>
      <c r="F125" s="18">
        <v>360000</v>
      </c>
      <c r="G125" t="s">
        <v>125</v>
      </c>
      <c r="I125">
        <v>6120</v>
      </c>
      <c r="J125">
        <v>2</v>
      </c>
      <c r="K125">
        <v>1</v>
      </c>
      <c r="L125">
        <v>1</v>
      </c>
      <c r="M125" s="2" t="str">
        <f>HYPERLINK("http://www.windermere.com/index.cfm?fuseaction=Listing.MapPropertyInteractive&amp;ListingID=19315288&amp;resize=true&amp;windowWidth=800&amp;windowHeight=600","Map")</f>
        <v>Map</v>
      </c>
      <c r="N125" s="2" t="str">
        <f>HYPERLINK("http://locmedia.nwmls.com/DO_NOT_LINK/bigphoto/117/28020117.jpg?tsp=20080202102512","Photo")</f>
        <v>Photo</v>
      </c>
      <c r="O125" s="2" t="str">
        <f>HYPERLINK("http://www.windermere.com/index.cfm?fuseaction=Listing.MultiImageViewer&amp;ListingID=19315288&amp;ln=28020117&amp;pub_mls=1","More")</f>
        <v>More</v>
      </c>
      <c r="P125" t="s">
        <v>44</v>
      </c>
      <c r="Q125" t="s">
        <v>56</v>
      </c>
      <c r="R125" t="s">
        <v>67</v>
      </c>
      <c r="S125" t="s">
        <v>106</v>
      </c>
      <c r="T125" t="s">
        <v>50</v>
      </c>
      <c r="U125" t="s">
        <v>44</v>
      </c>
      <c r="X125" t="s">
        <v>47</v>
      </c>
      <c r="Y125" t="s">
        <v>48</v>
      </c>
      <c r="Z125" t="s">
        <v>103</v>
      </c>
      <c r="AB125">
        <v>2007</v>
      </c>
      <c r="AC125">
        <v>465</v>
      </c>
      <c r="AD125" t="s">
        <v>976</v>
      </c>
      <c r="AE125" t="s">
        <v>74</v>
      </c>
      <c r="AF125" t="s">
        <v>195</v>
      </c>
      <c r="AG125">
        <v>47.690925999999997</v>
      </c>
      <c r="AH125">
        <v>-122.292162</v>
      </c>
      <c r="AI125" t="s">
        <v>66</v>
      </c>
      <c r="AJ125">
        <v>98115</v>
      </c>
      <c r="AK125" t="s">
        <v>41</v>
      </c>
      <c r="AL125" t="s">
        <v>40</v>
      </c>
      <c r="AM125" t="s">
        <v>40</v>
      </c>
      <c r="AO125">
        <v>0.14000000000000001</v>
      </c>
      <c r="AP125" t="s">
        <v>977</v>
      </c>
      <c r="AQ125">
        <v>535</v>
      </c>
      <c r="AR125" t="s">
        <v>89</v>
      </c>
      <c r="AS125" t="s">
        <v>1104</v>
      </c>
      <c r="AT125">
        <v>19315288</v>
      </c>
      <c r="AU125" s="12">
        <v>39495</v>
      </c>
      <c r="BA125" t="s">
        <v>912</v>
      </c>
      <c r="BB125" t="s">
        <v>912</v>
      </c>
      <c r="BC125" s="7">
        <v>39480</v>
      </c>
      <c r="BG125">
        <v>15</v>
      </c>
      <c r="BH125" s="17">
        <f t="shared" ca="1" si="1"/>
        <v>47</v>
      </c>
      <c r="BI125" s="17"/>
      <c r="BJ125" s="17"/>
    </row>
    <row r="126" spans="1:63" hidden="1">
      <c r="A126">
        <v>28002001</v>
      </c>
      <c r="B126" s="2" t="str">
        <f>HYPERLINK("http://www.windermere.com/index.cfm?fuseaction=Listing.ListingDetail&amp;ListingID=19156147","Active")</f>
        <v>Active</v>
      </c>
      <c r="D126" t="s">
        <v>199</v>
      </c>
      <c r="E126" t="s">
        <v>552</v>
      </c>
      <c r="F126" s="18">
        <v>373000</v>
      </c>
      <c r="G126" t="s">
        <v>200</v>
      </c>
      <c r="H126" s="1">
        <v>1040</v>
      </c>
      <c r="I126">
        <v>7287</v>
      </c>
      <c r="J126">
        <v>3</v>
      </c>
      <c r="K126">
        <v>1</v>
      </c>
      <c r="M126" s="2" t="str">
        <f>HYPERLINK("http://www.windermere.com/index.cfm?fuseaction=Listing.MapPropertyInteractive&amp;ListingID=19156147&amp;resize=true&amp;windowWidth=800&amp;windowHeight=600","Map")</f>
        <v>Map</v>
      </c>
      <c r="O126" s="2" t="str">
        <f>HYPERLINK("http://www.windermere.com/index.cfm?fuseaction=Listing.MultiImageViewer&amp;ListingID=19156147&amp;ln=28002001&amp;pub_mls=1","More")</f>
        <v>More</v>
      </c>
      <c r="AI126" t="s">
        <v>66</v>
      </c>
      <c r="AJ126">
        <v>98125</v>
      </c>
      <c r="AS126" t="s">
        <v>553</v>
      </c>
      <c r="AT126">
        <v>19156147</v>
      </c>
      <c r="AU126" s="12">
        <v>39495</v>
      </c>
      <c r="BB126" t="s">
        <v>912</v>
      </c>
      <c r="BC126" s="7">
        <v>39450</v>
      </c>
      <c r="BG126">
        <v>45</v>
      </c>
      <c r="BH126" s="17">
        <f t="shared" ca="1" si="1"/>
        <v>77</v>
      </c>
      <c r="BI126" s="17"/>
      <c r="BJ126" s="17"/>
    </row>
    <row r="127" spans="1:63" hidden="1">
      <c r="A127">
        <v>28020638</v>
      </c>
      <c r="B127" s="15" t="str">
        <f>HYPERLINK("http://www.windermere.com/index.cfm?fuseaction=Listing.ListingDetail&amp;ListingID=19319974","Subject To Inspection")</f>
        <v>Subject To Inspection</v>
      </c>
      <c r="D127" t="s">
        <v>60</v>
      </c>
      <c r="E127" t="s">
        <v>554</v>
      </c>
      <c r="F127" s="13">
        <v>357000</v>
      </c>
      <c r="G127" t="s">
        <v>177</v>
      </c>
      <c r="H127" s="1">
        <v>1320</v>
      </c>
      <c r="I127">
        <v>3000</v>
      </c>
      <c r="J127">
        <v>2</v>
      </c>
      <c r="K127">
        <v>1</v>
      </c>
      <c r="M127" s="2" t="str">
        <f>HYPERLINK("http://www.windermere.com/index.cfm?fuseaction=Listing.MapPropertyInteractive&amp;ListingID=19319974&amp;resize=true&amp;windowWidth=800&amp;windowHeight=600","Map")</f>
        <v>Map</v>
      </c>
      <c r="O127" s="2" t="str">
        <f>HYPERLINK("http://www.windermere.com/index.cfm?fuseaction=viewGallery.Home&amp;customTourID=199647&amp;wvt=0","More")</f>
        <v>More</v>
      </c>
      <c r="AI127" t="s">
        <v>66</v>
      </c>
      <c r="AJ127">
        <v>98105</v>
      </c>
      <c r="AS127" t="s">
        <v>555</v>
      </c>
      <c r="AT127">
        <v>19319974</v>
      </c>
      <c r="AU127" s="12">
        <v>39495</v>
      </c>
      <c r="BB127" t="s">
        <v>912</v>
      </c>
      <c r="BC127" s="7">
        <v>39482</v>
      </c>
      <c r="BG127">
        <v>13</v>
      </c>
      <c r="BH127" s="17">
        <f t="shared" ca="1" si="1"/>
        <v>45</v>
      </c>
      <c r="BI127" s="17"/>
      <c r="BJ127" s="17"/>
    </row>
    <row r="128" spans="1:63" hidden="1">
      <c r="A128">
        <v>27206229</v>
      </c>
      <c r="B128" s="2" t="str">
        <f>HYPERLINK("http://www.windermere.com/index.cfm?fuseaction=Listing.ListingDetail&amp;ListingID=19023075","Active")</f>
        <v>Active</v>
      </c>
      <c r="D128" t="s">
        <v>63</v>
      </c>
      <c r="E128" t="s">
        <v>556</v>
      </c>
      <c r="F128" s="10">
        <v>375000</v>
      </c>
      <c r="G128" t="s">
        <v>146</v>
      </c>
      <c r="H128">
        <v>930</v>
      </c>
      <c r="I128">
        <v>2410</v>
      </c>
      <c r="J128">
        <v>2</v>
      </c>
      <c r="K128">
        <v>1</v>
      </c>
      <c r="M128" s="2" t="str">
        <f>HYPERLINK("http://www.windermere.com/index.cfm?fuseaction=Listing.MapPropertyInteractive&amp;ListingID=19023075&amp;resize=true&amp;windowWidth=800&amp;windowHeight=600","Map")</f>
        <v>Map</v>
      </c>
      <c r="O128" s="2" t="str">
        <f>HYPERLINK("http://www.windermere.com/index.cfm?fuseaction=Listing.MultiImageViewer&amp;ListingID=19023075&amp;ln=27206229&amp;pub_mls=1","More")</f>
        <v>More</v>
      </c>
      <c r="P128" t="s">
        <v>44</v>
      </c>
      <c r="AI128" t="s">
        <v>66</v>
      </c>
      <c r="AJ128">
        <v>98107</v>
      </c>
      <c r="AS128" t="s">
        <v>557</v>
      </c>
      <c r="AT128">
        <v>19023075</v>
      </c>
      <c r="AU128" s="12">
        <v>39495</v>
      </c>
      <c r="BB128" t="s">
        <v>912</v>
      </c>
      <c r="BC128" s="7">
        <v>39414</v>
      </c>
      <c r="BG128">
        <v>81</v>
      </c>
      <c r="BH128" s="17">
        <f t="shared" ca="1" si="1"/>
        <v>113</v>
      </c>
      <c r="BI128" s="17"/>
      <c r="BJ128" s="17"/>
    </row>
    <row r="129" spans="1:63" hidden="1">
      <c r="A129">
        <v>28016368</v>
      </c>
      <c r="B129" s="2" t="str">
        <f>HYPERLINK("http://www.windermere.com/index.cfm?fuseaction=Listing.ListingDetail&amp;ListingID=19286628","Active")</f>
        <v>Active</v>
      </c>
      <c r="D129" t="s">
        <v>192</v>
      </c>
      <c r="E129" t="s">
        <v>560</v>
      </c>
      <c r="F129" s="10">
        <v>375000</v>
      </c>
      <c r="G129" t="s">
        <v>180</v>
      </c>
      <c r="H129" s="1">
        <v>1400</v>
      </c>
      <c r="I129">
        <v>2679</v>
      </c>
      <c r="J129">
        <v>2</v>
      </c>
      <c r="K129">
        <v>1</v>
      </c>
      <c r="M129" s="2" t="str">
        <f>HYPERLINK("http://www.windermere.com/index.cfm?fuseaction=Listing.MapPropertyInteractive&amp;ListingID=19286628&amp;resize=true&amp;windowWidth=800&amp;windowHeight=600","Map")</f>
        <v>Map</v>
      </c>
      <c r="O129" s="2" t="str">
        <f>HYPERLINK("http://www.windermere.com/index.cfm?fuseaction=Listing.MultiImageViewer&amp;ListingID=19286628&amp;ln=28016368&amp;pub_mls=1","More")</f>
        <v>More</v>
      </c>
      <c r="AI129" t="s">
        <v>66</v>
      </c>
      <c r="AJ129">
        <v>98115</v>
      </c>
      <c r="AS129" t="s">
        <v>561</v>
      </c>
      <c r="AT129">
        <v>19286628</v>
      </c>
      <c r="AU129" s="12">
        <v>39495</v>
      </c>
      <c r="BB129" t="s">
        <v>912</v>
      </c>
      <c r="BC129" s="7">
        <v>39474</v>
      </c>
      <c r="BG129">
        <v>21</v>
      </c>
      <c r="BH129" s="17">
        <f t="shared" ca="1" si="1"/>
        <v>53</v>
      </c>
      <c r="BI129" s="17"/>
      <c r="BJ129" s="17"/>
    </row>
    <row r="130" spans="1:63" hidden="1">
      <c r="A130">
        <v>28018832</v>
      </c>
      <c r="B130" s="15" t="str">
        <f>HYPERLINK("http://www.windermere.com/index.cfm?fuseaction=Listing.ListingDetail&amp;ListingID=19319599","Active")</f>
        <v>Active</v>
      </c>
      <c r="C130">
        <v>710</v>
      </c>
      <c r="D130" t="s">
        <v>188</v>
      </c>
      <c r="E130" t="s">
        <v>558</v>
      </c>
      <c r="F130" s="10">
        <v>375000</v>
      </c>
      <c r="G130" t="s">
        <v>180</v>
      </c>
      <c r="H130" s="1">
        <v>1374</v>
      </c>
      <c r="I130">
        <v>7245</v>
      </c>
      <c r="J130">
        <v>2</v>
      </c>
      <c r="K130">
        <v>1</v>
      </c>
      <c r="M130" s="2" t="str">
        <f>HYPERLINK("http://www.windermere.com/index.cfm?fuseaction=Listing.MapPropertyInteractive&amp;ListingID=19319599&amp;resize=true&amp;windowWidth=800&amp;windowHeight=600","Map")</f>
        <v>Map</v>
      </c>
      <c r="N130" s="2" t="str">
        <f>HYPERLINK("http://locmedia.nwmls.com/DO_NOT_LINK/bigphoto/832/28018832.jpg?tsp=20080204001046","Photo")</f>
        <v>Photo</v>
      </c>
      <c r="O130" s="2" t="str">
        <f>HYPERLINK("http://www.windermere.com/index.cfm?fuseaction=viewGallery.Home&amp;customTourID=206434&amp;wvt=0","More")</f>
        <v>More</v>
      </c>
      <c r="Q130" t="s">
        <v>56</v>
      </c>
      <c r="R130" t="s">
        <v>67</v>
      </c>
      <c r="S130" t="s">
        <v>84</v>
      </c>
      <c r="T130" t="s">
        <v>95</v>
      </c>
      <c r="U130" t="s">
        <v>44</v>
      </c>
      <c r="X130" t="s">
        <v>47</v>
      </c>
      <c r="Y130" t="s">
        <v>48</v>
      </c>
      <c r="Z130" t="s">
        <v>1015</v>
      </c>
      <c r="AA130" t="s">
        <v>1016</v>
      </c>
      <c r="AB130">
        <v>2008</v>
      </c>
      <c r="AC130">
        <v>2533</v>
      </c>
      <c r="AD130" t="s">
        <v>1017</v>
      </c>
      <c r="AE130" t="s">
        <v>1018</v>
      </c>
      <c r="AF130" t="s">
        <v>1019</v>
      </c>
      <c r="AG130">
        <v>47.707067000000002</v>
      </c>
      <c r="AH130">
        <v>-122.297923</v>
      </c>
      <c r="AI130" t="s">
        <v>66</v>
      </c>
      <c r="AJ130">
        <v>98125</v>
      </c>
      <c r="AK130" t="s">
        <v>41</v>
      </c>
      <c r="AL130" t="s">
        <v>40</v>
      </c>
      <c r="AM130" t="s">
        <v>40</v>
      </c>
      <c r="AO130">
        <v>0.16600000000000001</v>
      </c>
      <c r="AP130" t="s">
        <v>1020</v>
      </c>
      <c r="AQ130">
        <v>505</v>
      </c>
      <c r="AR130" t="s">
        <v>1021</v>
      </c>
      <c r="AS130" t="s">
        <v>559</v>
      </c>
      <c r="AT130">
        <v>19319599</v>
      </c>
      <c r="AU130" s="12">
        <v>39495</v>
      </c>
      <c r="BA130" t="s">
        <v>912</v>
      </c>
      <c r="BB130" t="s">
        <v>912</v>
      </c>
      <c r="BC130" s="7">
        <v>39482</v>
      </c>
      <c r="BD130">
        <v>4</v>
      </c>
      <c r="BE130" t="s">
        <v>1405</v>
      </c>
      <c r="BF130" t="s">
        <v>1345</v>
      </c>
      <c r="BG130">
        <v>13</v>
      </c>
      <c r="BH130" s="17">
        <f t="shared" ca="1" si="1"/>
        <v>45</v>
      </c>
      <c r="BI130" s="17"/>
      <c r="BJ130" s="17"/>
      <c r="BK130" t="str">
        <f>B130</f>
        <v>Active</v>
      </c>
    </row>
    <row r="131" spans="1:63" hidden="1">
      <c r="A131">
        <v>27173474</v>
      </c>
      <c r="B131" s="2" t="str">
        <f>HYPERLINK("http://www.windermere.com/index.cfm?fuseaction=Listing.ListingDetail&amp;ListingID=18679666","Active")</f>
        <v>Active</v>
      </c>
      <c r="D131" t="s">
        <v>920</v>
      </c>
      <c r="E131" t="s">
        <v>564</v>
      </c>
      <c r="F131" s="18">
        <v>359950</v>
      </c>
      <c r="G131" t="s">
        <v>247</v>
      </c>
      <c r="H131" s="1">
        <v>1680</v>
      </c>
      <c r="J131">
        <v>3</v>
      </c>
      <c r="K131">
        <v>3.5</v>
      </c>
      <c r="M131" s="2" t="str">
        <f>HYPERLINK("http://www.windermere.com/index.cfm?fuseaction=Listing.MapPropertyInteractive&amp;ListingID=18679666&amp;resize=true&amp;windowWidth=800&amp;windowHeight=600","Map")</f>
        <v>Map</v>
      </c>
      <c r="O131" s="2" t="str">
        <f>HYPERLINK("http://www.windermere.com/index.cfm?fuseaction=Listing.MultiImageViewer&amp;ListingID=18679666&amp;ln=27173474&amp;pub_mls=1","More")</f>
        <v>More</v>
      </c>
      <c r="AI131" t="s">
        <v>66</v>
      </c>
      <c r="AJ131">
        <v>98125</v>
      </c>
      <c r="AS131" t="s">
        <v>565</v>
      </c>
      <c r="AT131">
        <v>18679666</v>
      </c>
      <c r="AU131" s="12">
        <v>39495</v>
      </c>
      <c r="BB131" t="s">
        <v>912</v>
      </c>
      <c r="BC131" s="7">
        <v>39346</v>
      </c>
      <c r="BG131">
        <v>149</v>
      </c>
      <c r="BH131" s="17">
        <f t="shared" ref="BH131:BH194" ca="1" si="2">TODAY()-BC131</f>
        <v>181</v>
      </c>
      <c r="BI131" s="17"/>
      <c r="BJ131" s="17"/>
    </row>
    <row r="132" spans="1:63" hidden="1">
      <c r="A132">
        <v>28002900</v>
      </c>
      <c r="B132" s="2" t="str">
        <f>HYPERLINK("http://www.windermere.com/index.cfm?fuseaction=Listing.ListingDetail&amp;ListingID=19164242","Active")</f>
        <v>Active</v>
      </c>
      <c r="D132" t="s">
        <v>920</v>
      </c>
      <c r="E132" t="s">
        <v>562</v>
      </c>
      <c r="F132" s="18">
        <v>369950</v>
      </c>
      <c r="G132" t="s">
        <v>247</v>
      </c>
      <c r="H132" s="1">
        <v>1845</v>
      </c>
      <c r="J132">
        <v>3</v>
      </c>
      <c r="K132">
        <v>3.5</v>
      </c>
      <c r="M132" s="2" t="str">
        <f>HYPERLINK("http://www.windermere.com/index.cfm?fuseaction=Listing.MapPropertyInteractive&amp;ListingID=19164242&amp;resize=true&amp;windowWidth=800&amp;windowHeight=600","Map")</f>
        <v>Map</v>
      </c>
      <c r="O132" s="2" t="str">
        <f>HYPERLINK("http://www.windermere.com/index.cfm?fuseaction=Listing.MultiImageViewer&amp;ListingID=19164242&amp;ln=28002900&amp;pub_mls=1","More")</f>
        <v>More</v>
      </c>
      <c r="AI132" t="s">
        <v>66</v>
      </c>
      <c r="AJ132">
        <v>98125</v>
      </c>
      <c r="AS132" t="s">
        <v>563</v>
      </c>
      <c r="AT132">
        <v>19164242</v>
      </c>
      <c r="AU132" s="12">
        <v>39495</v>
      </c>
      <c r="BB132" t="s">
        <v>912</v>
      </c>
      <c r="BC132" s="7">
        <v>39451</v>
      </c>
      <c r="BG132">
        <v>44</v>
      </c>
      <c r="BH132" s="17">
        <f t="shared" ca="1" si="2"/>
        <v>76</v>
      </c>
      <c r="BI132" s="17"/>
      <c r="BJ132" s="17"/>
    </row>
    <row r="133" spans="1:63" hidden="1">
      <c r="A133">
        <v>27150683</v>
      </c>
      <c r="B133" s="2" t="str">
        <f>HYPERLINK("http://www.windermere.com/index.cfm?fuseaction=Listing.ListingDetail&amp;ListingID=18468108","Subject To Inspection")</f>
        <v>Subject To Inspection</v>
      </c>
      <c r="D133" t="s">
        <v>184</v>
      </c>
      <c r="E133" t="s">
        <v>566</v>
      </c>
      <c r="F133" s="10">
        <v>378888</v>
      </c>
      <c r="G133" t="s">
        <v>147</v>
      </c>
      <c r="H133" s="1">
        <v>1800</v>
      </c>
      <c r="J133">
        <v>3</v>
      </c>
      <c r="K133">
        <v>2.5</v>
      </c>
      <c r="M133" s="2" t="str">
        <f>HYPERLINK("http://www.windermere.com/index.cfm?fuseaction=Listing.MapPropertyInteractive&amp;ListingID=18468108&amp;resize=true&amp;windowWidth=800&amp;windowHeight=600","Map")</f>
        <v>Map</v>
      </c>
      <c r="O133" s="2" t="str">
        <f>HYPERLINK("http://www.windermere.com/index.cfm?fuseaction=Listing.MultiImageViewer&amp;ListingID=18468108&amp;ln=27150683&amp;pub_mls=1","More")</f>
        <v>More</v>
      </c>
      <c r="AI133" t="s">
        <v>66</v>
      </c>
      <c r="AJ133">
        <v>98125</v>
      </c>
      <c r="AS133" t="s">
        <v>567</v>
      </c>
      <c r="AT133">
        <v>18468108</v>
      </c>
      <c r="AU133" s="12">
        <v>39495</v>
      </c>
      <c r="BB133" t="s">
        <v>912</v>
      </c>
      <c r="BC133" s="7">
        <v>39482</v>
      </c>
      <c r="BD133">
        <v>-2</v>
      </c>
      <c r="BE133" s="6" t="s">
        <v>1322</v>
      </c>
      <c r="BG133">
        <v>13</v>
      </c>
      <c r="BH133" s="17">
        <f t="shared" ca="1" si="2"/>
        <v>45</v>
      </c>
      <c r="BI133" s="17"/>
      <c r="BJ133" s="17"/>
      <c r="BK133" t="str">
        <f>B133</f>
        <v>Subject To Inspection</v>
      </c>
    </row>
    <row r="134" spans="1:63" hidden="1">
      <c r="A134">
        <v>28023405</v>
      </c>
      <c r="B134" s="2" t="str">
        <f>HYPERLINK("http://www.windermere.com/index.cfm?fuseaction=Listing.ListingDetail&amp;ListingID=19340346","Active")</f>
        <v>Active</v>
      </c>
      <c r="C134">
        <v>710</v>
      </c>
      <c r="D134" t="s">
        <v>184</v>
      </c>
      <c r="E134" t="s">
        <v>568</v>
      </c>
      <c r="F134" s="10">
        <v>379000</v>
      </c>
      <c r="G134" t="s">
        <v>156</v>
      </c>
      <c r="I134">
        <v>6229</v>
      </c>
      <c r="J134">
        <v>3</v>
      </c>
      <c r="K134">
        <v>1</v>
      </c>
      <c r="L134">
        <v>1</v>
      </c>
      <c r="M134" s="2" t="str">
        <f>HYPERLINK("http://www.windermere.com/index.cfm?fuseaction=Listing.MapPropertyInteractive&amp;ListingID=19340346&amp;resize=true&amp;windowWidth=800&amp;windowHeight=600","Map")</f>
        <v>Map</v>
      </c>
      <c r="N134" s="2" t="str">
        <f>HYPERLINK("http://locmedia.nwmls.com/DO_NOT_LINK/bigphoto/405/28023405.jpg?tsp=20080208012058","Photo")</f>
        <v>Photo</v>
      </c>
      <c r="O134" s="2" t="str">
        <f>HYPERLINK("http://www.windermere.com/index.cfm?fuseaction=Listing.MultiImageViewer&amp;ListingID=19340346&amp;ln=28023405&amp;pub_mls=1","More")</f>
        <v>More</v>
      </c>
      <c r="P134" t="s">
        <v>44</v>
      </c>
      <c r="Q134" t="s">
        <v>45</v>
      </c>
      <c r="R134" t="s">
        <v>65</v>
      </c>
      <c r="S134" t="s">
        <v>978</v>
      </c>
      <c r="U134" t="s">
        <v>44</v>
      </c>
      <c r="X134" t="s">
        <v>47</v>
      </c>
      <c r="Y134" t="s">
        <v>48</v>
      </c>
      <c r="Z134" t="s">
        <v>73</v>
      </c>
      <c r="AA134" t="s">
        <v>979</v>
      </c>
      <c r="AB134">
        <v>2007</v>
      </c>
      <c r="AC134">
        <v>2102</v>
      </c>
      <c r="AD134" t="s">
        <v>980</v>
      </c>
      <c r="AE134" t="s">
        <v>966</v>
      </c>
      <c r="AF134" t="s">
        <v>981</v>
      </c>
      <c r="AG134">
        <v>47.719371000000002</v>
      </c>
      <c r="AH134">
        <v>-122.308064</v>
      </c>
      <c r="AI134" t="s">
        <v>66</v>
      </c>
      <c r="AJ134">
        <v>98125</v>
      </c>
      <c r="AK134" t="s">
        <v>41</v>
      </c>
      <c r="AL134" t="s">
        <v>982</v>
      </c>
      <c r="AM134" t="s">
        <v>40</v>
      </c>
      <c r="AO134">
        <v>0.14299999999999999</v>
      </c>
      <c r="AP134" t="s">
        <v>983</v>
      </c>
      <c r="AQ134">
        <v>505</v>
      </c>
      <c r="AR134" t="s">
        <v>187</v>
      </c>
      <c r="AS134" t="s">
        <v>569</v>
      </c>
      <c r="AT134">
        <v>19340346</v>
      </c>
      <c r="AU134" s="12">
        <v>39495</v>
      </c>
      <c r="BA134" t="s">
        <v>912</v>
      </c>
      <c r="BB134" t="s">
        <v>912</v>
      </c>
      <c r="BC134" s="7">
        <v>39486</v>
      </c>
      <c r="BG134">
        <v>9</v>
      </c>
      <c r="BH134" s="17">
        <f t="shared" ca="1" si="2"/>
        <v>41</v>
      </c>
      <c r="BI134" s="17"/>
      <c r="BJ134" s="17"/>
    </row>
    <row r="135" spans="1:63" hidden="1">
      <c r="A135">
        <v>28024018</v>
      </c>
      <c r="B135" s="4" t="str">
        <f>HYPERLINK("http://www.windermere.com/index.cfm?fuseaction=Listing.ListingDetail&amp;ListingID=19343365","Subject To Inspection")</f>
        <v>Subject To Inspection</v>
      </c>
      <c r="D135" t="s">
        <v>55</v>
      </c>
      <c r="E135" t="s">
        <v>358</v>
      </c>
      <c r="F135" s="10">
        <v>379000</v>
      </c>
      <c r="G135" t="s">
        <v>359</v>
      </c>
      <c r="H135" s="1">
        <v>1300</v>
      </c>
      <c r="I135">
        <v>2751</v>
      </c>
      <c r="J135">
        <v>3</v>
      </c>
      <c r="K135">
        <v>2</v>
      </c>
      <c r="M135" s="2" t="str">
        <f>HYPERLINK("http://www.windermere.com/index.cfm?fuseaction=Listing.MapPropertyInteractive&amp;ListingID=19343365&amp;resize=true&amp;windowWidth=800&amp;windowHeight=600","Map")</f>
        <v>Map</v>
      </c>
      <c r="O135" s="2" t="str">
        <f>HYPERLINK("http://www.windermere.com/index.cfm?fuseaction=Listing.MultiImageViewer&amp;ListingID=19343365&amp;ln=28024018&amp;pub_mls=1","More")</f>
        <v>More</v>
      </c>
      <c r="AI135" t="s">
        <v>66</v>
      </c>
      <c r="AJ135">
        <v>98117</v>
      </c>
      <c r="AS135" t="s">
        <v>360</v>
      </c>
      <c r="AT135">
        <v>19343365</v>
      </c>
      <c r="AU135" s="12">
        <v>39495</v>
      </c>
      <c r="BB135" t="s">
        <v>912</v>
      </c>
      <c r="BC135" s="7">
        <v>39486</v>
      </c>
      <c r="BG135">
        <v>9</v>
      </c>
      <c r="BH135" s="17">
        <f t="shared" ca="1" si="2"/>
        <v>41</v>
      </c>
      <c r="BI135" s="17"/>
      <c r="BJ135" s="17"/>
    </row>
    <row r="136" spans="1:63" hidden="1">
      <c r="A136">
        <v>27208138</v>
      </c>
      <c r="B136" s="2" t="str">
        <f>HYPERLINK("http://www.windermere.com/index.cfm?fuseaction=Listing.ListingDetail&amp;ListingID=19036477","Active")</f>
        <v>Active</v>
      </c>
      <c r="D136" t="s">
        <v>66</v>
      </c>
      <c r="E136" t="s">
        <v>572</v>
      </c>
      <c r="F136" s="10">
        <v>379900</v>
      </c>
      <c r="G136" t="s">
        <v>247</v>
      </c>
      <c r="H136" s="1">
        <v>1470</v>
      </c>
      <c r="J136">
        <v>3</v>
      </c>
      <c r="K136">
        <v>2.5</v>
      </c>
      <c r="M136" s="2" t="str">
        <f>HYPERLINK("http://www.windermere.com/index.cfm?fuseaction=Listing.MapPropertyInteractive&amp;ListingID=19036477&amp;resize=true&amp;windowWidth=800&amp;windowHeight=600","Map")</f>
        <v>Map</v>
      </c>
      <c r="AI136" t="s">
        <v>66</v>
      </c>
      <c r="AJ136">
        <v>98133</v>
      </c>
      <c r="AS136" t="s">
        <v>573</v>
      </c>
      <c r="AT136">
        <v>19036477</v>
      </c>
      <c r="AU136" s="12">
        <v>39495</v>
      </c>
      <c r="BB136" t="s">
        <v>912</v>
      </c>
      <c r="BC136" s="7">
        <v>39416</v>
      </c>
      <c r="BG136">
        <v>79</v>
      </c>
      <c r="BH136" s="17">
        <f t="shared" ca="1" si="2"/>
        <v>111</v>
      </c>
      <c r="BI136" s="17"/>
      <c r="BJ136" s="17"/>
    </row>
    <row r="137" spans="1:63" hidden="1">
      <c r="A137">
        <v>28007827</v>
      </c>
      <c r="B137" s="4" t="str">
        <f>HYPERLINK("http://www.windermere.com/index.cfm?fuseaction=Listing.ListingDetail&amp;ListingID=19216135","Active")</f>
        <v>Active</v>
      </c>
      <c r="D137" t="s">
        <v>194</v>
      </c>
      <c r="E137" t="s">
        <v>570</v>
      </c>
      <c r="F137" s="10">
        <v>379900</v>
      </c>
      <c r="G137" t="s">
        <v>161</v>
      </c>
      <c r="H137" s="1">
        <v>1940</v>
      </c>
      <c r="I137">
        <v>4600</v>
      </c>
      <c r="J137">
        <v>3</v>
      </c>
      <c r="K137">
        <v>1.5</v>
      </c>
      <c r="M137" s="2" t="str">
        <f>HYPERLINK("http://www.windermere.com/index.cfm?fuseaction=Listing.MapPropertyInteractive&amp;ListingID=19216135&amp;resize=true&amp;windowWidth=800&amp;windowHeight=600","Map")</f>
        <v>Map</v>
      </c>
      <c r="O137" s="2" t="str">
        <f>HYPERLINK("http://www.windermere.com/index.cfm?fuseaction=Listing.MultiImageViewer&amp;ListingID=19216135&amp;ln=28007827&amp;pub_mls=1","More")</f>
        <v>More</v>
      </c>
      <c r="AI137" t="s">
        <v>66</v>
      </c>
      <c r="AJ137">
        <v>98115</v>
      </c>
      <c r="AS137" t="s">
        <v>571</v>
      </c>
      <c r="AT137">
        <v>19216135</v>
      </c>
      <c r="AU137" s="12">
        <v>39495</v>
      </c>
      <c r="BB137" t="s">
        <v>912</v>
      </c>
      <c r="BC137" s="7">
        <v>39459</v>
      </c>
      <c r="BG137">
        <v>36</v>
      </c>
      <c r="BH137" s="17">
        <f t="shared" ca="1" si="2"/>
        <v>68</v>
      </c>
      <c r="BI137" s="17"/>
      <c r="BJ137" s="17"/>
    </row>
    <row r="138" spans="1:63" hidden="1">
      <c r="A138">
        <v>27201170</v>
      </c>
      <c r="B138" s="2" t="str">
        <f>HYPERLINK("http://www.windermere.com/index.cfm?fuseaction=Listing.ListingDetail&amp;ListingID=18953287","Subject To Inspection")</f>
        <v>Subject To Inspection</v>
      </c>
      <c r="D138" t="s">
        <v>968</v>
      </c>
      <c r="E138" t="s">
        <v>1105</v>
      </c>
      <c r="F138" s="10">
        <v>379950</v>
      </c>
      <c r="G138" t="s">
        <v>147</v>
      </c>
      <c r="H138" s="1">
        <v>1951</v>
      </c>
      <c r="I138">
        <v>1550</v>
      </c>
      <c r="J138">
        <v>3</v>
      </c>
      <c r="K138">
        <v>3.25</v>
      </c>
      <c r="M138" s="2" t="str">
        <f>HYPERLINK("http://www.windermere.com/index.cfm?fuseaction=Listing.MapPropertyInteractive&amp;ListingID=18953287&amp;resize=true&amp;windowWidth=800&amp;windowHeight=600","Map")</f>
        <v>Map</v>
      </c>
      <c r="O138" s="2" t="str">
        <f>HYPERLINK("http://www.windermere.com/index.cfm?fuseaction=Listing.MultiImageViewer&amp;ListingID=18953287&amp;ln=27201170&amp;pub_mls=1","More")</f>
        <v>More</v>
      </c>
      <c r="AI138" t="s">
        <v>396</v>
      </c>
      <c r="AJ138">
        <v>98155</v>
      </c>
      <c r="AS138" t="s">
        <v>1106</v>
      </c>
      <c r="AT138">
        <v>18953287</v>
      </c>
      <c r="AU138" s="12">
        <v>39495</v>
      </c>
      <c r="BB138" t="s">
        <v>912</v>
      </c>
      <c r="BC138" s="7">
        <v>39399</v>
      </c>
      <c r="BG138">
        <v>96</v>
      </c>
      <c r="BH138" s="17">
        <f t="shared" ca="1" si="2"/>
        <v>128</v>
      </c>
      <c r="BI138" s="17"/>
      <c r="BJ138" s="17"/>
      <c r="BK138" t="str">
        <f>B138</f>
        <v>Subject To Inspection</v>
      </c>
    </row>
    <row r="139" spans="1:63" hidden="1">
      <c r="A139">
        <v>27211999</v>
      </c>
      <c r="B139" s="2" t="str">
        <f>HYPERLINK("http://www.windermere.com/index.cfm?fuseaction=Listing.ListingDetail&amp;ListingID=19083952","Subject To Inspection")</f>
        <v>Subject To Inspection</v>
      </c>
      <c r="D139" t="s">
        <v>66</v>
      </c>
      <c r="E139" t="s">
        <v>1107</v>
      </c>
      <c r="F139" s="10">
        <v>379950</v>
      </c>
      <c r="G139" t="s">
        <v>147</v>
      </c>
      <c r="H139" s="1">
        <v>1951</v>
      </c>
      <c r="I139">
        <v>1560</v>
      </c>
      <c r="J139">
        <v>3</v>
      </c>
      <c r="K139">
        <v>3.25</v>
      </c>
      <c r="M139" s="2" t="str">
        <f>HYPERLINK("http://www.windermere.com/index.cfm?fuseaction=Listing.MapPropertyInteractive&amp;ListingID=19083952&amp;resize=true&amp;windowWidth=800&amp;windowHeight=600","Map")</f>
        <v>Map</v>
      </c>
      <c r="O139" s="2" t="str">
        <f>HYPERLINK("http://www.windermere.com/index.cfm?fuseaction=Listing.MultiImageViewer&amp;ListingID=19083952&amp;ln=27211999&amp;pub_mls=1","More")</f>
        <v>More</v>
      </c>
      <c r="AI139" t="s">
        <v>396</v>
      </c>
      <c r="AJ139">
        <v>98155</v>
      </c>
      <c r="AS139" t="s">
        <v>1108</v>
      </c>
      <c r="AT139">
        <v>19083952</v>
      </c>
      <c r="AU139" s="12">
        <v>39495</v>
      </c>
      <c r="BB139" t="s">
        <v>912</v>
      </c>
      <c r="BC139" s="7">
        <v>39427</v>
      </c>
      <c r="BG139">
        <v>68</v>
      </c>
      <c r="BH139" s="17">
        <f t="shared" ca="1" si="2"/>
        <v>100</v>
      </c>
      <c r="BI139" s="17"/>
      <c r="BJ139" s="17"/>
      <c r="BK139" t="str">
        <f>B139</f>
        <v>Subject To Inspection</v>
      </c>
    </row>
    <row r="140" spans="1:63" hidden="1">
      <c r="A140">
        <v>28019593</v>
      </c>
      <c r="B140" s="4" t="str">
        <f>HYPERLINK("http://www.windermere.com/index.cfm?fuseaction=Listing.ListingDetail&amp;ListingID=19310678","Subject To Inspection")</f>
        <v>Subject To Inspection</v>
      </c>
      <c r="D140" t="s">
        <v>60</v>
      </c>
      <c r="E140" t="s">
        <v>574</v>
      </c>
      <c r="F140" s="10">
        <v>379950</v>
      </c>
      <c r="G140" t="s">
        <v>247</v>
      </c>
      <c r="H140" s="1">
        <v>1470</v>
      </c>
      <c r="J140">
        <v>3</v>
      </c>
      <c r="K140">
        <v>2.75</v>
      </c>
      <c r="M140" s="2" t="str">
        <f>HYPERLINK("http://www.windermere.com/index.cfm?fuseaction=Listing.MapPropertyInteractive&amp;ListingID=19310678&amp;resize=true&amp;windowWidth=800&amp;windowHeight=600","Map")</f>
        <v>Map</v>
      </c>
      <c r="AI140" t="s">
        <v>66</v>
      </c>
      <c r="AJ140">
        <v>98103</v>
      </c>
      <c r="AS140" t="s">
        <v>575</v>
      </c>
      <c r="AT140">
        <v>19310678</v>
      </c>
      <c r="AU140" s="12">
        <v>39495</v>
      </c>
      <c r="BB140" t="s">
        <v>912</v>
      </c>
      <c r="BC140" s="7">
        <v>39479</v>
      </c>
      <c r="BG140">
        <v>16</v>
      </c>
      <c r="BH140" s="17">
        <f t="shared" ca="1" si="2"/>
        <v>48</v>
      </c>
      <c r="BI140" s="17"/>
      <c r="BJ140" s="17"/>
    </row>
    <row r="141" spans="1:63" hidden="1">
      <c r="A141">
        <v>28028005</v>
      </c>
      <c r="B141" s="4" t="str">
        <f>HYPERLINK("http://www.windermere.com/index.cfm?fuseaction=Listing.ListingDetail&amp;ListingID=19382507","Subject To Inspection")</f>
        <v>Subject To Inspection</v>
      </c>
      <c r="D141" t="s">
        <v>109</v>
      </c>
      <c r="E141" t="s">
        <v>576</v>
      </c>
      <c r="F141" s="10">
        <v>379950</v>
      </c>
      <c r="G141" t="s">
        <v>247</v>
      </c>
      <c r="H141" s="1">
        <v>1017</v>
      </c>
      <c r="I141">
        <v>980</v>
      </c>
      <c r="J141">
        <v>2</v>
      </c>
      <c r="K141">
        <v>1.5</v>
      </c>
      <c r="M141" s="2" t="str">
        <f>HYPERLINK("http://www.windermere.com/index.cfm?fuseaction=Listing.MapPropertyInteractive&amp;ListingID=19382507&amp;resize=true&amp;windowWidth=800&amp;windowHeight=600","Map")</f>
        <v>Map</v>
      </c>
      <c r="O141" s="2" t="str">
        <f>HYPERLINK("http://www.windermere.com/index.cfm?fuseaction=Listing.MultiImageViewer&amp;ListingID=19382507&amp;ln=28028005&amp;pub_mls=1","More")</f>
        <v>More</v>
      </c>
      <c r="AI141" t="s">
        <v>66</v>
      </c>
      <c r="AJ141">
        <v>98103</v>
      </c>
      <c r="AS141" t="s">
        <v>577</v>
      </c>
      <c r="AT141">
        <v>19382507</v>
      </c>
      <c r="AU141" s="12">
        <v>39495</v>
      </c>
      <c r="BB141" t="s">
        <v>912</v>
      </c>
      <c r="BC141" s="7">
        <v>39494</v>
      </c>
      <c r="BG141">
        <v>1</v>
      </c>
      <c r="BH141" s="17">
        <f t="shared" ca="1" si="2"/>
        <v>33</v>
      </c>
      <c r="BI141" s="17"/>
      <c r="BJ141" s="17"/>
    </row>
    <row r="142" spans="1:63" hidden="1">
      <c r="A142">
        <v>28005633</v>
      </c>
      <c r="B142" s="15" t="str">
        <f>HYPERLINK("http://www.windermere.com/index.cfm?fuseaction=Listing.ListingDetail&amp;ListingID=19193863","Subject To Inspection")</f>
        <v>Subject To Inspection</v>
      </c>
      <c r="D142" t="s">
        <v>88</v>
      </c>
      <c r="E142" t="s">
        <v>361</v>
      </c>
      <c r="F142" s="10">
        <v>380000</v>
      </c>
      <c r="G142" t="s">
        <v>129</v>
      </c>
      <c r="H142" s="1">
        <v>1620</v>
      </c>
      <c r="J142">
        <v>2</v>
      </c>
      <c r="K142">
        <v>1</v>
      </c>
      <c r="M142" s="2" t="str">
        <f>HYPERLINK("http://www.windermere.com/index.cfm?fuseaction=Listing.MapPropertyInteractive&amp;ListingID=19193863&amp;resize=true&amp;windowWidth=800&amp;windowHeight=600","Map")</f>
        <v>Map</v>
      </c>
      <c r="O142" s="2" t="str">
        <f>HYPERLINK("http://www.windermere.com/index.cfm?fuseaction=Listing.MultiImageViewer&amp;ListingID=19193863&amp;ln=28005633&amp;pub_mls=1","More")</f>
        <v>More</v>
      </c>
      <c r="AI142" t="s">
        <v>66</v>
      </c>
      <c r="AJ142">
        <v>98117</v>
      </c>
      <c r="AS142" t="s">
        <v>362</v>
      </c>
      <c r="AT142">
        <v>19193863</v>
      </c>
      <c r="AU142" s="12">
        <v>39495</v>
      </c>
      <c r="BB142" t="s">
        <v>912</v>
      </c>
      <c r="BC142" s="7">
        <v>39457</v>
      </c>
      <c r="BG142">
        <v>38</v>
      </c>
      <c r="BH142" s="17">
        <f t="shared" ca="1" si="2"/>
        <v>70</v>
      </c>
      <c r="BI142" s="17"/>
      <c r="BJ142" s="17"/>
    </row>
    <row r="143" spans="1:63" hidden="1">
      <c r="A143">
        <v>28012841</v>
      </c>
      <c r="B143" s="2" t="str">
        <f>HYPERLINK("http://www.windermere.com/index.cfm?fuseaction=Listing.ListingDetail&amp;ListingID=19257593","Subject To Inspection")</f>
        <v>Subject To Inspection</v>
      </c>
      <c r="D143" t="s">
        <v>218</v>
      </c>
      <c r="E143" t="s">
        <v>578</v>
      </c>
      <c r="F143" s="10">
        <v>380000</v>
      </c>
      <c r="G143" t="s">
        <v>176</v>
      </c>
      <c r="H143">
        <v>870</v>
      </c>
      <c r="I143">
        <v>7128</v>
      </c>
      <c r="J143">
        <v>2</v>
      </c>
      <c r="K143">
        <v>1</v>
      </c>
      <c r="M143" s="2" t="str">
        <f>HYPERLINK("http://www.windermere.com/index.cfm?fuseaction=Listing.MapPropertyInteractive&amp;ListingID=19257593&amp;resize=true&amp;windowWidth=800&amp;windowHeight=600","Map")</f>
        <v>Map</v>
      </c>
      <c r="O143" s="2" t="str">
        <f>HYPERLINK("http://www.windermere.com/index.cfm?fuseaction=Listing.MultiImageViewer&amp;ListingID=19257593&amp;ln=28012841&amp;pub_mls=1","More")</f>
        <v>More</v>
      </c>
      <c r="AI143" t="s">
        <v>66</v>
      </c>
      <c r="AJ143">
        <v>98115</v>
      </c>
      <c r="AS143" t="s">
        <v>579</v>
      </c>
      <c r="AT143">
        <v>19257593</v>
      </c>
      <c r="AU143" s="12">
        <v>39495</v>
      </c>
      <c r="BB143" t="s">
        <v>912</v>
      </c>
      <c r="BC143" s="7">
        <v>39468</v>
      </c>
      <c r="BG143">
        <v>27</v>
      </c>
      <c r="BH143" s="17">
        <f t="shared" ca="1" si="2"/>
        <v>59</v>
      </c>
      <c r="BI143" s="17"/>
      <c r="BJ143" s="17"/>
      <c r="BK143" t="str">
        <f>B143</f>
        <v>Subject To Inspection</v>
      </c>
    </row>
    <row r="144" spans="1:63" hidden="1">
      <c r="A144">
        <v>27173473</v>
      </c>
      <c r="B144" s="2" t="str">
        <f>HYPERLINK("http://www.windermere.com/index.cfm?fuseaction=Listing.ListingDetail&amp;ListingID=18679639","Subject To Inspection")</f>
        <v>Subject To Inspection</v>
      </c>
      <c r="D144" t="s">
        <v>920</v>
      </c>
      <c r="E144" t="s">
        <v>580</v>
      </c>
      <c r="F144" s="10">
        <v>383900</v>
      </c>
      <c r="G144" t="s">
        <v>147</v>
      </c>
      <c r="H144" s="1">
        <v>1680</v>
      </c>
      <c r="J144">
        <v>3</v>
      </c>
      <c r="K144">
        <v>3.5</v>
      </c>
      <c r="M144" s="2" t="str">
        <f>HYPERLINK("http://www.windermere.com/index.cfm?fuseaction=Listing.MapPropertyInteractive&amp;ListingID=18679639&amp;resize=true&amp;windowWidth=800&amp;windowHeight=600","Map")</f>
        <v>Map</v>
      </c>
      <c r="AI144" t="s">
        <v>66</v>
      </c>
      <c r="AJ144">
        <v>98125</v>
      </c>
      <c r="AS144" t="s">
        <v>581</v>
      </c>
      <c r="AT144">
        <v>18679639</v>
      </c>
      <c r="AU144" s="12">
        <v>39495</v>
      </c>
      <c r="BB144" t="s">
        <v>912</v>
      </c>
      <c r="BC144" s="7">
        <v>39346</v>
      </c>
      <c r="BG144">
        <v>149</v>
      </c>
      <c r="BH144" s="17">
        <f t="shared" ca="1" si="2"/>
        <v>181</v>
      </c>
      <c r="BI144" s="17"/>
      <c r="BJ144" s="17"/>
      <c r="BK144" t="str">
        <f>B144</f>
        <v>Subject To Inspection</v>
      </c>
    </row>
    <row r="145" spans="1:63" hidden="1">
      <c r="A145">
        <v>28013863</v>
      </c>
      <c r="B145" s="2" t="str">
        <f>HYPERLINK("http://www.windermere.com/index.cfm?fuseaction=Listing.ListingDetail&amp;ListingID=19264129","Subject To Inspection")</f>
        <v>Subject To Inspection</v>
      </c>
      <c r="D145" t="s">
        <v>920</v>
      </c>
      <c r="E145" t="s">
        <v>582</v>
      </c>
      <c r="F145" s="10">
        <v>383900</v>
      </c>
      <c r="G145" t="s">
        <v>147</v>
      </c>
      <c r="H145" s="1">
        <v>1680</v>
      </c>
      <c r="J145">
        <v>3</v>
      </c>
      <c r="K145">
        <v>3.5</v>
      </c>
      <c r="M145" s="2" t="str">
        <f>HYPERLINK("http://www.windermere.com/index.cfm?fuseaction=Listing.MapPropertyInteractive&amp;ListingID=19264129&amp;resize=true&amp;windowWidth=800&amp;windowHeight=600","Map")</f>
        <v>Map</v>
      </c>
      <c r="AI145" t="s">
        <v>66</v>
      </c>
      <c r="AJ145">
        <v>98125</v>
      </c>
      <c r="AS145" t="s">
        <v>583</v>
      </c>
      <c r="AT145">
        <v>19264129</v>
      </c>
      <c r="AU145" s="12">
        <v>39495</v>
      </c>
      <c r="BB145" t="s">
        <v>912</v>
      </c>
      <c r="BC145" s="7">
        <v>39469</v>
      </c>
      <c r="BG145">
        <v>26</v>
      </c>
      <c r="BH145" s="17">
        <f t="shared" ca="1" si="2"/>
        <v>58</v>
      </c>
      <c r="BI145" s="17"/>
      <c r="BJ145" s="17"/>
      <c r="BK145" t="str">
        <f>B145</f>
        <v>Subject To Inspection</v>
      </c>
    </row>
    <row r="146" spans="1:63" hidden="1">
      <c r="A146">
        <v>28015881</v>
      </c>
      <c r="B146" s="4" t="str">
        <f>HYPERLINK("http://www.windermere.com/index.cfm?fuseaction=Listing.ListingDetail&amp;ListingID=19280440","Subject To Inspection")</f>
        <v>Subject To Inspection</v>
      </c>
      <c r="D146" t="s">
        <v>920</v>
      </c>
      <c r="E146" t="s">
        <v>588</v>
      </c>
      <c r="F146" s="10">
        <v>383900</v>
      </c>
      <c r="G146" t="s">
        <v>247</v>
      </c>
      <c r="H146" s="1">
        <v>1845</v>
      </c>
      <c r="J146">
        <v>3</v>
      </c>
      <c r="K146">
        <v>3.5</v>
      </c>
      <c r="M146" s="2" t="str">
        <f>HYPERLINK("http://www.windermere.com/index.cfm?fuseaction=Listing.MapPropertyInteractive&amp;ListingID=19280440&amp;resize=true&amp;windowWidth=800&amp;windowHeight=600","Map")</f>
        <v>Map</v>
      </c>
      <c r="O146" s="2" t="str">
        <f>HYPERLINK("http://www.windermere.com/index.cfm?fuseaction=Listing.MultiImageViewer&amp;ListingID=19280440&amp;ln=28015881&amp;pub_mls=1","More")</f>
        <v>More</v>
      </c>
      <c r="AI146" t="s">
        <v>66</v>
      </c>
      <c r="AJ146">
        <v>98125</v>
      </c>
      <c r="AS146" t="s">
        <v>589</v>
      </c>
      <c r="AT146">
        <v>19280440</v>
      </c>
      <c r="AU146" s="12">
        <v>39495</v>
      </c>
      <c r="BB146" t="s">
        <v>912</v>
      </c>
      <c r="BC146" s="7">
        <v>39472</v>
      </c>
      <c r="BG146">
        <v>23</v>
      </c>
      <c r="BH146" s="17">
        <f t="shared" ca="1" si="2"/>
        <v>55</v>
      </c>
      <c r="BI146" s="17"/>
      <c r="BJ146" s="17"/>
    </row>
    <row r="147" spans="1:63" hidden="1">
      <c r="A147">
        <v>28015892</v>
      </c>
      <c r="B147" s="4" t="str">
        <f>HYPERLINK("http://www.windermere.com/index.cfm?fuseaction=Listing.ListingDetail&amp;ListingID=19280441","Contingent")</f>
        <v>Contingent</v>
      </c>
      <c r="D147" t="s">
        <v>920</v>
      </c>
      <c r="E147" t="s">
        <v>590</v>
      </c>
      <c r="F147" s="10">
        <v>383900</v>
      </c>
      <c r="G147" t="s">
        <v>247</v>
      </c>
      <c r="H147" s="1">
        <v>1845</v>
      </c>
      <c r="J147">
        <v>3</v>
      </c>
      <c r="K147">
        <v>3.5</v>
      </c>
      <c r="M147" s="2" t="str">
        <f>HYPERLINK("http://www.windermere.com/index.cfm?fuseaction=Listing.MapPropertyInteractive&amp;ListingID=19280441&amp;resize=true&amp;windowWidth=800&amp;windowHeight=600","Map")</f>
        <v>Map</v>
      </c>
      <c r="O147" s="2" t="str">
        <f>HYPERLINK("http://www.windermere.com/index.cfm?fuseaction=Listing.MultiImageViewer&amp;ListingID=19280441&amp;ln=28015892&amp;pub_mls=1","More")</f>
        <v>More</v>
      </c>
      <c r="AI147" t="s">
        <v>66</v>
      </c>
      <c r="AJ147">
        <v>98125</v>
      </c>
      <c r="AS147" t="s">
        <v>591</v>
      </c>
      <c r="AT147">
        <v>19280441</v>
      </c>
      <c r="AU147" s="12">
        <v>39495</v>
      </c>
      <c r="BB147" t="s">
        <v>912</v>
      </c>
      <c r="BC147" s="7">
        <v>39472</v>
      </c>
      <c r="BG147">
        <v>23</v>
      </c>
      <c r="BH147" s="17">
        <f t="shared" ca="1" si="2"/>
        <v>55</v>
      </c>
      <c r="BI147" s="17"/>
      <c r="BJ147" s="17"/>
    </row>
    <row r="148" spans="1:63" hidden="1">
      <c r="A148">
        <v>28021767</v>
      </c>
      <c r="B148" s="2" t="str">
        <f>HYPERLINK("http://www.windermere.com/index.cfm?fuseaction=Listing.ListingDetail&amp;ListingID=19327123","Active")</f>
        <v>Active</v>
      </c>
      <c r="D148" t="s">
        <v>920</v>
      </c>
      <c r="E148" t="s">
        <v>584</v>
      </c>
      <c r="F148" s="10">
        <v>383900</v>
      </c>
      <c r="G148" t="s">
        <v>147</v>
      </c>
      <c r="H148" s="1">
        <v>1680</v>
      </c>
      <c r="J148">
        <v>3</v>
      </c>
      <c r="K148">
        <v>3.5</v>
      </c>
      <c r="M148" s="2" t="str">
        <f>HYPERLINK("http://www.windermere.com/index.cfm?fuseaction=Listing.MapPropertyInteractive&amp;ListingID=19327123&amp;resize=true&amp;windowWidth=800&amp;windowHeight=600","Map")</f>
        <v>Map</v>
      </c>
      <c r="O148" s="2" t="str">
        <f>HYPERLINK("http://www.windermere.com/index.cfm?fuseaction=Listing.MultiImageViewer&amp;ListingID=19327123&amp;ln=28021767&amp;pub_mls=1","More")</f>
        <v>More</v>
      </c>
      <c r="AI148" t="s">
        <v>66</v>
      </c>
      <c r="AJ148">
        <v>98125</v>
      </c>
      <c r="AS148" t="s">
        <v>585</v>
      </c>
      <c r="AT148">
        <v>19327123</v>
      </c>
      <c r="AU148" s="12">
        <v>39495</v>
      </c>
      <c r="BB148" t="s">
        <v>912</v>
      </c>
      <c r="BC148" s="7">
        <v>39483</v>
      </c>
      <c r="BG148">
        <v>12</v>
      </c>
      <c r="BH148" s="17">
        <f t="shared" ca="1" si="2"/>
        <v>44</v>
      </c>
      <c r="BI148" s="17"/>
      <c r="BJ148" s="17"/>
    </row>
    <row r="149" spans="1:63" hidden="1">
      <c r="A149">
        <v>28021867</v>
      </c>
      <c r="B149" s="2" t="str">
        <f>HYPERLINK("http://www.windermere.com/index.cfm?fuseaction=Listing.ListingDetail&amp;ListingID=19327718","Active")</f>
        <v>Active</v>
      </c>
      <c r="D149" t="s">
        <v>920</v>
      </c>
      <c r="E149" t="s">
        <v>586</v>
      </c>
      <c r="F149" s="10">
        <v>383900</v>
      </c>
      <c r="G149" t="s">
        <v>147</v>
      </c>
      <c r="H149" s="1">
        <v>1680</v>
      </c>
      <c r="J149">
        <v>3</v>
      </c>
      <c r="K149">
        <v>3.5</v>
      </c>
      <c r="M149" s="2" t="str">
        <f>HYPERLINK("http://www.windermere.com/index.cfm?fuseaction=Listing.MapPropertyInteractive&amp;ListingID=19327718&amp;resize=true&amp;windowWidth=800&amp;windowHeight=600","Map")</f>
        <v>Map</v>
      </c>
      <c r="O149" s="2" t="str">
        <f>HYPERLINK("http://www.windermere.com/index.cfm?fuseaction=Listing.MultiImageViewer&amp;ListingID=19327718&amp;ln=28021867&amp;pub_mls=1","More")</f>
        <v>More</v>
      </c>
      <c r="AI149" t="s">
        <v>66</v>
      </c>
      <c r="AJ149">
        <v>98125</v>
      </c>
      <c r="AS149" t="s">
        <v>587</v>
      </c>
      <c r="AT149">
        <v>19327718</v>
      </c>
      <c r="AU149" s="12">
        <v>39495</v>
      </c>
      <c r="BB149" t="s">
        <v>912</v>
      </c>
      <c r="BC149" s="7">
        <v>39483</v>
      </c>
      <c r="BG149">
        <v>12</v>
      </c>
      <c r="BH149" s="17">
        <f t="shared" ca="1" si="2"/>
        <v>44</v>
      </c>
      <c r="BI149" s="17"/>
      <c r="BJ149" s="17"/>
    </row>
    <row r="150" spans="1:63" hidden="1">
      <c r="A150">
        <v>28000694</v>
      </c>
      <c r="B150" s="2" t="str">
        <f>HYPERLINK("http://www.windermere.com/index.cfm?fuseaction=Listing.ListingDetail&amp;ListingID=19147164","Active")</f>
        <v>Active</v>
      </c>
      <c r="D150" t="s">
        <v>1109</v>
      </c>
      <c r="E150" t="s">
        <v>592</v>
      </c>
      <c r="F150" s="13">
        <v>369950</v>
      </c>
      <c r="G150" t="s">
        <v>248</v>
      </c>
      <c r="H150" s="1">
        <v>1720</v>
      </c>
      <c r="I150">
        <v>3247</v>
      </c>
      <c r="J150">
        <v>3</v>
      </c>
      <c r="K150">
        <v>2.5</v>
      </c>
      <c r="M150" s="2" t="str">
        <f>HYPERLINK("http://www.windermere.com/index.cfm?fuseaction=Listing.MapPropertyInteractive&amp;ListingID=19147164&amp;resize=true&amp;windowWidth=800&amp;windowHeight=600","Map")</f>
        <v>Map</v>
      </c>
      <c r="O150" s="2" t="str">
        <f>HYPERLINK("http://www.windermere.com/index.cfm?fuseaction=viewGallery.Home&amp;customTourID=196131&amp;wvt=0","More")</f>
        <v>More</v>
      </c>
      <c r="AI150" t="s">
        <v>66</v>
      </c>
      <c r="AJ150">
        <v>98177</v>
      </c>
      <c r="AS150" t="s">
        <v>593</v>
      </c>
      <c r="AT150">
        <v>19147164</v>
      </c>
      <c r="AU150" s="12">
        <v>39495</v>
      </c>
      <c r="BB150" t="s">
        <v>912</v>
      </c>
      <c r="BC150" s="7">
        <v>39449</v>
      </c>
      <c r="BG150">
        <v>46</v>
      </c>
      <c r="BH150" s="17">
        <f t="shared" ca="1" si="2"/>
        <v>78</v>
      </c>
      <c r="BI150" s="17"/>
      <c r="BJ150" s="17"/>
    </row>
    <row r="151" spans="1:63" hidden="1">
      <c r="A151">
        <v>28028536</v>
      </c>
      <c r="B151" s="4" t="str">
        <f>HYPERLINK("http://www.windermere.com/index.cfm?fuseaction=Listing.ListingDetail&amp;ListingID=19382798","Subject To Inspection")</f>
        <v>Subject To Inspection</v>
      </c>
      <c r="D151" t="s">
        <v>109</v>
      </c>
      <c r="E151" t="s">
        <v>594</v>
      </c>
      <c r="F151" s="10">
        <v>384950</v>
      </c>
      <c r="G151" t="s">
        <v>247</v>
      </c>
      <c r="H151" s="1">
        <v>1045</v>
      </c>
      <c r="I151">
        <v>1000</v>
      </c>
      <c r="J151">
        <v>2</v>
      </c>
      <c r="K151">
        <v>1.5</v>
      </c>
      <c r="M151" s="2" t="str">
        <f>HYPERLINK("http://www.windermere.com/index.cfm?fuseaction=Listing.MapPropertyInteractive&amp;ListingID=19382798&amp;resize=true&amp;windowWidth=800&amp;windowHeight=600","Map")</f>
        <v>Map</v>
      </c>
      <c r="O151" s="2" t="str">
        <f>HYPERLINK("http://www.windermere.com/index.cfm?fuseaction=Listing.MultiImageViewer&amp;ListingID=19382798&amp;ln=28028536&amp;pub_mls=1","More")</f>
        <v>More</v>
      </c>
      <c r="AI151" t="s">
        <v>66</v>
      </c>
      <c r="AJ151">
        <v>98103</v>
      </c>
      <c r="AS151" t="s">
        <v>595</v>
      </c>
      <c r="AT151">
        <v>19382798</v>
      </c>
      <c r="AU151" s="12">
        <v>39495</v>
      </c>
      <c r="BB151" t="s">
        <v>912</v>
      </c>
      <c r="BC151" s="7">
        <v>39494</v>
      </c>
      <c r="BG151">
        <v>1</v>
      </c>
      <c r="BH151" s="17">
        <f t="shared" ca="1" si="2"/>
        <v>33</v>
      </c>
      <c r="BI151" s="17"/>
      <c r="BJ151" s="17"/>
    </row>
    <row r="152" spans="1:63" hidden="1">
      <c r="A152">
        <v>27194397</v>
      </c>
      <c r="B152" s="2" t="str">
        <f>HYPERLINK("http://www.windermere.com/index.cfm?fuseaction=Listing.ListingDetail&amp;ListingID=18891692","Active")</f>
        <v>Active</v>
      </c>
      <c r="D152" t="s">
        <v>60</v>
      </c>
      <c r="E152" t="s">
        <v>598</v>
      </c>
      <c r="F152" s="10">
        <v>385000</v>
      </c>
      <c r="G152" t="s">
        <v>599</v>
      </c>
      <c r="H152" s="1">
        <v>1466</v>
      </c>
      <c r="J152">
        <v>3</v>
      </c>
      <c r="K152">
        <v>2.75</v>
      </c>
      <c r="M152" s="2" t="str">
        <f>HYPERLINK("http://www.windermere.com/index.cfm?fuseaction=Listing.MapPropertyInteractive&amp;ListingID=18891692&amp;resize=true&amp;windowWidth=800&amp;windowHeight=600","Map")</f>
        <v>Map</v>
      </c>
      <c r="O152" s="2" t="str">
        <f>HYPERLINK("http://www.windermere.com/index.cfm?fuseaction=Listing.MultiImageViewer&amp;ListingID=18891692&amp;ln=27194397&amp;pub_mls=1","More")</f>
        <v>More</v>
      </c>
      <c r="AI152" t="s">
        <v>66</v>
      </c>
      <c r="AJ152">
        <v>98103</v>
      </c>
      <c r="AS152" t="s">
        <v>600</v>
      </c>
      <c r="AT152">
        <v>18891692</v>
      </c>
      <c r="AU152" s="12">
        <v>39495</v>
      </c>
      <c r="BB152" t="s">
        <v>912</v>
      </c>
      <c r="BC152" s="7">
        <v>39386</v>
      </c>
      <c r="BG152">
        <v>109</v>
      </c>
      <c r="BH152" s="17">
        <f t="shared" ca="1" si="2"/>
        <v>141</v>
      </c>
      <c r="BI152" s="17"/>
      <c r="BJ152" s="17"/>
    </row>
    <row r="153" spans="1:63" hidden="1">
      <c r="A153">
        <v>28007321</v>
      </c>
      <c r="B153" s="2" t="str">
        <f>HYPERLINK("http://www.windermere.com/index.cfm?fuseaction=Listing.ListingDetail&amp;ListingID=19206266","Active")</f>
        <v>Active</v>
      </c>
      <c r="D153" t="s">
        <v>78</v>
      </c>
      <c r="E153" t="s">
        <v>363</v>
      </c>
      <c r="F153" s="18">
        <v>375000</v>
      </c>
      <c r="G153" t="s">
        <v>256</v>
      </c>
      <c r="H153" s="1">
        <v>1330</v>
      </c>
      <c r="J153">
        <v>3</v>
      </c>
      <c r="K153">
        <v>2.5</v>
      </c>
      <c r="M153" s="2" t="str">
        <f>HYPERLINK("http://www.windermere.com/index.cfm?fuseaction=Listing.MapPropertyInteractive&amp;ListingID=19206266&amp;resize=true&amp;windowWidth=800&amp;windowHeight=600","Map")</f>
        <v>Map</v>
      </c>
      <c r="O153" s="2" t="str">
        <f>HYPERLINK("http://www.windermere.com/index.cfm?fuseaction=Listing.MultiImageViewer&amp;ListingID=19206266&amp;ln=28007321&amp;pub_mls=1","More")</f>
        <v>More</v>
      </c>
      <c r="AI153" t="s">
        <v>66</v>
      </c>
      <c r="AJ153">
        <v>98117</v>
      </c>
      <c r="AS153" t="s">
        <v>364</v>
      </c>
      <c r="AT153">
        <v>19206266</v>
      </c>
      <c r="AU153" s="12">
        <v>39495</v>
      </c>
      <c r="BB153" t="s">
        <v>912</v>
      </c>
      <c r="BC153" s="7">
        <v>39458</v>
      </c>
      <c r="BG153">
        <v>37</v>
      </c>
      <c r="BH153" s="17">
        <f t="shared" ca="1" si="2"/>
        <v>69</v>
      </c>
      <c r="BI153" s="17"/>
      <c r="BJ153" s="17"/>
    </row>
    <row r="154" spans="1:63" hidden="1">
      <c r="A154">
        <v>28022095</v>
      </c>
      <c r="B154" s="2" t="str">
        <f>HYPERLINK("http://www.windermere.com/index.cfm?fuseaction=Listing.ListingDetail&amp;ListingID=19332676","Active")</f>
        <v>Active</v>
      </c>
      <c r="C154">
        <v>705</v>
      </c>
      <c r="D154" t="s">
        <v>920</v>
      </c>
      <c r="E154" t="s">
        <v>596</v>
      </c>
      <c r="F154" s="18">
        <v>369950</v>
      </c>
      <c r="G154" t="s">
        <v>146</v>
      </c>
      <c r="H154" s="1">
        <v>1060</v>
      </c>
      <c r="I154">
        <v>6000</v>
      </c>
      <c r="J154">
        <v>2</v>
      </c>
      <c r="K154">
        <v>1</v>
      </c>
      <c r="L154">
        <v>1</v>
      </c>
      <c r="M154" s="2" t="str">
        <f>HYPERLINK("http://www.windermere.com/index.cfm?fuseaction=Listing.MapPropertyInteractive&amp;ListingID=19332676&amp;resize=true&amp;windowWidth=800&amp;windowHeight=600","Map")</f>
        <v>Map</v>
      </c>
      <c r="N154" s="2" t="str">
        <f>HYPERLINK("http://locmedia.nwmls.com/DO_NOT_LINK/bigphoto/095/28022095.jpg?tsp=20080207091702","Photo")</f>
        <v>Photo</v>
      </c>
      <c r="O154" s="2" t="str">
        <f>HYPERLINK("http://www.windermere.com/index.cfm?fuseaction=Listing.MultiImageViewer&amp;ListingID=19332676&amp;ln=28022095&amp;pub_mls=1","More")</f>
        <v>More</v>
      </c>
      <c r="Q154" t="s">
        <v>56</v>
      </c>
      <c r="R154" t="s">
        <v>67</v>
      </c>
      <c r="S154" t="s">
        <v>58</v>
      </c>
      <c r="X154" t="s">
        <v>47</v>
      </c>
      <c r="Y154" t="s">
        <v>48</v>
      </c>
      <c r="Z154" t="s">
        <v>87</v>
      </c>
      <c r="AB154">
        <v>2007</v>
      </c>
      <c r="AC154">
        <v>2863</v>
      </c>
      <c r="AD154" t="s">
        <v>921</v>
      </c>
      <c r="AE154" t="s">
        <v>922</v>
      </c>
      <c r="AF154" t="s">
        <v>923</v>
      </c>
      <c r="AG154">
        <v>47.706873999999999</v>
      </c>
      <c r="AH154">
        <v>-122.338292</v>
      </c>
      <c r="AI154" t="s">
        <v>66</v>
      </c>
      <c r="AJ154">
        <v>98133</v>
      </c>
      <c r="AK154" t="s">
        <v>41</v>
      </c>
      <c r="AL154" t="s">
        <v>40</v>
      </c>
      <c r="AM154" t="s">
        <v>40</v>
      </c>
      <c r="AO154">
        <v>0.13800000000000001</v>
      </c>
      <c r="AP154" t="s">
        <v>924</v>
      </c>
      <c r="AQ154">
        <v>505</v>
      </c>
      <c r="AR154" t="s">
        <v>925</v>
      </c>
      <c r="AS154" t="s">
        <v>597</v>
      </c>
      <c r="AT154">
        <v>19332676</v>
      </c>
      <c r="AU154" s="12">
        <v>39495</v>
      </c>
      <c r="BA154" t="s">
        <v>912</v>
      </c>
      <c r="BB154" t="s">
        <v>912</v>
      </c>
      <c r="BC154" s="7">
        <v>39484</v>
      </c>
      <c r="BG154">
        <v>11</v>
      </c>
      <c r="BH154" s="17">
        <f t="shared" ca="1" si="2"/>
        <v>43</v>
      </c>
      <c r="BI154" s="17"/>
      <c r="BJ154" s="17"/>
    </row>
    <row r="155" spans="1:63" hidden="1">
      <c r="A155">
        <v>27160662</v>
      </c>
      <c r="B155" s="2" t="str">
        <f>HYPERLINK("http://www.windermere.com/index.cfm?fuseaction=Listing.ListingDetail&amp;ListingID=18555463","Active")</f>
        <v>Active</v>
      </c>
      <c r="D155" t="s">
        <v>63</v>
      </c>
      <c r="E155" t="s">
        <v>601</v>
      </c>
      <c r="F155" s="10">
        <v>389950</v>
      </c>
      <c r="G155" t="s">
        <v>147</v>
      </c>
      <c r="H155" s="1">
        <v>1320</v>
      </c>
      <c r="J155">
        <v>2</v>
      </c>
      <c r="K155">
        <v>2.5</v>
      </c>
      <c r="M155" s="2" t="str">
        <f>HYPERLINK("http://www.windermere.com/index.cfm?fuseaction=Listing.MapPropertyInteractive&amp;ListingID=18555463&amp;resize=true&amp;windowWidth=800&amp;windowHeight=600","Map")</f>
        <v>Map</v>
      </c>
      <c r="O155" s="2" t="str">
        <f>HYPERLINK("http://www.windermere.com/index.cfm?fuseaction=Listing.MultiImageViewer&amp;ListingID=18555463&amp;ln=27160662&amp;pub_mls=1","More")</f>
        <v>More</v>
      </c>
      <c r="P155" t="s">
        <v>44</v>
      </c>
      <c r="AI155" t="s">
        <v>66</v>
      </c>
      <c r="AJ155">
        <v>98107</v>
      </c>
      <c r="AS155" t="s">
        <v>602</v>
      </c>
      <c r="AT155">
        <v>18555463</v>
      </c>
      <c r="AU155" s="12">
        <v>39495</v>
      </c>
      <c r="BB155" t="s">
        <v>912</v>
      </c>
      <c r="BC155" s="7">
        <v>39326</v>
      </c>
      <c r="BD155">
        <v>3</v>
      </c>
      <c r="BE155" s="6" t="s">
        <v>1326</v>
      </c>
      <c r="BG155">
        <v>169</v>
      </c>
      <c r="BH155" s="17">
        <f t="shared" ca="1" si="2"/>
        <v>201</v>
      </c>
      <c r="BI155" s="17"/>
      <c r="BJ155" s="17"/>
    </row>
    <row r="156" spans="1:63" hidden="1">
      <c r="A156">
        <v>27169915</v>
      </c>
      <c r="B156" s="2" t="str">
        <f>HYPERLINK("http://www.windermere.com/index.cfm?fuseaction=Listing.ListingDetail&amp;ListingID=19358299","Active")</f>
        <v>Active</v>
      </c>
      <c r="D156" t="s">
        <v>968</v>
      </c>
      <c r="E156" t="s">
        <v>1110</v>
      </c>
      <c r="F156" s="10">
        <v>389950</v>
      </c>
      <c r="G156" t="s">
        <v>180</v>
      </c>
      <c r="H156" s="1">
        <v>1780</v>
      </c>
      <c r="I156">
        <v>5815</v>
      </c>
      <c r="J156">
        <v>3</v>
      </c>
      <c r="K156">
        <v>1.75</v>
      </c>
      <c r="M156" s="2" t="str">
        <f>HYPERLINK("http://www.windermere.com/index.cfm?fuseaction=Listing.MapPropertyInteractive&amp;ListingID=19358299&amp;resize=true&amp;windowWidth=800&amp;windowHeight=600","Map")</f>
        <v>Map</v>
      </c>
      <c r="O156" s="2" t="str">
        <f>HYPERLINK("http://www.windermere.com/index.cfm?fuseaction=Listing.MultiImageViewer&amp;ListingID=19358299&amp;ln=27169915&amp;pub_mls=1","More")</f>
        <v>More</v>
      </c>
      <c r="AI156" t="s">
        <v>66</v>
      </c>
      <c r="AJ156">
        <v>98125</v>
      </c>
      <c r="AS156" t="s">
        <v>1111</v>
      </c>
      <c r="AT156">
        <v>19358299</v>
      </c>
      <c r="AU156" s="12">
        <v>39495</v>
      </c>
      <c r="BB156" t="s">
        <v>912</v>
      </c>
      <c r="BC156" s="7">
        <v>39342</v>
      </c>
      <c r="BG156">
        <v>153</v>
      </c>
      <c r="BH156" s="17">
        <f t="shared" ca="1" si="2"/>
        <v>185</v>
      </c>
      <c r="BI156" s="17"/>
      <c r="BJ156" s="17"/>
    </row>
    <row r="157" spans="1:63" hidden="1">
      <c r="A157">
        <v>27195521</v>
      </c>
      <c r="B157" s="2" t="str">
        <f>HYPERLINK("http://www.windermere.com/index.cfm?fuseaction=Listing.ListingDetail&amp;ListingID=18898391","Active")</f>
        <v>Active</v>
      </c>
      <c r="D157" t="s">
        <v>63</v>
      </c>
      <c r="E157" t="s">
        <v>366</v>
      </c>
      <c r="F157" s="10">
        <v>389950</v>
      </c>
      <c r="G157" t="s">
        <v>134</v>
      </c>
      <c r="H157">
        <v>980</v>
      </c>
      <c r="I157">
        <v>3200</v>
      </c>
      <c r="J157">
        <v>2</v>
      </c>
      <c r="K157">
        <v>1</v>
      </c>
      <c r="M157" s="2" t="str">
        <f>HYPERLINK("http://www.windermere.com/index.cfm?fuseaction=Listing.MapPropertyInteractive&amp;ListingID=18898391&amp;resize=true&amp;windowWidth=800&amp;windowHeight=600","Map")</f>
        <v>Map</v>
      </c>
      <c r="O157" s="2" t="str">
        <f>HYPERLINK("http://www.windermere.com/index.cfm?fuseaction=Listing.MultiImageViewer&amp;ListingID=18898391&amp;ln=27195521&amp;pub_mls=1","More")</f>
        <v>More</v>
      </c>
      <c r="AI157" t="s">
        <v>66</v>
      </c>
      <c r="AJ157">
        <v>98117</v>
      </c>
      <c r="AS157" t="s">
        <v>367</v>
      </c>
      <c r="AT157">
        <v>18898391</v>
      </c>
      <c r="AU157" s="12">
        <v>39495</v>
      </c>
      <c r="BB157" t="s">
        <v>912</v>
      </c>
      <c r="BC157" s="7">
        <v>39387</v>
      </c>
      <c r="BG157">
        <v>108</v>
      </c>
      <c r="BH157" s="17">
        <f t="shared" ca="1" si="2"/>
        <v>140</v>
      </c>
      <c r="BI157" s="17"/>
      <c r="BJ157" s="17"/>
    </row>
    <row r="158" spans="1:63" hidden="1">
      <c r="A158">
        <v>28020840</v>
      </c>
      <c r="B158" s="15" t="str">
        <f>HYPERLINK("http://www.windermere.com/index.cfm?fuseaction=Listing.ListingDetail&amp;ListingID=19330920","Subject To Inspection")</f>
        <v>Subject To Inspection</v>
      </c>
      <c r="C158">
        <v>705</v>
      </c>
      <c r="D158" t="s">
        <v>78</v>
      </c>
      <c r="E158" t="s">
        <v>136</v>
      </c>
      <c r="F158" s="10">
        <v>389950</v>
      </c>
      <c r="G158" t="s">
        <v>137</v>
      </c>
      <c r="H158">
        <v>800</v>
      </c>
      <c r="I158">
        <v>2880</v>
      </c>
      <c r="J158">
        <v>2</v>
      </c>
      <c r="K158">
        <v>1</v>
      </c>
      <c r="L158">
        <v>1</v>
      </c>
      <c r="M158" s="2" t="str">
        <f>HYPERLINK("http://www.windermere.com/index.cfm?fuseaction=Listing.MapPropertyInteractive&amp;ListingID=19330920&amp;resize=true&amp;windowWidth=800&amp;windowHeight=600","Map")</f>
        <v>Map</v>
      </c>
      <c r="N158" s="2" t="str">
        <f>HYPERLINK("http://locmedia.nwmls.com/DO_NOT_LINK/bigphoto/840/28020840.jpg?tsp=20080206092356","Photo")</f>
        <v>Photo</v>
      </c>
      <c r="O158" s="2" t="str">
        <f>HYPERLINK("http://www.windermere.com/index.cfm?fuseaction=viewGallery.Home&amp;customTourID=197620&amp;wvt=0","More")</f>
        <v>More</v>
      </c>
      <c r="Q158" t="s">
        <v>56</v>
      </c>
      <c r="R158" t="s">
        <v>72</v>
      </c>
      <c r="S158" t="s">
        <v>53</v>
      </c>
      <c r="U158" t="s">
        <v>44</v>
      </c>
      <c r="X158" t="s">
        <v>47</v>
      </c>
      <c r="Y158" t="s">
        <v>48</v>
      </c>
      <c r="Z158" t="s">
        <v>80</v>
      </c>
      <c r="AB158">
        <v>2007</v>
      </c>
      <c r="AC158">
        <v>3215</v>
      </c>
      <c r="AD158" t="s">
        <v>926</v>
      </c>
      <c r="AG158">
        <v>47.686762999999999</v>
      </c>
      <c r="AH158">
        <v>-122.394105</v>
      </c>
      <c r="AI158" t="s">
        <v>66</v>
      </c>
      <c r="AJ158">
        <v>98117</v>
      </c>
      <c r="AK158" t="s">
        <v>41</v>
      </c>
      <c r="AL158" t="s">
        <v>40</v>
      </c>
      <c r="AM158" t="s">
        <v>40</v>
      </c>
      <c r="AO158">
        <v>6.6000000000000003E-2</v>
      </c>
      <c r="AP158" t="s">
        <v>927</v>
      </c>
      <c r="AQ158">
        <v>534</v>
      </c>
      <c r="AR158" t="s">
        <v>79</v>
      </c>
      <c r="AS158" t="s">
        <v>365</v>
      </c>
      <c r="AT158">
        <v>19330920</v>
      </c>
      <c r="AU158" s="12">
        <v>39495</v>
      </c>
      <c r="BA158" t="s">
        <v>912</v>
      </c>
      <c r="BB158" t="s">
        <v>912</v>
      </c>
      <c r="BC158" s="7">
        <v>39484</v>
      </c>
      <c r="BG158">
        <v>11</v>
      </c>
      <c r="BH158" s="17">
        <f t="shared" ca="1" si="2"/>
        <v>43</v>
      </c>
      <c r="BI158" s="17"/>
      <c r="BJ158" s="17"/>
    </row>
    <row r="159" spans="1:63" hidden="1">
      <c r="A159">
        <v>27201655</v>
      </c>
      <c r="B159" s="2" t="str">
        <f>HYPERLINK("http://www.windermere.com/index.cfm?fuseaction=Listing.ListingDetail&amp;ListingID=18955854","Active")</f>
        <v>Active</v>
      </c>
      <c r="D159" t="s">
        <v>70</v>
      </c>
      <c r="E159" t="s">
        <v>133</v>
      </c>
      <c r="F159" s="10">
        <v>394950</v>
      </c>
      <c r="G159" t="s">
        <v>134</v>
      </c>
      <c r="H159" s="1">
        <v>1800</v>
      </c>
      <c r="I159">
        <v>5040</v>
      </c>
      <c r="J159">
        <v>4</v>
      </c>
      <c r="K159">
        <v>1.75</v>
      </c>
      <c r="M159" s="2" t="str">
        <f>HYPERLINK("http://www.windermere.com/index.cfm?fuseaction=Listing.MapPropertyInteractive&amp;ListingID=18955854&amp;resize=true&amp;windowWidth=800&amp;windowHeight=600","Map")</f>
        <v>Map</v>
      </c>
      <c r="O159" s="2" t="str">
        <f>HYPERLINK("http://www.windermere.com/index.cfm?fuseaction=Listing.MultiImageViewer&amp;ListingID=18955854&amp;ln=27201655&amp;pub_mls=1","More")</f>
        <v>More</v>
      </c>
      <c r="AI159" t="s">
        <v>66</v>
      </c>
      <c r="AJ159">
        <v>98133</v>
      </c>
      <c r="AS159" t="s">
        <v>603</v>
      </c>
      <c r="AT159">
        <v>18955854</v>
      </c>
      <c r="AU159" s="12">
        <v>39495</v>
      </c>
      <c r="BB159" t="s">
        <v>912</v>
      </c>
      <c r="BC159" s="7">
        <v>39399</v>
      </c>
      <c r="BG159">
        <v>96</v>
      </c>
      <c r="BH159" s="17">
        <f t="shared" ca="1" si="2"/>
        <v>128</v>
      </c>
      <c r="BI159" s="17"/>
      <c r="BJ159" s="17"/>
    </row>
    <row r="160" spans="1:63" hidden="1">
      <c r="A160">
        <v>27096757</v>
      </c>
      <c r="B160" s="2" t="str">
        <f>HYPERLINK("http://www.windermere.com/index.cfm?fuseaction=Listing.ListingDetail&amp;ListingID=18006149","Active")</f>
        <v>Active</v>
      </c>
      <c r="D160" t="s">
        <v>63</v>
      </c>
      <c r="E160" t="s">
        <v>604</v>
      </c>
      <c r="F160" s="10">
        <v>394990</v>
      </c>
      <c r="G160" t="s">
        <v>247</v>
      </c>
      <c r="H160" s="1">
        <v>1620</v>
      </c>
      <c r="J160">
        <v>3</v>
      </c>
      <c r="K160">
        <v>2.5</v>
      </c>
      <c r="M160" s="2" t="str">
        <f>HYPERLINK("http://www.windermere.com/index.cfm?fuseaction=Listing.MapPropertyInteractive&amp;ListingID=18006149&amp;resize=true&amp;windowWidth=800&amp;windowHeight=600","Map")</f>
        <v>Map</v>
      </c>
      <c r="O160" s="2" t="str">
        <f>HYPERLINK("http://www.windermere.com/index.cfm?fuseaction=Listing.MultiImageViewer&amp;ListingID=18006149&amp;ln=27096757&amp;pub_mls=1","More")</f>
        <v>More</v>
      </c>
      <c r="AI160" t="s">
        <v>66</v>
      </c>
      <c r="AJ160">
        <v>98107</v>
      </c>
      <c r="AS160" t="s">
        <v>605</v>
      </c>
      <c r="AT160">
        <v>18006149</v>
      </c>
      <c r="AU160" s="12">
        <v>39495</v>
      </c>
      <c r="BB160" t="s">
        <v>912</v>
      </c>
      <c r="BC160" s="7">
        <v>39233</v>
      </c>
      <c r="BD160">
        <v>1</v>
      </c>
      <c r="BG160">
        <v>262</v>
      </c>
      <c r="BH160" s="17">
        <f t="shared" ca="1" si="2"/>
        <v>294</v>
      </c>
      <c r="BI160" s="17"/>
      <c r="BJ160" s="17"/>
    </row>
    <row r="161" spans="1:63" hidden="1">
      <c r="A161">
        <v>27115725</v>
      </c>
      <c r="B161" s="2" t="str">
        <f>HYPERLINK("http://www.windermere.com/index.cfm?fuseaction=Listing.ListingDetail&amp;ListingID=18156528","Subject To Inspection")</f>
        <v>Subject To Inspection</v>
      </c>
      <c r="D161" t="s">
        <v>63</v>
      </c>
      <c r="E161" t="s">
        <v>606</v>
      </c>
      <c r="F161" s="10">
        <v>394990</v>
      </c>
      <c r="G161" t="s">
        <v>247</v>
      </c>
      <c r="H161" s="1">
        <v>1441</v>
      </c>
      <c r="J161">
        <v>3</v>
      </c>
      <c r="K161">
        <v>2.5</v>
      </c>
      <c r="M161" s="2" t="str">
        <f>HYPERLINK("http://www.windermere.com/index.cfm?fuseaction=Listing.MapPropertyInteractive&amp;ListingID=18156528&amp;resize=true&amp;windowWidth=800&amp;windowHeight=600","Map")</f>
        <v>Map</v>
      </c>
      <c r="O161" s="2" t="str">
        <f>HYPERLINK("http://www.windermere.com/index.cfm?fuseaction=Listing.MultiImageViewer&amp;ListingID=18156528&amp;ln=27115725&amp;pub_mls=1","More")</f>
        <v>More</v>
      </c>
      <c r="AI161" t="s">
        <v>66</v>
      </c>
      <c r="AJ161">
        <v>98107</v>
      </c>
      <c r="AS161" t="s">
        <v>607</v>
      </c>
      <c r="AT161">
        <v>18156528</v>
      </c>
      <c r="AU161" s="12">
        <v>39495</v>
      </c>
      <c r="BB161" t="s">
        <v>912</v>
      </c>
      <c r="BC161" s="7">
        <v>39259</v>
      </c>
      <c r="BD161">
        <v>1</v>
      </c>
      <c r="BG161">
        <v>236</v>
      </c>
      <c r="BH161" s="17">
        <f t="shared" ca="1" si="2"/>
        <v>268</v>
      </c>
      <c r="BI161" s="17"/>
      <c r="BJ161" s="17"/>
      <c r="BK161" t="str">
        <f>B161</f>
        <v>Subject To Inspection</v>
      </c>
    </row>
    <row r="162" spans="1:63" hidden="1">
      <c r="A162">
        <v>27194183</v>
      </c>
      <c r="B162" s="2" t="str">
        <f>HYPERLINK("http://www.windermere.com/index.cfm?fuseaction=Listing.ListingDetail&amp;ListingID=18887114","Active")</f>
        <v>Active</v>
      </c>
      <c r="D162" t="s">
        <v>109</v>
      </c>
      <c r="E162" t="s">
        <v>608</v>
      </c>
      <c r="F162" s="10">
        <v>395000</v>
      </c>
      <c r="G162" t="s">
        <v>186</v>
      </c>
      <c r="H162" s="1">
        <v>1740</v>
      </c>
      <c r="I162">
        <v>4000</v>
      </c>
      <c r="J162">
        <v>3</v>
      </c>
      <c r="K162">
        <v>1.5</v>
      </c>
      <c r="M162" s="2" t="str">
        <f>HYPERLINK("http://www.windermere.com/index.cfm?fuseaction=Listing.MapPropertyInteractive&amp;ListingID=18887114&amp;resize=true&amp;windowWidth=800&amp;windowHeight=600","Map")</f>
        <v>Map</v>
      </c>
      <c r="O162" s="2" t="str">
        <f>HYPERLINK("http://www.windermere.com/index.cfm?fuseaction=Listing.MultiImageViewer&amp;ListingID=18887114&amp;ln=27194183&amp;pub_mls=1","More")</f>
        <v>More</v>
      </c>
      <c r="P162" t="s">
        <v>44</v>
      </c>
      <c r="AI162" t="s">
        <v>66</v>
      </c>
      <c r="AJ162">
        <v>98105</v>
      </c>
      <c r="AS162" t="s">
        <v>609</v>
      </c>
      <c r="AT162">
        <v>18887114</v>
      </c>
      <c r="AU162" s="12">
        <v>39495</v>
      </c>
      <c r="BB162" t="s">
        <v>912</v>
      </c>
      <c r="BC162" s="7">
        <v>39385</v>
      </c>
      <c r="BG162">
        <v>110</v>
      </c>
      <c r="BH162" s="17">
        <f t="shared" ca="1" si="2"/>
        <v>142</v>
      </c>
      <c r="BI162" s="17"/>
      <c r="BJ162" s="17"/>
    </row>
    <row r="163" spans="1:63" hidden="1">
      <c r="A163">
        <v>28008808</v>
      </c>
      <c r="B163" s="2" t="str">
        <f>HYPERLINK("http://www.windermere.com/index.cfm?fuseaction=Listing.ListingDetail&amp;ListingID=19246786","Active")</f>
        <v>Active</v>
      </c>
      <c r="D163" t="s">
        <v>60</v>
      </c>
      <c r="E163" t="s">
        <v>610</v>
      </c>
      <c r="F163" s="13">
        <v>379000</v>
      </c>
      <c r="G163" t="s">
        <v>599</v>
      </c>
      <c r="H163" s="1">
        <v>1520</v>
      </c>
      <c r="J163">
        <v>3</v>
      </c>
      <c r="K163">
        <v>2.5</v>
      </c>
      <c r="M163" s="2" t="str">
        <f>HYPERLINK("http://www.windermere.com/index.cfm?fuseaction=Listing.MapPropertyInteractive&amp;ListingID=19246786&amp;resize=true&amp;windowWidth=800&amp;windowHeight=600","Map")</f>
        <v>Map</v>
      </c>
      <c r="O163" s="2" t="str">
        <f>HYPERLINK("http://www.windermere.com/index.cfm?fuseaction=viewGallery.Home&amp;customTourID=204794&amp;wvt=0","More")</f>
        <v>More</v>
      </c>
      <c r="AI163" t="s">
        <v>66</v>
      </c>
      <c r="AJ163">
        <v>98133</v>
      </c>
      <c r="AS163" t="s">
        <v>611</v>
      </c>
      <c r="AT163">
        <v>19246786</v>
      </c>
      <c r="AU163" s="12">
        <v>39495</v>
      </c>
      <c r="BB163" t="s">
        <v>912</v>
      </c>
      <c r="BC163" s="7">
        <v>39465</v>
      </c>
      <c r="BG163">
        <v>30</v>
      </c>
      <c r="BH163" s="17">
        <f t="shared" ca="1" si="2"/>
        <v>62</v>
      </c>
      <c r="BI163" s="17"/>
      <c r="BJ163" s="17"/>
    </row>
    <row r="164" spans="1:63" hidden="1">
      <c r="A164">
        <v>28021819</v>
      </c>
      <c r="B164" s="2" t="str">
        <f>HYPERLINK("http://www.windermere.com/index.cfm?fuseaction=Listing.ListingDetail&amp;ListingID=19327601","Active")</f>
        <v>Active</v>
      </c>
      <c r="C164">
        <v>710</v>
      </c>
      <c r="D164" t="s">
        <v>984</v>
      </c>
      <c r="E164" t="s">
        <v>985</v>
      </c>
      <c r="F164" s="10">
        <v>395500</v>
      </c>
      <c r="G164" t="s">
        <v>796</v>
      </c>
      <c r="H164" s="1">
        <v>1220</v>
      </c>
      <c r="I164">
        <v>3400</v>
      </c>
      <c r="J164">
        <v>3</v>
      </c>
      <c r="K164">
        <v>1.75</v>
      </c>
      <c r="L164">
        <v>1</v>
      </c>
      <c r="M164" s="2" t="str">
        <f>HYPERLINK("http://www.windermere.com/index.cfm?fuseaction=Listing.MapPropertyInteractive&amp;ListingID=19327601&amp;resize=true&amp;windowWidth=800&amp;windowHeight=600","Map")</f>
        <v>Map</v>
      </c>
      <c r="N164" s="2" t="str">
        <f>HYPERLINK("http://locmedia.nwmls.com/DO_NOT_LINK/bigphoto/819/28021819.jpg?tsp=20080205151528","Photo")</f>
        <v>Photo</v>
      </c>
      <c r="O164" s="2" t="str">
        <f>HYPERLINK("http://www.windermere.com/index.cfm?fuseaction=Listing.MultiImageViewer&amp;ListingID=19327601&amp;ln=28021819&amp;pub_mls=1","More")</f>
        <v>More</v>
      </c>
      <c r="Q164" t="s">
        <v>52</v>
      </c>
      <c r="R164" t="s">
        <v>46</v>
      </c>
      <c r="S164" t="s">
        <v>86</v>
      </c>
      <c r="U164" t="s">
        <v>44</v>
      </c>
      <c r="X164" t="s">
        <v>47</v>
      </c>
      <c r="Y164" t="s">
        <v>48</v>
      </c>
      <c r="Z164" t="s">
        <v>69</v>
      </c>
      <c r="AA164" t="s">
        <v>986</v>
      </c>
      <c r="AB164">
        <v>2007</v>
      </c>
      <c r="AC164">
        <v>2343</v>
      </c>
      <c r="AD164" t="s">
        <v>987</v>
      </c>
      <c r="AE164" t="s">
        <v>988</v>
      </c>
      <c r="AF164" t="s">
        <v>113</v>
      </c>
      <c r="AG164">
        <v>47.697977000000002</v>
      </c>
      <c r="AH164">
        <v>-122.27777399999999</v>
      </c>
      <c r="AI164" t="s">
        <v>66</v>
      </c>
      <c r="AJ164">
        <v>98115</v>
      </c>
      <c r="AK164" t="s">
        <v>41</v>
      </c>
      <c r="AL164">
        <v>16</v>
      </c>
      <c r="AM164" t="s">
        <v>40</v>
      </c>
      <c r="AO164">
        <v>7.8E-2</v>
      </c>
      <c r="AP164" t="s">
        <v>989</v>
      </c>
      <c r="AQ164">
        <v>505</v>
      </c>
      <c r="AR164" t="s">
        <v>216</v>
      </c>
      <c r="AS164" t="s">
        <v>1112</v>
      </c>
      <c r="AT164">
        <v>19327601</v>
      </c>
      <c r="AU164" s="12">
        <v>39495</v>
      </c>
      <c r="BA164" t="s">
        <v>912</v>
      </c>
      <c r="BB164" t="s">
        <v>912</v>
      </c>
      <c r="BC164" s="7">
        <v>39483</v>
      </c>
      <c r="BG164">
        <v>12</v>
      </c>
      <c r="BH164" s="17">
        <f t="shared" ca="1" si="2"/>
        <v>44</v>
      </c>
      <c r="BI164" s="17"/>
      <c r="BJ164" s="17"/>
    </row>
    <row r="165" spans="1:63" hidden="1">
      <c r="A165">
        <v>28026258</v>
      </c>
      <c r="B165" s="15" t="str">
        <f>HYPERLINK("http://www.windermere.com/index.cfm?fuseaction=Listing.ListingDetail&amp;ListingID=19385109","Subject To Inspection")</f>
        <v>Subject To Inspection</v>
      </c>
      <c r="D165" t="s">
        <v>60</v>
      </c>
      <c r="E165" t="s">
        <v>1338</v>
      </c>
      <c r="F165" s="10">
        <v>398000</v>
      </c>
      <c r="G165" t="s">
        <v>617</v>
      </c>
      <c r="H165" s="1">
        <v>1290</v>
      </c>
      <c r="I165">
        <v>6397</v>
      </c>
      <c r="J165">
        <v>3</v>
      </c>
      <c r="K165">
        <v>1.5</v>
      </c>
      <c r="M165" s="2" t="str">
        <f>HYPERLINK("http://www.windermere.com/index.cfm?fuseaction=Listing.MapPropertyInteractive&amp;ListingID=19385109&amp;resize=true&amp;windowWidth=800&amp;windowHeight=600","Map")</f>
        <v>Map</v>
      </c>
      <c r="O165" s="2" t="str">
        <f>HYPERLINK("http://www.windermere.com/index.cfm?fuseaction=Listing.MultiImageViewer&amp;ListingID=19385109&amp;ln=28026258&amp;pub_mls=1","More")</f>
        <v>More</v>
      </c>
      <c r="AI165" t="s">
        <v>66</v>
      </c>
      <c r="AJ165">
        <v>98103</v>
      </c>
      <c r="AS165" t="s">
        <v>1339</v>
      </c>
      <c r="AT165">
        <v>19385109</v>
      </c>
      <c r="AU165" s="7">
        <v>39496</v>
      </c>
      <c r="BB165" t="s">
        <v>912</v>
      </c>
      <c r="BC165" s="7">
        <v>39495</v>
      </c>
      <c r="BD165">
        <v>3</v>
      </c>
      <c r="BE165" t="s">
        <v>1347</v>
      </c>
      <c r="BF165" t="s">
        <v>1345</v>
      </c>
      <c r="BG165">
        <v>1</v>
      </c>
      <c r="BH165" s="17">
        <f t="shared" ca="1" si="2"/>
        <v>32</v>
      </c>
      <c r="BI165" s="17"/>
      <c r="BJ165" s="17"/>
    </row>
    <row r="166" spans="1:63" hidden="1">
      <c r="A166">
        <v>28026322</v>
      </c>
      <c r="B166" s="2" t="str">
        <f>HYPERLINK("http://www.windermere.com/index.cfm?fuseaction=Listing.ListingDetail&amp;ListingID=19376193","Active")</f>
        <v>Active</v>
      </c>
      <c r="D166" t="s">
        <v>184</v>
      </c>
      <c r="E166" t="s">
        <v>612</v>
      </c>
      <c r="F166" s="10">
        <v>398500</v>
      </c>
      <c r="G166" t="s">
        <v>137</v>
      </c>
      <c r="H166" s="1">
        <v>1390</v>
      </c>
      <c r="I166">
        <v>7000</v>
      </c>
      <c r="J166">
        <v>3</v>
      </c>
      <c r="K166">
        <v>1</v>
      </c>
      <c r="M166" s="2" t="str">
        <f>HYPERLINK("http://www.windermere.com/index.cfm?fuseaction=Listing.MapPropertyInteractive&amp;ListingID=19376193&amp;resize=true&amp;windowWidth=800&amp;windowHeight=600","Map")</f>
        <v>Map</v>
      </c>
      <c r="O166" s="2" t="str">
        <f>HYPERLINK("http://www.windermere.com/index.cfm?fuseaction=Listing.MultiImageViewer&amp;ListingID=19376193&amp;ln=28026322&amp;pub_mls=1","More")</f>
        <v>More</v>
      </c>
      <c r="P166" t="s">
        <v>44</v>
      </c>
      <c r="AI166" t="s">
        <v>66</v>
      </c>
      <c r="AJ166">
        <v>98125</v>
      </c>
      <c r="AS166" t="s">
        <v>613</v>
      </c>
      <c r="AT166">
        <v>19376193</v>
      </c>
      <c r="AU166" s="12">
        <v>39495</v>
      </c>
      <c r="BB166" t="s">
        <v>912</v>
      </c>
      <c r="BC166" s="7">
        <v>39493</v>
      </c>
      <c r="BG166">
        <v>2</v>
      </c>
      <c r="BH166" s="17">
        <f t="shared" ca="1" si="2"/>
        <v>34</v>
      </c>
      <c r="BI166" s="17"/>
      <c r="BJ166" s="17"/>
    </row>
    <row r="167" spans="1:63" hidden="1">
      <c r="A167">
        <v>27132490</v>
      </c>
      <c r="B167" s="2" t="str">
        <f>HYPERLINK("http://www.windermere.com/index.cfm?fuseaction=Listing.ListingDetail&amp;ListingID=18331929","Active")</f>
        <v>Active</v>
      </c>
      <c r="D167" t="s">
        <v>184</v>
      </c>
      <c r="E167" t="s">
        <v>185</v>
      </c>
      <c r="F167" s="10">
        <v>399000</v>
      </c>
      <c r="G167" t="s">
        <v>186</v>
      </c>
      <c r="H167" s="1">
        <v>1850</v>
      </c>
      <c r="I167">
        <v>9804</v>
      </c>
      <c r="J167">
        <v>3</v>
      </c>
      <c r="K167">
        <v>1</v>
      </c>
      <c r="M167" s="2" t="str">
        <f>HYPERLINK("http://www.windermere.com/index.cfm?fuseaction=Listing.MapPropertyInteractive&amp;ListingID=18331929&amp;resize=true&amp;windowWidth=800&amp;windowHeight=600","Map")</f>
        <v>Map</v>
      </c>
      <c r="O167" s="2" t="str">
        <f>HYPERLINK("http://www.windermere.com/index.cfm?fuseaction=Listing.MultiImageViewer&amp;ListingID=18331929&amp;ln=27132490&amp;pub_mls=1","More")</f>
        <v>More</v>
      </c>
      <c r="P167" t="s">
        <v>44</v>
      </c>
      <c r="AI167" t="s">
        <v>66</v>
      </c>
      <c r="AJ167">
        <v>98125</v>
      </c>
      <c r="AS167" t="s">
        <v>614</v>
      </c>
      <c r="AT167">
        <v>18331929</v>
      </c>
      <c r="AU167" s="12">
        <v>39495</v>
      </c>
      <c r="BB167" t="s">
        <v>912</v>
      </c>
      <c r="BC167" s="7">
        <v>39283</v>
      </c>
      <c r="BD167">
        <v>2</v>
      </c>
      <c r="BE167" s="6" t="s">
        <v>1317</v>
      </c>
      <c r="BG167">
        <v>212</v>
      </c>
      <c r="BH167" s="17">
        <f t="shared" ca="1" si="2"/>
        <v>244</v>
      </c>
      <c r="BI167" s="17"/>
      <c r="BJ167" s="17"/>
    </row>
    <row r="168" spans="1:63" hidden="1">
      <c r="A168">
        <v>27133411</v>
      </c>
      <c r="B168" s="2" t="str">
        <f>HYPERLINK("http://www.windermere.com/index.cfm?fuseaction=Listing.ListingDetail&amp;ListingID=18343551","Active")</f>
        <v>Active</v>
      </c>
      <c r="D168" t="s">
        <v>188</v>
      </c>
      <c r="E168" t="s">
        <v>189</v>
      </c>
      <c r="F168" s="10">
        <v>399000</v>
      </c>
      <c r="G168" t="s">
        <v>135</v>
      </c>
      <c r="H168" s="1">
        <v>1030</v>
      </c>
      <c r="I168">
        <v>8385</v>
      </c>
      <c r="J168">
        <v>3</v>
      </c>
      <c r="K168">
        <v>1</v>
      </c>
      <c r="M168" s="2" t="str">
        <f>HYPERLINK("http://www.windermere.com/index.cfm?fuseaction=Listing.MapPropertyInteractive&amp;ListingID=18343551&amp;resize=true&amp;windowWidth=800&amp;windowHeight=600","Map")</f>
        <v>Map</v>
      </c>
      <c r="O168" s="2" t="str">
        <f>HYPERLINK("http://www.windermere.com/index.cfm?fuseaction=Listing.MultiImageViewer&amp;ListingID=18343551&amp;ln=27133411&amp;pub_mls=1","More")</f>
        <v>More</v>
      </c>
      <c r="P168" t="s">
        <v>44</v>
      </c>
      <c r="AI168" t="s">
        <v>66</v>
      </c>
      <c r="AJ168">
        <v>98125</v>
      </c>
      <c r="AS168" t="s">
        <v>1113</v>
      </c>
      <c r="AT168">
        <v>18343551</v>
      </c>
      <c r="AU168" s="12">
        <v>39495</v>
      </c>
      <c r="BB168" t="s">
        <v>912</v>
      </c>
      <c r="BC168" s="7">
        <v>39286</v>
      </c>
      <c r="BD168">
        <v>2</v>
      </c>
      <c r="BE168" s="6" t="s">
        <v>1318</v>
      </c>
      <c r="BG168">
        <v>209</v>
      </c>
      <c r="BH168" s="17">
        <f t="shared" ca="1" si="2"/>
        <v>241</v>
      </c>
      <c r="BI168" s="17"/>
      <c r="BJ168" s="17"/>
    </row>
    <row r="169" spans="1:63" hidden="1">
      <c r="A169">
        <v>27184907</v>
      </c>
      <c r="B169" s="2" t="str">
        <f>HYPERLINK("http://www.windermere.com/index.cfm?fuseaction=Listing.ListingDetail&amp;ListingID=18799514","Subject To Inspection")</f>
        <v>Subject To Inspection</v>
      </c>
      <c r="D169" t="s">
        <v>55</v>
      </c>
      <c r="E169" t="s">
        <v>618</v>
      </c>
      <c r="F169" s="10">
        <v>399000</v>
      </c>
      <c r="G169" t="s">
        <v>147</v>
      </c>
      <c r="H169" s="1">
        <v>1654</v>
      </c>
      <c r="J169">
        <v>3</v>
      </c>
      <c r="K169">
        <v>3.5</v>
      </c>
      <c r="M169" s="2" t="str">
        <f>HYPERLINK("http://www.windermere.com/index.cfm?fuseaction=Listing.MapPropertyInteractive&amp;ListingID=18799514&amp;resize=true&amp;windowWidth=800&amp;windowHeight=600","Map")</f>
        <v>Map</v>
      </c>
      <c r="O169" s="2" t="str">
        <f>HYPERLINK("http://www.windermere.com/index.cfm?fuseaction=viewGallery.Home&amp;customTourID=196827&amp;wvt=0","More")</f>
        <v>More</v>
      </c>
      <c r="P169" t="s">
        <v>44</v>
      </c>
      <c r="AI169" t="s">
        <v>66</v>
      </c>
      <c r="AJ169">
        <v>98133</v>
      </c>
      <c r="AS169" t="s">
        <v>619</v>
      </c>
      <c r="AT169">
        <v>18799514</v>
      </c>
      <c r="AU169" s="12">
        <v>39495</v>
      </c>
      <c r="BB169" t="s">
        <v>912</v>
      </c>
      <c r="BC169" s="7">
        <v>39367</v>
      </c>
      <c r="BG169">
        <v>128</v>
      </c>
      <c r="BH169" s="17">
        <f t="shared" ca="1" si="2"/>
        <v>160</v>
      </c>
      <c r="BI169" s="17"/>
      <c r="BJ169" s="17"/>
      <c r="BK169" t="str">
        <f>B169</f>
        <v>Subject To Inspection</v>
      </c>
    </row>
    <row r="170" spans="1:63" hidden="1">
      <c r="A170">
        <v>28018456</v>
      </c>
      <c r="B170" s="2" t="str">
        <f>HYPERLINK("http://www.windermere.com/index.cfm?fuseaction=Listing.ListingDetail&amp;ListingID=19302977","Active")</f>
        <v>Active</v>
      </c>
      <c r="D170" t="s">
        <v>920</v>
      </c>
      <c r="E170" t="s">
        <v>615</v>
      </c>
      <c r="F170" s="13">
        <v>389000</v>
      </c>
      <c r="G170" t="s">
        <v>530</v>
      </c>
      <c r="H170" s="1">
        <v>1260</v>
      </c>
      <c r="I170">
        <v>9500</v>
      </c>
      <c r="J170">
        <v>3</v>
      </c>
      <c r="K170">
        <v>2</v>
      </c>
      <c r="M170" s="2" t="str">
        <f>HYPERLINK("http://www.windermere.com/index.cfm?fuseaction=Listing.MapPropertyInteractive&amp;ListingID=19302977&amp;resize=true&amp;windowWidth=800&amp;windowHeight=600","Map")</f>
        <v>Map</v>
      </c>
      <c r="O170" s="2" t="str">
        <f>HYPERLINK("http://www.windermere.com/index.cfm?fuseaction=Listing.MultiImageViewer&amp;ListingID=19302977&amp;ln=28018456&amp;pub_mls=1","More")</f>
        <v>More</v>
      </c>
      <c r="AI170" t="s">
        <v>66</v>
      </c>
      <c r="AJ170">
        <v>98125</v>
      </c>
      <c r="AS170" t="s">
        <v>616</v>
      </c>
      <c r="AT170">
        <v>19302977</v>
      </c>
      <c r="AU170" s="12">
        <v>39495</v>
      </c>
      <c r="BB170" t="s">
        <v>912</v>
      </c>
      <c r="BC170" s="7">
        <v>39478</v>
      </c>
      <c r="BG170">
        <v>17</v>
      </c>
      <c r="BH170" s="17">
        <f t="shared" ca="1" si="2"/>
        <v>49</v>
      </c>
      <c r="BI170" s="17"/>
      <c r="BJ170" s="17"/>
    </row>
    <row r="171" spans="1:63" hidden="1">
      <c r="A171">
        <v>27163660</v>
      </c>
      <c r="B171" s="2" t="str">
        <f>HYPERLINK("http://www.windermere.com/index.cfm?fuseaction=Listing.ListingDetail&amp;ListingID=18577293","Subject To Inspection")</f>
        <v>Subject To Inspection</v>
      </c>
      <c r="D171" t="s">
        <v>920</v>
      </c>
      <c r="E171" t="s">
        <v>622</v>
      </c>
      <c r="F171" s="10">
        <v>399500</v>
      </c>
      <c r="G171" t="s">
        <v>623</v>
      </c>
      <c r="H171" s="1">
        <v>1155</v>
      </c>
      <c r="I171">
        <v>13000</v>
      </c>
      <c r="J171">
        <v>3</v>
      </c>
      <c r="K171">
        <v>1</v>
      </c>
      <c r="M171" s="2" t="str">
        <f>HYPERLINK("http://www.windermere.com/index.cfm?fuseaction=Listing.MapPropertyInteractive&amp;ListingID=18577293&amp;resize=true&amp;windowWidth=800&amp;windowHeight=600","Map")</f>
        <v>Map</v>
      </c>
      <c r="O171" s="2" t="str">
        <f>HYPERLINK("http://www.windermere.com/index.cfm?fuseaction=Listing.MultiImageViewer&amp;ListingID=18577293&amp;ln=27163660&amp;pub_mls=1","More")</f>
        <v>More</v>
      </c>
      <c r="AI171" t="s">
        <v>66</v>
      </c>
      <c r="AJ171">
        <v>98125</v>
      </c>
      <c r="AS171" t="s">
        <v>624</v>
      </c>
      <c r="AT171">
        <v>18577293</v>
      </c>
      <c r="AU171" s="12">
        <v>39495</v>
      </c>
      <c r="BB171" t="s">
        <v>912</v>
      </c>
      <c r="BC171" s="7">
        <v>39331</v>
      </c>
      <c r="BD171">
        <v>1</v>
      </c>
      <c r="BE171" s="6" t="s">
        <v>1329</v>
      </c>
      <c r="BG171">
        <v>164</v>
      </c>
      <c r="BH171" s="17">
        <f t="shared" ca="1" si="2"/>
        <v>196</v>
      </c>
      <c r="BI171" s="17"/>
      <c r="BJ171" s="17"/>
      <c r="BK171" t="str">
        <f>B171</f>
        <v>Subject To Inspection</v>
      </c>
    </row>
    <row r="172" spans="1:63" hidden="1">
      <c r="A172">
        <v>28011168</v>
      </c>
      <c r="B172" s="2" t="str">
        <f>HYPERLINK("http://www.windermere.com/index.cfm?fuseaction=Listing.ListingDetail&amp;ListingID=19243145","Active")</f>
        <v>Active</v>
      </c>
      <c r="D172" t="s">
        <v>66</v>
      </c>
      <c r="E172" t="s">
        <v>620</v>
      </c>
      <c r="F172" s="10">
        <v>399500</v>
      </c>
      <c r="G172" t="s">
        <v>171</v>
      </c>
      <c r="H172" s="1">
        <v>1290</v>
      </c>
      <c r="I172">
        <v>7202</v>
      </c>
      <c r="J172">
        <v>3</v>
      </c>
      <c r="K172">
        <v>2</v>
      </c>
      <c r="M172" s="2" t="str">
        <f>HYPERLINK("http://www.windermere.com/index.cfm?fuseaction=Listing.MapPropertyInteractive&amp;ListingID=19243145&amp;resize=true&amp;windowWidth=800&amp;windowHeight=600","Map")</f>
        <v>Map</v>
      </c>
      <c r="O172" s="2" t="str">
        <f>HYPERLINK("http://www.windermere.com/index.cfm?fuseaction=Listing.MultiImageViewer&amp;ListingID=19243145&amp;ln=28011168&amp;pub_mls=1","More")</f>
        <v>More</v>
      </c>
      <c r="P172" t="s">
        <v>44</v>
      </c>
      <c r="AI172" t="s">
        <v>66</v>
      </c>
      <c r="AJ172">
        <v>98133</v>
      </c>
      <c r="AS172" t="s">
        <v>621</v>
      </c>
      <c r="AT172">
        <v>19243145</v>
      </c>
      <c r="AU172" s="12">
        <v>39495</v>
      </c>
      <c r="BB172" t="s">
        <v>912</v>
      </c>
      <c r="BC172" t="s">
        <v>1413</v>
      </c>
      <c r="BD172">
        <v>1</v>
      </c>
      <c r="BG172">
        <v>0</v>
      </c>
      <c r="BH172" s="17" t="e">
        <f t="shared" ca="1" si="2"/>
        <v>#VALUE!</v>
      </c>
      <c r="BI172" s="17"/>
      <c r="BJ172" s="17"/>
    </row>
    <row r="173" spans="1:63" hidden="1">
      <c r="A173">
        <v>28017296</v>
      </c>
      <c r="B173" s="2" t="str">
        <f>HYPERLINK("http://www.windermere.com/index.cfm?fuseaction=Listing.ListingDetail&amp;ListingID=19330852","Subject To Inspection")</f>
        <v>Subject To Inspection</v>
      </c>
      <c r="D173" t="s">
        <v>627</v>
      </c>
      <c r="E173" t="s">
        <v>625</v>
      </c>
      <c r="F173" s="10">
        <v>399900</v>
      </c>
      <c r="G173" t="s">
        <v>130</v>
      </c>
      <c r="I173">
        <v>8100</v>
      </c>
      <c r="J173">
        <v>3</v>
      </c>
      <c r="K173">
        <v>1</v>
      </c>
      <c r="M173" s="2" t="str">
        <f>HYPERLINK("http://www.windermere.com/index.cfm?fuseaction=Listing.MapPropertyInteractive&amp;ListingID=19330852&amp;resize=true&amp;windowWidth=800&amp;windowHeight=600","Map")</f>
        <v>Map</v>
      </c>
      <c r="O173" s="2" t="str">
        <f>HYPERLINK("http://www.windermere.com/index.cfm?fuseaction=viewGallery.Home&amp;customTourID=206911&amp;wvt=0","More")</f>
        <v>More</v>
      </c>
      <c r="AI173" t="s">
        <v>66</v>
      </c>
      <c r="AJ173">
        <v>98177</v>
      </c>
      <c r="AS173" t="s">
        <v>626</v>
      </c>
      <c r="AT173">
        <v>19330852</v>
      </c>
      <c r="AU173" s="12">
        <v>39495</v>
      </c>
      <c r="BB173" t="s">
        <v>912</v>
      </c>
      <c r="BC173" s="7">
        <v>39484</v>
      </c>
      <c r="BG173">
        <v>11</v>
      </c>
      <c r="BH173" s="17">
        <f t="shared" ca="1" si="2"/>
        <v>43</v>
      </c>
      <c r="BI173" s="17"/>
      <c r="BJ173" s="17"/>
      <c r="BK173" t="str">
        <f>B173</f>
        <v>Subject To Inspection</v>
      </c>
    </row>
    <row r="174" spans="1:63" hidden="1">
      <c r="A174">
        <v>27159884</v>
      </c>
      <c r="B174" s="2" t="str">
        <f>HYPERLINK("http://www.windermere.com/index.cfm?fuseaction=Listing.ListingDetail&amp;ListingID=19060033","Subject To Inspection")</f>
        <v>Subject To Inspection</v>
      </c>
      <c r="D174" t="s">
        <v>55</v>
      </c>
      <c r="E174" t="s">
        <v>648</v>
      </c>
      <c r="F174" s="10">
        <v>399950</v>
      </c>
      <c r="G174" t="s">
        <v>147</v>
      </c>
      <c r="J174">
        <v>3</v>
      </c>
      <c r="K174">
        <v>2.5</v>
      </c>
      <c r="M174" s="2" t="str">
        <f>HYPERLINK("http://www.windermere.com/index.cfm?fuseaction=Listing.MapPropertyInteractive&amp;ListingID=19060033&amp;resize=true&amp;windowWidth=800&amp;windowHeight=600","Map")</f>
        <v>Map</v>
      </c>
      <c r="O174" s="2" t="str">
        <f>HYPERLINK("http://www.windermere.com/index.cfm?fuseaction=Listing.MultiImageViewer&amp;ListingID=19060033&amp;ln=27159884&amp;pub_mls=1","More")</f>
        <v>More</v>
      </c>
      <c r="P174" t="s">
        <v>44</v>
      </c>
      <c r="AI174" t="s">
        <v>66</v>
      </c>
      <c r="AJ174">
        <v>98103</v>
      </c>
      <c r="AS174" t="s">
        <v>649</v>
      </c>
      <c r="AT174">
        <v>19060033</v>
      </c>
      <c r="AU174" s="12">
        <v>39495</v>
      </c>
      <c r="BB174" t="s">
        <v>912</v>
      </c>
      <c r="BC174" s="7">
        <v>39325</v>
      </c>
      <c r="BD174">
        <v>3</v>
      </c>
      <c r="BE174" s="6" t="s">
        <v>1325</v>
      </c>
      <c r="BG174">
        <v>170</v>
      </c>
      <c r="BH174" s="17">
        <f t="shared" ca="1" si="2"/>
        <v>202</v>
      </c>
      <c r="BI174" s="17"/>
      <c r="BJ174" s="17"/>
      <c r="BK174" t="str">
        <f>B174</f>
        <v>Subject To Inspection</v>
      </c>
    </row>
    <row r="175" spans="1:63" hidden="1">
      <c r="A175">
        <v>27172694</v>
      </c>
      <c r="B175" s="2" t="str">
        <f>HYPERLINK("http://www.windermere.com/index.cfm?fuseaction=Listing.ListingDetail&amp;ListingID=18672447","Active")</f>
        <v>Active</v>
      </c>
      <c r="D175" t="s">
        <v>100</v>
      </c>
      <c r="E175" t="s">
        <v>630</v>
      </c>
      <c r="F175" s="13">
        <v>375000</v>
      </c>
      <c r="G175" t="s">
        <v>147</v>
      </c>
      <c r="H175" s="1">
        <v>1165</v>
      </c>
      <c r="J175">
        <v>2</v>
      </c>
      <c r="K175">
        <v>1.75</v>
      </c>
      <c r="M175" s="2" t="str">
        <f>HYPERLINK("http://www.windermere.com/index.cfm?fuseaction=Listing.MapPropertyInteractive&amp;ListingID=18672447&amp;resize=true&amp;windowWidth=800&amp;windowHeight=600","Map")</f>
        <v>Map</v>
      </c>
      <c r="O175" s="2" t="str">
        <f>HYPERLINK("http://www.windermere.com/index.cfm?fuseaction=Listing.MultiImageViewer&amp;ListingID=18672447&amp;ln=27172694&amp;pub_mls=1","More")</f>
        <v>More</v>
      </c>
      <c r="P175" t="s">
        <v>44</v>
      </c>
      <c r="AI175" t="s">
        <v>66</v>
      </c>
      <c r="AJ175">
        <v>98103</v>
      </c>
      <c r="AS175" t="s">
        <v>631</v>
      </c>
      <c r="AT175">
        <v>18672447</v>
      </c>
      <c r="AU175" s="12">
        <v>39495</v>
      </c>
      <c r="BB175" t="s">
        <v>912</v>
      </c>
      <c r="BC175" s="7">
        <v>39345</v>
      </c>
      <c r="BG175">
        <v>150</v>
      </c>
      <c r="BH175" s="17">
        <f t="shared" ca="1" si="2"/>
        <v>182</v>
      </c>
      <c r="BI175" s="17"/>
      <c r="BJ175" s="17"/>
    </row>
    <row r="176" spans="1:63" hidden="1">
      <c r="A176">
        <v>27172700</v>
      </c>
      <c r="B176" s="2" t="str">
        <f>HYPERLINK("http://www.windermere.com/index.cfm?fuseaction=Listing.ListingDetail&amp;ListingID=18672543","Active")</f>
        <v>Active</v>
      </c>
      <c r="D176" t="s">
        <v>100</v>
      </c>
      <c r="E176" t="s">
        <v>632</v>
      </c>
      <c r="F176" s="13">
        <v>375000</v>
      </c>
      <c r="G176" t="s">
        <v>147</v>
      </c>
      <c r="H176" s="1">
        <v>1165</v>
      </c>
      <c r="J176">
        <v>2</v>
      </c>
      <c r="K176">
        <v>1.75</v>
      </c>
      <c r="M176" s="2" t="str">
        <f>HYPERLINK("http://www.windermere.com/index.cfm?fuseaction=Listing.MapPropertyInteractive&amp;ListingID=18672543&amp;resize=true&amp;windowWidth=800&amp;windowHeight=600","Map")</f>
        <v>Map</v>
      </c>
      <c r="O176" s="2" t="str">
        <f>HYPERLINK("http://www.windermere.com/index.cfm?fuseaction=Listing.MultiImageViewer&amp;ListingID=18672543&amp;ln=27172700&amp;pub_mls=1","More")</f>
        <v>More</v>
      </c>
      <c r="P176" t="s">
        <v>44</v>
      </c>
      <c r="AI176" t="s">
        <v>66</v>
      </c>
      <c r="AJ176">
        <v>98103</v>
      </c>
      <c r="AS176" t="s">
        <v>633</v>
      </c>
      <c r="AT176">
        <v>18672543</v>
      </c>
      <c r="AU176" s="12">
        <v>39495</v>
      </c>
      <c r="BB176" t="s">
        <v>912</v>
      </c>
      <c r="BC176" s="7">
        <v>39345</v>
      </c>
      <c r="BG176">
        <v>150</v>
      </c>
      <c r="BH176" s="17">
        <f t="shared" ca="1" si="2"/>
        <v>182</v>
      </c>
      <c r="BI176" s="17"/>
      <c r="BJ176" s="17"/>
    </row>
    <row r="177" spans="1:63" hidden="1">
      <c r="A177">
        <v>27211153</v>
      </c>
      <c r="B177" s="2" t="str">
        <f>HYPERLINK("http://www.windermere.com/index.cfm?fuseaction=Listing.ListingDetail&amp;ListingID=19074895","Active")</f>
        <v>Active</v>
      </c>
      <c r="D177" t="s">
        <v>218</v>
      </c>
      <c r="E177" t="s">
        <v>640</v>
      </c>
      <c r="F177" s="10">
        <v>399950</v>
      </c>
      <c r="G177" t="s">
        <v>641</v>
      </c>
      <c r="H177" s="1">
        <v>1520</v>
      </c>
      <c r="J177">
        <v>3</v>
      </c>
      <c r="K177">
        <v>1.5</v>
      </c>
      <c r="M177" s="2" t="str">
        <f>HYPERLINK("http://www.windermere.com/index.cfm?fuseaction=Listing.MapPropertyInteractive&amp;ListingID=19074895&amp;resize=true&amp;windowWidth=800&amp;windowHeight=600","Map")</f>
        <v>Map</v>
      </c>
      <c r="O177" s="2" t="str">
        <f>HYPERLINK("http://www.windermere.com/index.cfm?fuseaction=Listing.MultiImageViewer&amp;ListingID=19074895&amp;ln=27211153&amp;pub_mls=1","More")</f>
        <v>More</v>
      </c>
      <c r="P177" t="s">
        <v>44</v>
      </c>
      <c r="AI177" t="s">
        <v>66</v>
      </c>
      <c r="AJ177">
        <v>98115</v>
      </c>
      <c r="AS177" t="s">
        <v>642</v>
      </c>
      <c r="AT177">
        <v>19074895</v>
      </c>
      <c r="AU177" s="12">
        <v>39495</v>
      </c>
      <c r="BB177" t="s">
        <v>912</v>
      </c>
      <c r="BC177" s="7">
        <v>39426</v>
      </c>
      <c r="BG177">
        <v>69</v>
      </c>
      <c r="BH177" s="17">
        <f t="shared" ca="1" si="2"/>
        <v>101</v>
      </c>
      <c r="BI177" s="17"/>
      <c r="BJ177" s="17"/>
    </row>
    <row r="178" spans="1:63" hidden="1">
      <c r="A178">
        <v>27212459</v>
      </c>
      <c r="B178" s="2" t="str">
        <f>HYPERLINK("http://www.windermere.com/index.cfm?fuseaction=Listing.ListingDetail&amp;ListingID=19088653","Active")</f>
        <v>Active</v>
      </c>
      <c r="D178" t="s">
        <v>100</v>
      </c>
      <c r="E178" t="s">
        <v>634</v>
      </c>
      <c r="F178" s="10">
        <v>399950</v>
      </c>
      <c r="G178" t="s">
        <v>147</v>
      </c>
      <c r="J178">
        <v>2</v>
      </c>
      <c r="K178">
        <v>1.5</v>
      </c>
      <c r="M178" s="2" t="str">
        <f>HYPERLINK("http://www.windermere.com/index.cfm?fuseaction=Listing.MapPropertyInteractive&amp;ListingID=19088653&amp;resize=true&amp;windowWidth=800&amp;windowHeight=600","Map")</f>
        <v>Map</v>
      </c>
      <c r="O178" s="2" t="str">
        <f>HYPERLINK("http://www.windermere.com/index.cfm?fuseaction=Listing.MultiImageViewer&amp;ListingID=19088653&amp;ln=27212459&amp;pub_mls=1","More")</f>
        <v>More</v>
      </c>
      <c r="AI178" t="s">
        <v>66</v>
      </c>
      <c r="AJ178">
        <v>98103</v>
      </c>
      <c r="AS178" t="s">
        <v>635</v>
      </c>
      <c r="AT178">
        <v>19088653</v>
      </c>
      <c r="AU178" s="12">
        <v>39495</v>
      </c>
      <c r="BB178" t="s">
        <v>912</v>
      </c>
      <c r="BC178" s="7">
        <v>39428</v>
      </c>
      <c r="BG178">
        <v>67</v>
      </c>
      <c r="BH178" s="17">
        <f t="shared" ca="1" si="2"/>
        <v>99</v>
      </c>
      <c r="BI178" s="17"/>
      <c r="BJ178" s="17"/>
    </row>
    <row r="179" spans="1:63" hidden="1">
      <c r="A179">
        <v>28005258</v>
      </c>
      <c r="B179" s="2" t="str">
        <f>HYPERLINK("http://www.windermere.com/index.cfm?fuseaction=Listing.ListingDetail&amp;ListingID=19190230","Active")</f>
        <v>Active</v>
      </c>
      <c r="D179" t="s">
        <v>55</v>
      </c>
      <c r="E179" t="s">
        <v>646</v>
      </c>
      <c r="F179" s="10">
        <v>399950</v>
      </c>
      <c r="G179" t="s">
        <v>146</v>
      </c>
      <c r="H179" s="1">
        <v>1650</v>
      </c>
      <c r="I179">
        <v>5528</v>
      </c>
      <c r="J179">
        <v>3</v>
      </c>
      <c r="K179">
        <v>1</v>
      </c>
      <c r="M179" s="2" t="str">
        <f>HYPERLINK("http://www.windermere.com/index.cfm?fuseaction=Listing.MapPropertyInteractive&amp;ListingID=19190230&amp;resize=true&amp;windowWidth=800&amp;windowHeight=600","Map")</f>
        <v>Map</v>
      </c>
      <c r="O179" s="2" t="str">
        <f>HYPERLINK("http://www.windermere.com/index.cfm?fuseaction=Listing.MultiImageViewer&amp;ListingID=19190230&amp;ln=28005258&amp;pub_mls=1","More")</f>
        <v>More</v>
      </c>
      <c r="AI179" t="s">
        <v>66</v>
      </c>
      <c r="AJ179">
        <v>98177</v>
      </c>
      <c r="AS179" t="s">
        <v>647</v>
      </c>
      <c r="AT179">
        <v>19190230</v>
      </c>
      <c r="AU179" s="12">
        <v>39495</v>
      </c>
      <c r="BB179" t="s">
        <v>912</v>
      </c>
      <c r="BC179" s="7">
        <v>39456</v>
      </c>
      <c r="BG179">
        <v>39</v>
      </c>
      <c r="BH179" s="17">
        <f t="shared" ca="1" si="2"/>
        <v>71</v>
      </c>
      <c r="BI179" s="17"/>
      <c r="BJ179" s="17"/>
    </row>
    <row r="180" spans="1:63" hidden="1">
      <c r="A180">
        <v>28011718</v>
      </c>
      <c r="B180" s="2" t="str">
        <f>HYPERLINK("http://www.windermere.com/index.cfm?fuseaction=Listing.ListingDetail&amp;ListingID=19252030","Active")</f>
        <v>Active</v>
      </c>
      <c r="D180" t="s">
        <v>192</v>
      </c>
      <c r="E180" t="s">
        <v>650</v>
      </c>
      <c r="F180" s="10">
        <v>399950</v>
      </c>
      <c r="G180" t="s">
        <v>137</v>
      </c>
      <c r="H180" s="1">
        <v>2210</v>
      </c>
      <c r="I180">
        <v>8560</v>
      </c>
      <c r="J180">
        <v>3</v>
      </c>
      <c r="K180">
        <v>1.75</v>
      </c>
      <c r="M180" s="2" t="str">
        <f>HYPERLINK("http://www.windermere.com/index.cfm?fuseaction=Listing.MapPropertyInteractive&amp;ListingID=19252030&amp;resize=true&amp;windowWidth=800&amp;windowHeight=600","Map")</f>
        <v>Map</v>
      </c>
      <c r="O180" s="2" t="str">
        <f>HYPERLINK("http://www.windermere.com/index.cfm?fuseaction=viewGallery.Home&amp;customTourID=204985&amp;wvt=0","More")</f>
        <v>More</v>
      </c>
      <c r="P180" t="s">
        <v>44</v>
      </c>
      <c r="AI180" t="s">
        <v>66</v>
      </c>
      <c r="AJ180">
        <v>98115</v>
      </c>
      <c r="AS180" t="s">
        <v>651</v>
      </c>
      <c r="AT180">
        <v>19252030</v>
      </c>
      <c r="AU180" s="12">
        <v>39495</v>
      </c>
      <c r="BB180" t="s">
        <v>912</v>
      </c>
      <c r="BC180" s="7">
        <v>39466</v>
      </c>
      <c r="BG180">
        <v>29</v>
      </c>
      <c r="BH180" s="17">
        <f t="shared" ca="1" si="2"/>
        <v>61</v>
      </c>
      <c r="BI180" s="17"/>
      <c r="BJ180" s="17"/>
    </row>
    <row r="181" spans="1:63" hidden="1">
      <c r="A181">
        <v>28014797</v>
      </c>
      <c r="B181" s="2" t="str">
        <f>HYPERLINK("http://www.windermere.com/index.cfm?fuseaction=Listing.ListingDetail&amp;ListingID=19283285","Subject To Inspection")</f>
        <v>Subject To Inspection</v>
      </c>
      <c r="D181" t="s">
        <v>55</v>
      </c>
      <c r="E181" t="s">
        <v>643</v>
      </c>
      <c r="F181" s="10">
        <v>399950</v>
      </c>
      <c r="G181" t="s">
        <v>644</v>
      </c>
      <c r="H181" s="1">
        <v>1870</v>
      </c>
      <c r="I181">
        <v>3396</v>
      </c>
      <c r="J181">
        <v>4</v>
      </c>
      <c r="K181">
        <v>2.75</v>
      </c>
      <c r="M181" s="2" t="str">
        <f>HYPERLINK("http://www.windermere.com/index.cfm?fuseaction=Listing.MapPropertyInteractive&amp;ListingID=19283285&amp;resize=true&amp;windowWidth=800&amp;windowHeight=600","Map")</f>
        <v>Map</v>
      </c>
      <c r="O181" s="2" t="str">
        <f>HYPERLINK("http://www.windermere.com/index.cfm?fuseaction=Listing.MultiImageViewer&amp;ListingID=19283285&amp;ln=28014797&amp;pub_mls=1","More")</f>
        <v>More</v>
      </c>
      <c r="P181" t="s">
        <v>44</v>
      </c>
      <c r="AI181" t="s">
        <v>66</v>
      </c>
      <c r="AJ181">
        <v>98133</v>
      </c>
      <c r="AS181" t="s">
        <v>645</v>
      </c>
      <c r="AT181">
        <v>19283285</v>
      </c>
      <c r="AU181" s="12">
        <v>39495</v>
      </c>
      <c r="BB181" t="s">
        <v>912</v>
      </c>
      <c r="BC181" s="7">
        <v>39473</v>
      </c>
      <c r="BG181">
        <v>22</v>
      </c>
      <c r="BH181" s="17">
        <f t="shared" ca="1" si="2"/>
        <v>54</v>
      </c>
      <c r="BI181" s="17"/>
      <c r="BJ181" s="17"/>
      <c r="BK181" t="str">
        <f>B181</f>
        <v>Subject To Inspection</v>
      </c>
    </row>
    <row r="182" spans="1:63" hidden="1">
      <c r="A182">
        <v>28016312</v>
      </c>
      <c r="B182" s="2" t="str">
        <f>HYPERLINK("http://www.windermere.com/index.cfm?fuseaction=Listing.ListingDetail&amp;ListingID=19285694","Subject To Inspection")</f>
        <v>Subject To Inspection</v>
      </c>
      <c r="D182" t="s">
        <v>184</v>
      </c>
      <c r="E182" t="s">
        <v>628</v>
      </c>
      <c r="F182" s="10">
        <v>399950</v>
      </c>
      <c r="G182" t="s">
        <v>147</v>
      </c>
      <c r="H182" s="1">
        <v>1860</v>
      </c>
      <c r="J182">
        <v>3</v>
      </c>
      <c r="K182">
        <v>2.5</v>
      </c>
      <c r="M182" s="2" t="str">
        <f>HYPERLINK("http://www.windermere.com/index.cfm?fuseaction=Listing.MapPropertyInteractive&amp;ListingID=19285694&amp;resize=true&amp;windowWidth=800&amp;windowHeight=600","Map")</f>
        <v>Map</v>
      </c>
      <c r="O182" s="2" t="str">
        <f>HYPERLINK("http://www.windermere.com/index.cfm?fuseaction=viewGallery.Home&amp;customTourID=191417&amp;wvt=0","More")</f>
        <v>More</v>
      </c>
      <c r="AI182" t="s">
        <v>66</v>
      </c>
      <c r="AJ182">
        <v>98125</v>
      </c>
      <c r="AS182" t="s">
        <v>629</v>
      </c>
      <c r="AT182">
        <v>19285694</v>
      </c>
      <c r="AU182" s="12">
        <v>39495</v>
      </c>
      <c r="BB182" t="s">
        <v>912</v>
      </c>
      <c r="BC182" s="7">
        <v>39474</v>
      </c>
      <c r="BG182">
        <v>21</v>
      </c>
      <c r="BH182" s="17">
        <f t="shared" ca="1" si="2"/>
        <v>53</v>
      </c>
      <c r="BI182" s="17"/>
      <c r="BJ182" s="17"/>
      <c r="BK182" t="str">
        <f>B182</f>
        <v>Subject To Inspection</v>
      </c>
    </row>
    <row r="183" spans="1:63" hidden="1">
      <c r="A183">
        <v>28023200</v>
      </c>
      <c r="B183" s="2" t="str">
        <f>HYPERLINK("http://www.windermere.com/index.cfm?fuseaction=Listing.ListingDetail&amp;ListingID=19338013","Active")</f>
        <v>Active</v>
      </c>
      <c r="D183" t="s">
        <v>63</v>
      </c>
      <c r="E183" t="s">
        <v>636</v>
      </c>
      <c r="F183" s="10">
        <v>399950</v>
      </c>
      <c r="G183" t="s">
        <v>247</v>
      </c>
      <c r="H183" s="1">
        <v>1250</v>
      </c>
      <c r="J183">
        <v>2</v>
      </c>
      <c r="K183">
        <v>2.5</v>
      </c>
      <c r="M183" s="2" t="str">
        <f>HYPERLINK("http://www.windermere.com/index.cfm?fuseaction=Listing.MapPropertyInteractive&amp;ListingID=19338013&amp;resize=true&amp;windowWidth=800&amp;windowHeight=600","Map")</f>
        <v>Map</v>
      </c>
      <c r="O183" s="2" t="str">
        <f>HYPERLINK("http://www.windermere.com/index.cfm?fuseaction=Listing.MultiImageViewer&amp;ListingID=19338013&amp;ln=28023200&amp;pub_mls=1","More")</f>
        <v>More</v>
      </c>
      <c r="P183" t="s">
        <v>44</v>
      </c>
      <c r="AI183" t="s">
        <v>66</v>
      </c>
      <c r="AJ183">
        <v>98107</v>
      </c>
      <c r="AS183" t="s">
        <v>637</v>
      </c>
      <c r="AT183">
        <v>19338013</v>
      </c>
      <c r="AU183" s="12">
        <v>39495</v>
      </c>
      <c r="BB183" t="s">
        <v>912</v>
      </c>
      <c r="BC183" s="7">
        <v>39485</v>
      </c>
      <c r="BG183">
        <v>10</v>
      </c>
      <c r="BH183" s="17">
        <f t="shared" ca="1" si="2"/>
        <v>42</v>
      </c>
      <c r="BI183" s="17"/>
      <c r="BJ183" s="17"/>
    </row>
    <row r="184" spans="1:63" hidden="1">
      <c r="A184">
        <v>28024806</v>
      </c>
      <c r="B184" s="2" t="str">
        <f>HYPERLINK("http://www.windermere.com/index.cfm?fuseaction=Listing.ListingDetail&amp;ListingID=19350453","Subject To Inspection")</f>
        <v>Subject To Inspection</v>
      </c>
      <c r="D184" t="s">
        <v>60</v>
      </c>
      <c r="E184" t="s">
        <v>638</v>
      </c>
      <c r="F184" s="10">
        <v>399950</v>
      </c>
      <c r="G184" t="s">
        <v>394</v>
      </c>
      <c r="H184" s="1">
        <v>2160</v>
      </c>
      <c r="J184">
        <v>3</v>
      </c>
      <c r="K184">
        <v>1</v>
      </c>
      <c r="M184" s="2" t="str">
        <f>HYPERLINK("http://www.windermere.com/index.cfm?fuseaction=Listing.MapPropertyInteractive&amp;ListingID=19350453&amp;resize=true&amp;windowWidth=800&amp;windowHeight=600","Map")</f>
        <v>Map</v>
      </c>
      <c r="P184" t="s">
        <v>44</v>
      </c>
      <c r="AI184" t="s">
        <v>66</v>
      </c>
      <c r="AJ184">
        <v>98105</v>
      </c>
      <c r="AS184" t="s">
        <v>639</v>
      </c>
      <c r="AT184">
        <v>19350453</v>
      </c>
      <c r="AU184" s="12">
        <v>39495</v>
      </c>
      <c r="BB184" t="s">
        <v>912</v>
      </c>
      <c r="BC184" s="7">
        <v>39489</v>
      </c>
      <c r="BG184">
        <v>6</v>
      </c>
      <c r="BH184" s="17">
        <f t="shared" ca="1" si="2"/>
        <v>38</v>
      </c>
      <c r="BI184" s="17"/>
      <c r="BJ184" s="17"/>
      <c r="BK184" t="str">
        <f>B184</f>
        <v>Subject To Inspection</v>
      </c>
    </row>
    <row r="185" spans="1:63" hidden="1">
      <c r="A185">
        <v>27173156</v>
      </c>
      <c r="B185" s="2" t="str">
        <f>HYPERLINK("http://www.windermere.com/index.cfm?fuseaction=Listing.ListingDetail&amp;ListingID=19104551","Active")</f>
        <v>Active</v>
      </c>
      <c r="D185" t="s">
        <v>184</v>
      </c>
      <c r="E185" t="s">
        <v>652</v>
      </c>
      <c r="F185" s="10">
        <v>399975</v>
      </c>
      <c r="G185" t="s">
        <v>653</v>
      </c>
      <c r="H185" s="1">
        <v>2012</v>
      </c>
      <c r="I185">
        <v>8160</v>
      </c>
      <c r="J185">
        <v>4</v>
      </c>
      <c r="K185">
        <v>1.5</v>
      </c>
      <c r="M185" s="2" t="str">
        <f>HYPERLINK("http://www.windermere.com/index.cfm?fuseaction=Listing.MapPropertyInteractive&amp;ListingID=19104551&amp;resize=true&amp;windowWidth=800&amp;windowHeight=600","Map")</f>
        <v>Map</v>
      </c>
      <c r="O185" s="2" t="str">
        <f>HYPERLINK("http://www.windermere.com/index.cfm?fuseaction=Listing.MultiImageViewer&amp;ListingID=19104551&amp;ln=27173156&amp;pub_mls=1","More")</f>
        <v>More</v>
      </c>
      <c r="AI185" t="s">
        <v>66</v>
      </c>
      <c r="AJ185">
        <v>98125</v>
      </c>
      <c r="AS185" t="s">
        <v>654</v>
      </c>
      <c r="AT185">
        <v>19104551</v>
      </c>
      <c r="AU185" s="12">
        <v>39495</v>
      </c>
      <c r="BB185" t="s">
        <v>912</v>
      </c>
      <c r="BC185" s="7">
        <v>39346</v>
      </c>
      <c r="BG185">
        <v>149</v>
      </c>
      <c r="BH185" s="17">
        <f t="shared" ca="1" si="2"/>
        <v>181</v>
      </c>
      <c r="BI185" s="17"/>
      <c r="BJ185" s="17"/>
    </row>
    <row r="186" spans="1:63" hidden="1">
      <c r="A186">
        <v>27167243</v>
      </c>
      <c r="B186" s="2" t="str">
        <f>HYPERLINK("http://www.windermere.com/index.cfm?fuseaction=Listing.ListingDetail&amp;ListingID=18621558","Active")</f>
        <v>Active</v>
      </c>
      <c r="D186" t="s">
        <v>63</v>
      </c>
      <c r="E186" t="s">
        <v>655</v>
      </c>
      <c r="F186" s="10">
        <v>399990</v>
      </c>
      <c r="G186" t="s">
        <v>147</v>
      </c>
      <c r="H186" s="1">
        <v>1349</v>
      </c>
      <c r="J186">
        <v>2</v>
      </c>
      <c r="K186">
        <v>2.5</v>
      </c>
      <c r="M186" s="2" t="str">
        <f>HYPERLINK("http://www.windermere.com/index.cfm?fuseaction=Listing.MapPropertyInteractive&amp;ListingID=18621558&amp;resize=true&amp;windowWidth=800&amp;windowHeight=600","Map")</f>
        <v>Map</v>
      </c>
      <c r="O186" s="2" t="str">
        <f>HYPERLINK("http://www.windermere.com/index.cfm?fuseaction=Listing.MultiImageViewer&amp;ListingID=18621558&amp;ln=27167243&amp;pub_mls=1","More")</f>
        <v>More</v>
      </c>
      <c r="AI186" t="s">
        <v>66</v>
      </c>
      <c r="AJ186">
        <v>98107</v>
      </c>
      <c r="AS186" t="s">
        <v>656</v>
      </c>
      <c r="AT186">
        <v>18621558</v>
      </c>
      <c r="AU186" s="12">
        <v>39495</v>
      </c>
      <c r="BB186" t="s">
        <v>912</v>
      </c>
      <c r="BC186" s="7">
        <v>39337</v>
      </c>
      <c r="BG186">
        <v>158</v>
      </c>
      <c r="BH186" s="17">
        <f t="shared" ca="1" si="2"/>
        <v>190</v>
      </c>
      <c r="BI186" s="17"/>
      <c r="BJ186" s="17"/>
    </row>
    <row r="187" spans="1:63" hidden="1">
      <c r="A187">
        <v>27100755</v>
      </c>
      <c r="B187" s="2" t="str">
        <f>HYPERLINK("http://www.windermere.com/index.cfm?fuseaction=Listing.ListingDetail&amp;ListingID=18039221","")</f>
        <v/>
      </c>
      <c r="D187" t="s">
        <v>1116</v>
      </c>
      <c r="E187" t="s">
        <v>1117</v>
      </c>
      <c r="F187" s="10">
        <v>399999</v>
      </c>
      <c r="G187" t="s">
        <v>176</v>
      </c>
      <c r="I187">
        <v>6052</v>
      </c>
      <c r="J187">
        <v>2</v>
      </c>
      <c r="K187">
        <v>1</v>
      </c>
      <c r="M187" s="2" t="str">
        <f>HYPERLINK("http://www.windermere.com/index.cfm?fuseaction=Listing.MapPropertyInteractive&amp;ListingID=18039221&amp;resize=true&amp;windowWidth=800&amp;windowHeight=600","Map")</f>
        <v>Map</v>
      </c>
      <c r="O187" s="2" t="str">
        <f>HYPERLINK("http://www.windermere.com/index.cfm?fuseaction=Listing.MultiImageViewer&amp;ListingID=18039221&amp;ln=27100755&amp;pub_mls=1","More")</f>
        <v>More</v>
      </c>
      <c r="AI187" t="s">
        <v>66</v>
      </c>
      <c r="AJ187">
        <v>98115</v>
      </c>
      <c r="AS187" t="s">
        <v>1118</v>
      </c>
      <c r="AT187">
        <v>18039221</v>
      </c>
      <c r="AU187" s="12">
        <v>39495</v>
      </c>
      <c r="BB187" t="s">
        <v>912</v>
      </c>
      <c r="BC187" t="s">
        <v>1413</v>
      </c>
      <c r="BD187">
        <v>1</v>
      </c>
      <c r="BG187">
        <v>0</v>
      </c>
      <c r="BH187" s="17" t="e">
        <f t="shared" ca="1" si="2"/>
        <v>#VALUE!</v>
      </c>
      <c r="BI187" s="17"/>
      <c r="BJ187" s="17"/>
      <c r="BK187" t="str">
        <f>B187</f>
        <v/>
      </c>
    </row>
    <row r="188" spans="1:63" hidden="1">
      <c r="A188">
        <v>28015518</v>
      </c>
      <c r="B188" s="2" t="str">
        <f>HYPERLINK("http://www.windermere.com/index.cfm?fuseaction=Listing.ListingDetail&amp;ListingID=19278247","Subject To Inspection")</f>
        <v>Subject To Inspection</v>
      </c>
      <c r="D188" t="s">
        <v>194</v>
      </c>
      <c r="E188" t="s">
        <v>1114</v>
      </c>
      <c r="F188" s="10">
        <v>399999</v>
      </c>
      <c r="G188" t="s">
        <v>125</v>
      </c>
      <c r="H188" s="1">
        <v>1020</v>
      </c>
      <c r="I188">
        <v>6000</v>
      </c>
      <c r="J188">
        <v>2</v>
      </c>
      <c r="K188">
        <v>1</v>
      </c>
      <c r="M188" s="2" t="str">
        <f>HYPERLINK("http://www.windermere.com/index.cfm?fuseaction=Listing.MapPropertyInteractive&amp;ListingID=19278247&amp;resize=true&amp;windowWidth=800&amp;windowHeight=600","Map")</f>
        <v>Map</v>
      </c>
      <c r="O188" s="2" t="str">
        <f>HYPERLINK("http://www.windermere.com/index.cfm?fuseaction=Listing.MultiImageViewer&amp;ListingID=19278247&amp;ln=28015518&amp;pub_mls=1","More")</f>
        <v>More</v>
      </c>
      <c r="P188" t="s">
        <v>44</v>
      </c>
      <c r="AI188" t="s">
        <v>66</v>
      </c>
      <c r="AJ188">
        <v>98115</v>
      </c>
      <c r="AS188" t="s">
        <v>1115</v>
      </c>
      <c r="AT188">
        <v>19278247</v>
      </c>
      <c r="AU188" s="12">
        <v>39495</v>
      </c>
      <c r="BB188" t="s">
        <v>912</v>
      </c>
      <c r="BC188" s="7">
        <v>39472</v>
      </c>
      <c r="BG188">
        <v>23</v>
      </c>
      <c r="BH188" s="17">
        <f t="shared" ca="1" si="2"/>
        <v>55</v>
      </c>
      <c r="BI188" s="17"/>
      <c r="BJ188" s="17"/>
      <c r="BK188" t="str">
        <f>B188</f>
        <v>Subject To Inspection</v>
      </c>
    </row>
    <row r="189" spans="1:63" hidden="1">
      <c r="A189">
        <v>28018523</v>
      </c>
      <c r="B189" s="4" t="str">
        <f>HYPERLINK("http://www.windermere.com/index.cfm?fuseaction=Listing.ListingDetail&amp;ListingID=19303929","Subject To Inspection")</f>
        <v>Subject To Inspection</v>
      </c>
      <c r="D189" t="s">
        <v>920</v>
      </c>
      <c r="E189" t="s">
        <v>665</v>
      </c>
      <c r="F189" s="13">
        <v>350000</v>
      </c>
      <c r="G189" t="s">
        <v>617</v>
      </c>
      <c r="H189" s="1">
        <v>2440</v>
      </c>
      <c r="I189">
        <v>7395</v>
      </c>
      <c r="J189">
        <v>4</v>
      </c>
      <c r="K189">
        <v>2.25</v>
      </c>
      <c r="M189" s="2" t="str">
        <f>HYPERLINK("http://www.windermere.com/index.cfm?fuseaction=Listing.MapPropertyInteractive&amp;ListingID=19303929&amp;resize=true&amp;windowWidth=800&amp;windowHeight=600","Map")</f>
        <v>Map</v>
      </c>
      <c r="O189" s="2" t="str">
        <f>HYPERLINK("http://www.windermere.com/index.cfm?fuseaction=Listing.MultiImageViewer&amp;ListingID=19303929&amp;ln=28018523&amp;pub_mls=1","More")</f>
        <v>More</v>
      </c>
      <c r="P189" t="s">
        <v>44</v>
      </c>
      <c r="AI189" t="s">
        <v>66</v>
      </c>
      <c r="AJ189">
        <v>98133</v>
      </c>
      <c r="AS189" t="s">
        <v>666</v>
      </c>
      <c r="AT189">
        <v>19303929</v>
      </c>
      <c r="AU189" s="12">
        <v>39495</v>
      </c>
      <c r="BB189" t="s">
        <v>912</v>
      </c>
      <c r="BC189" s="7">
        <v>39478</v>
      </c>
      <c r="BG189">
        <v>17</v>
      </c>
      <c r="BH189" s="17">
        <f t="shared" ca="1" si="2"/>
        <v>49</v>
      </c>
      <c r="BI189" s="17"/>
      <c r="BJ189" s="17"/>
    </row>
    <row r="190" spans="1:63" hidden="1">
      <c r="A190">
        <v>28021013</v>
      </c>
      <c r="B190" s="2" t="str">
        <f>HYPERLINK("http://www.windermere.com/index.cfm?fuseaction=Listing.ListingDetail&amp;ListingID=19326790","Active")</f>
        <v>Active</v>
      </c>
      <c r="C190">
        <v>705</v>
      </c>
      <c r="D190" t="s">
        <v>63</v>
      </c>
      <c r="E190" t="s">
        <v>235</v>
      </c>
      <c r="F190" s="10">
        <v>400000</v>
      </c>
      <c r="G190" t="s">
        <v>124</v>
      </c>
      <c r="I190">
        <v>3000</v>
      </c>
      <c r="J190">
        <v>2</v>
      </c>
      <c r="K190">
        <v>1</v>
      </c>
      <c r="M190" s="2" t="str">
        <f>HYPERLINK("http://www.windermere.com/index.cfm?fuseaction=Listing.MapPropertyInteractive&amp;ListingID=19326790&amp;resize=true&amp;windowWidth=800&amp;windowHeight=600","Map")</f>
        <v>Map</v>
      </c>
      <c r="N190" s="2" t="str">
        <f>HYPERLINK("http://locmedia.nwmls.com/DO_NOT_LINK/bigphoto/013/28021013.jpg?tsp=20080205132648","Photo")</f>
        <v>Photo</v>
      </c>
      <c r="O190" s="2" t="str">
        <f>HYPERLINK("http://www.windermere.com/index.cfm?fuseaction=Listing.MultiImageViewer&amp;ListingID=19326790&amp;ln=28021013&amp;pub_mls=1","More")</f>
        <v>More</v>
      </c>
      <c r="Q190" t="s">
        <v>45</v>
      </c>
      <c r="R190" t="s">
        <v>46</v>
      </c>
      <c r="S190" t="s">
        <v>53</v>
      </c>
      <c r="T190" t="s">
        <v>50</v>
      </c>
      <c r="U190" t="s">
        <v>44</v>
      </c>
      <c r="X190" t="s">
        <v>47</v>
      </c>
      <c r="Y190" t="s">
        <v>48</v>
      </c>
      <c r="Z190" t="s">
        <v>931</v>
      </c>
      <c r="AA190" t="s">
        <v>932</v>
      </c>
      <c r="AB190">
        <v>2007</v>
      </c>
      <c r="AC190">
        <v>2613</v>
      </c>
      <c r="AD190" t="s">
        <v>933</v>
      </c>
      <c r="AF190" t="s">
        <v>59</v>
      </c>
      <c r="AG190">
        <v>47.680506999999999</v>
      </c>
      <c r="AH190">
        <v>-122.367285</v>
      </c>
      <c r="AI190" t="s">
        <v>66</v>
      </c>
      <c r="AJ190">
        <v>98117</v>
      </c>
      <c r="AK190" t="s">
        <v>41</v>
      </c>
      <c r="AL190" t="s">
        <v>40</v>
      </c>
      <c r="AM190" t="s">
        <v>40</v>
      </c>
      <c r="AO190">
        <v>6.9000000000000006E-2</v>
      </c>
      <c r="AP190" t="s">
        <v>934</v>
      </c>
      <c r="AQ190">
        <v>534</v>
      </c>
      <c r="AR190" t="s">
        <v>92</v>
      </c>
      <c r="AS190" t="s">
        <v>300</v>
      </c>
      <c r="AT190">
        <v>19326790</v>
      </c>
      <c r="AU190" s="12">
        <v>39495</v>
      </c>
      <c r="BA190" t="s">
        <v>912</v>
      </c>
      <c r="BB190" t="s">
        <v>912</v>
      </c>
      <c r="BC190" s="7">
        <v>39483</v>
      </c>
      <c r="BG190">
        <v>12</v>
      </c>
      <c r="BH190" s="17">
        <f t="shared" ca="1" si="2"/>
        <v>44</v>
      </c>
      <c r="BI190" s="17"/>
      <c r="BJ190" s="17"/>
    </row>
    <row r="191" spans="1:63" hidden="1">
      <c r="A191">
        <v>28021123</v>
      </c>
      <c r="B191" s="2" t="str">
        <f>HYPERLINK("http://www.windermere.com/index.cfm?fuseaction=Listing.ListingDetail&amp;ListingID=19322649","Active")</f>
        <v>Active</v>
      </c>
      <c r="C191">
        <v>705</v>
      </c>
      <c r="D191" t="s">
        <v>63</v>
      </c>
      <c r="E191" t="s">
        <v>657</v>
      </c>
      <c r="F191" s="10">
        <v>400000</v>
      </c>
      <c r="G191" t="s">
        <v>440</v>
      </c>
      <c r="H191" s="1">
        <v>1340</v>
      </c>
      <c r="I191">
        <v>3000</v>
      </c>
      <c r="J191">
        <v>2</v>
      </c>
      <c r="K191">
        <v>1</v>
      </c>
      <c r="M191" s="2" t="str">
        <f>HYPERLINK("http://www.windermere.com/index.cfm?fuseaction=Listing.MapPropertyInteractive&amp;ListingID=19322649&amp;resize=true&amp;windowWidth=800&amp;windowHeight=600","Map")</f>
        <v>Map</v>
      </c>
      <c r="N191" s="2" t="str">
        <f>HYPERLINK("http://locmedia.nwmls.com/DO_NOT_LINK/bigphoto/123/28021123.jpg?tsp=20080204155025","Photo")</f>
        <v>Photo</v>
      </c>
      <c r="O191" s="2" t="str">
        <f>HYPERLINK("http://www.windermere.com/index.cfm?fuseaction=Listing.MultiImageViewer&amp;ListingID=19322649&amp;ln=28021123&amp;pub_mls=1","More")</f>
        <v>More</v>
      </c>
      <c r="Q191" t="s">
        <v>56</v>
      </c>
      <c r="R191" t="s">
        <v>72</v>
      </c>
      <c r="S191" t="s">
        <v>58</v>
      </c>
      <c r="T191" t="s">
        <v>77</v>
      </c>
      <c r="U191" t="s">
        <v>44</v>
      </c>
      <c r="X191" t="s">
        <v>47</v>
      </c>
      <c r="Y191" t="s">
        <v>48</v>
      </c>
      <c r="Z191" t="s">
        <v>225</v>
      </c>
      <c r="AB191">
        <v>2007</v>
      </c>
      <c r="AC191">
        <v>2937</v>
      </c>
      <c r="AD191" t="s">
        <v>928</v>
      </c>
      <c r="AE191" t="s">
        <v>110</v>
      </c>
      <c r="AG191">
        <v>47.660032000000001</v>
      </c>
      <c r="AH191">
        <v>-122.361898</v>
      </c>
      <c r="AI191" t="s">
        <v>66</v>
      </c>
      <c r="AJ191">
        <v>98107</v>
      </c>
      <c r="AK191" t="s">
        <v>41</v>
      </c>
      <c r="AL191" t="s">
        <v>40</v>
      </c>
      <c r="AM191" t="s">
        <v>40</v>
      </c>
      <c r="AO191">
        <v>6.9000000000000006E-2</v>
      </c>
      <c r="AP191" t="s">
        <v>929</v>
      </c>
      <c r="AQ191">
        <v>534</v>
      </c>
      <c r="AR191" t="s">
        <v>930</v>
      </c>
      <c r="AS191" t="s">
        <v>658</v>
      </c>
      <c r="AT191">
        <v>19322649</v>
      </c>
      <c r="AU191" s="12">
        <v>39495</v>
      </c>
      <c r="BA191" t="s">
        <v>912</v>
      </c>
      <c r="BB191" t="s">
        <v>912</v>
      </c>
      <c r="BC191" s="7">
        <v>39482</v>
      </c>
      <c r="BG191">
        <v>13</v>
      </c>
      <c r="BH191" s="17">
        <f t="shared" ca="1" si="2"/>
        <v>45</v>
      </c>
      <c r="BI191" s="17"/>
      <c r="BJ191" s="17"/>
    </row>
    <row r="192" spans="1:63" hidden="1">
      <c r="A192">
        <v>28023330</v>
      </c>
      <c r="B192" s="4" t="str">
        <f>HYPERLINK("http://www.windermere.com/index.cfm?fuseaction=Listing.ListingDetail&amp;ListingID=19342125","Subject To Inspection")</f>
        <v>Subject To Inspection</v>
      </c>
      <c r="C192">
        <v>705</v>
      </c>
      <c r="D192" t="s">
        <v>70</v>
      </c>
      <c r="E192" t="s">
        <v>667</v>
      </c>
      <c r="F192" s="13">
        <v>385000</v>
      </c>
      <c r="G192" t="s">
        <v>126</v>
      </c>
      <c r="H192" s="21">
        <v>1840</v>
      </c>
      <c r="I192">
        <v>7943</v>
      </c>
      <c r="J192">
        <v>3</v>
      </c>
      <c r="K192">
        <v>1</v>
      </c>
      <c r="L192">
        <v>1</v>
      </c>
      <c r="M192" s="2" t="str">
        <f>HYPERLINK("http://www.windermere.com/index.cfm?fuseaction=Listing.MapPropertyInteractive&amp;ListingID=19342125&amp;resize=true&amp;windowWidth=800&amp;windowHeight=600","Map")</f>
        <v>Map</v>
      </c>
      <c r="N192" s="2" t="str">
        <f>HYPERLINK("http://locmedia.nwmls.com/DO_NOT_LINK/bigphoto/330/28023330.jpg?tsp=20080208115857","Photo")</f>
        <v>Photo</v>
      </c>
      <c r="O192" s="2" t="str">
        <f>HYPERLINK("http://www.windermere.com/index.cfm?fuseaction=Listing.MultiImageViewer&amp;ListingID=19342125&amp;ln=28023330&amp;pub_mls=1","More")</f>
        <v>More</v>
      </c>
      <c r="Q192" t="s">
        <v>56</v>
      </c>
      <c r="R192" t="s">
        <v>67</v>
      </c>
      <c r="S192" t="s">
        <v>58</v>
      </c>
      <c r="T192" t="s">
        <v>77</v>
      </c>
      <c r="U192" t="s">
        <v>44</v>
      </c>
      <c r="X192" t="s">
        <v>47</v>
      </c>
      <c r="Y192" t="s">
        <v>48</v>
      </c>
      <c r="Z192" t="s">
        <v>103</v>
      </c>
      <c r="AA192" t="s">
        <v>224</v>
      </c>
      <c r="AB192">
        <v>2007</v>
      </c>
      <c r="AC192">
        <v>3049</v>
      </c>
      <c r="AD192" t="s">
        <v>935</v>
      </c>
      <c r="AE192" t="s">
        <v>110</v>
      </c>
      <c r="AF192" t="s">
        <v>936</v>
      </c>
      <c r="AG192">
        <v>47.714644</v>
      </c>
      <c r="AH192">
        <v>-122.350216</v>
      </c>
      <c r="AI192" t="s">
        <v>66</v>
      </c>
      <c r="AJ192">
        <v>98133</v>
      </c>
      <c r="AK192" t="s">
        <v>41</v>
      </c>
      <c r="AL192" t="s">
        <v>40</v>
      </c>
      <c r="AM192" t="s">
        <v>40</v>
      </c>
      <c r="AO192">
        <v>0.182</v>
      </c>
      <c r="AP192" t="s">
        <v>937</v>
      </c>
      <c r="AQ192">
        <v>504</v>
      </c>
      <c r="AR192" t="s">
        <v>71</v>
      </c>
      <c r="AS192" t="s">
        <v>668</v>
      </c>
      <c r="AT192">
        <v>19342125</v>
      </c>
      <c r="AU192" s="12">
        <v>39495</v>
      </c>
      <c r="BA192" t="s">
        <v>912</v>
      </c>
      <c r="BB192" t="s">
        <v>912</v>
      </c>
      <c r="BC192" s="7">
        <v>39486</v>
      </c>
      <c r="BG192">
        <v>9</v>
      </c>
      <c r="BH192" s="17">
        <f t="shared" ca="1" si="2"/>
        <v>41</v>
      </c>
      <c r="BI192" s="17"/>
      <c r="BJ192" s="17"/>
    </row>
    <row r="193" spans="1:62" hidden="1">
      <c r="A193">
        <v>28026262</v>
      </c>
      <c r="B193" s="15" t="str">
        <f>HYPERLINK("http://www.windermere.com/index.cfm?fuseaction=Listing.ListingDetail&amp;ListingID=19360801","Subject To Inspection")</f>
        <v>Subject To Inspection</v>
      </c>
      <c r="D193" t="s">
        <v>109</v>
      </c>
      <c r="E193" t="s">
        <v>659</v>
      </c>
      <c r="F193" s="10">
        <v>400000</v>
      </c>
      <c r="G193" t="s">
        <v>660</v>
      </c>
      <c r="H193" s="1">
        <v>1450</v>
      </c>
      <c r="I193">
        <v>3354</v>
      </c>
      <c r="J193">
        <v>3</v>
      </c>
      <c r="M193" s="2" t="str">
        <f>HYPERLINK("http://www.windermere.com/index.cfm?fuseaction=Listing.MapPropertyInteractive&amp;ListingID=19360801&amp;resize=true&amp;windowWidth=800&amp;windowHeight=600","Map")</f>
        <v>Map</v>
      </c>
      <c r="P193" t="s">
        <v>44</v>
      </c>
      <c r="AI193" t="s">
        <v>66</v>
      </c>
      <c r="AJ193">
        <v>98103</v>
      </c>
      <c r="AS193" t="s">
        <v>661</v>
      </c>
      <c r="AT193">
        <v>19360801</v>
      </c>
      <c r="AU193" s="12">
        <v>39495</v>
      </c>
      <c r="BB193" t="s">
        <v>912</v>
      </c>
      <c r="BC193" s="7">
        <v>39491</v>
      </c>
      <c r="BG193">
        <v>4</v>
      </c>
      <c r="BH193" s="17">
        <f t="shared" ca="1" si="2"/>
        <v>36</v>
      </c>
      <c r="BI193" s="17"/>
      <c r="BJ193" s="17"/>
    </row>
    <row r="194" spans="1:62" hidden="1">
      <c r="A194">
        <v>28026361</v>
      </c>
      <c r="B194" s="4" t="str">
        <f>HYPERLINK("http://www.windermere.com/index.cfm?fuseaction=Listing.ListingDetail&amp;ListingID=19362856","Subject To Inspection")</f>
        <v>Subject To Inspection</v>
      </c>
      <c r="D194" t="s">
        <v>192</v>
      </c>
      <c r="E194" t="s">
        <v>662</v>
      </c>
      <c r="F194" s="10">
        <v>400000</v>
      </c>
      <c r="G194" t="s">
        <v>663</v>
      </c>
      <c r="H194" s="1">
        <v>2370</v>
      </c>
      <c r="I194">
        <v>6361</v>
      </c>
      <c r="J194">
        <v>3</v>
      </c>
      <c r="K194">
        <v>2.5</v>
      </c>
      <c r="M194" s="2" t="str">
        <f>HYPERLINK("http://www.windermere.com/index.cfm?fuseaction=Listing.MapPropertyInteractive&amp;ListingID=19362856&amp;resize=true&amp;windowWidth=800&amp;windowHeight=600","Map")</f>
        <v>Map</v>
      </c>
      <c r="AI194" t="s">
        <v>66</v>
      </c>
      <c r="AJ194">
        <v>98125</v>
      </c>
      <c r="AS194" t="s">
        <v>664</v>
      </c>
      <c r="AT194">
        <v>19362856</v>
      </c>
      <c r="AU194" s="12">
        <v>39495</v>
      </c>
      <c r="BB194" t="s">
        <v>912</v>
      </c>
      <c r="BC194" s="7">
        <v>39491</v>
      </c>
      <c r="BG194">
        <v>4</v>
      </c>
      <c r="BH194" s="17">
        <f t="shared" ca="1" si="2"/>
        <v>36</v>
      </c>
      <c r="BI194" s="17"/>
      <c r="BJ194" s="17"/>
    </row>
    <row r="195" spans="1:62" hidden="1">
      <c r="A195">
        <v>27164890</v>
      </c>
      <c r="B195" s="2" t="str">
        <f>HYPERLINK("http://www.windermere.com/index.cfm?fuseaction=Listing.ListingDetail&amp;ListingID=18588767","Active")</f>
        <v>Active</v>
      </c>
      <c r="D195" t="s">
        <v>190</v>
      </c>
      <c r="E195" t="s">
        <v>673</v>
      </c>
      <c r="F195" s="10">
        <v>405000</v>
      </c>
      <c r="G195" t="s">
        <v>674</v>
      </c>
      <c r="H195" s="1">
        <v>1350</v>
      </c>
      <c r="J195">
        <v>3</v>
      </c>
      <c r="K195">
        <v>2.25</v>
      </c>
      <c r="M195" s="2" t="str">
        <f>HYPERLINK("http://www.windermere.com/index.cfm?fuseaction=Listing.MapPropertyInteractive&amp;ListingID=18588767&amp;resize=true&amp;windowWidth=800&amp;windowHeight=600","Map")</f>
        <v>Map</v>
      </c>
      <c r="O195" s="2" t="str">
        <f>HYPERLINK("http://www.windermere.com/index.cfm?fuseaction=Listing.MultiImageViewer&amp;ListingID=18588767&amp;ln=27164890&amp;pub_mls=1","More")</f>
        <v>More</v>
      </c>
      <c r="AI195" t="s">
        <v>66</v>
      </c>
      <c r="AJ195">
        <v>98115</v>
      </c>
      <c r="AS195" t="s">
        <v>675</v>
      </c>
      <c r="AT195">
        <v>18588767</v>
      </c>
      <c r="AU195" s="12">
        <v>39495</v>
      </c>
      <c r="BB195" t="s">
        <v>912</v>
      </c>
      <c r="BC195" s="7">
        <v>39333</v>
      </c>
      <c r="BD195">
        <v>-2</v>
      </c>
      <c r="BE195" s="6" t="s">
        <v>1330</v>
      </c>
      <c r="BG195">
        <v>162</v>
      </c>
      <c r="BH195" s="17">
        <f t="shared" ref="BH195:BH258" ca="1" si="3">TODAY()-BC195</f>
        <v>194</v>
      </c>
      <c r="BI195" s="17"/>
      <c r="BJ195" s="17"/>
    </row>
    <row r="196" spans="1:62" hidden="1">
      <c r="A196">
        <v>27189674</v>
      </c>
      <c r="B196" s="2" t="str">
        <f>HYPERLINK("http://www.windermere.com/index.cfm?fuseaction=Listing.ListingDetail&amp;ListingID=18844703","Active")</f>
        <v>Active</v>
      </c>
      <c r="D196" t="s">
        <v>99</v>
      </c>
      <c r="E196" t="s">
        <v>298</v>
      </c>
      <c r="F196" s="10">
        <v>405000</v>
      </c>
      <c r="G196" t="s">
        <v>248</v>
      </c>
      <c r="H196" s="1">
        <v>1600</v>
      </c>
      <c r="J196">
        <v>3</v>
      </c>
      <c r="K196">
        <v>3.25</v>
      </c>
      <c r="M196" s="2" t="str">
        <f>HYPERLINK("http://www.windermere.com/index.cfm?fuseaction=Listing.MapPropertyInteractive&amp;ListingID=18844703&amp;resize=true&amp;windowWidth=800&amp;windowHeight=600","Map")</f>
        <v>Map</v>
      </c>
      <c r="O196" s="2" t="str">
        <f>HYPERLINK("http://www.windermere.com/index.cfm?fuseaction=Listing.MultiImageViewer&amp;ListingID=18844703&amp;ln=27189674&amp;pub_mls=1","More")</f>
        <v>More</v>
      </c>
      <c r="P196" t="s">
        <v>44</v>
      </c>
      <c r="AI196" t="s">
        <v>66</v>
      </c>
      <c r="AJ196">
        <v>98117</v>
      </c>
      <c r="AS196" t="s">
        <v>299</v>
      </c>
      <c r="AT196">
        <v>18844703</v>
      </c>
      <c r="AU196" s="12">
        <v>39495</v>
      </c>
      <c r="BB196" t="s">
        <v>912</v>
      </c>
      <c r="BC196" s="7">
        <v>39375</v>
      </c>
      <c r="BG196">
        <v>120</v>
      </c>
      <c r="BH196" s="17">
        <f t="shared" ca="1" si="3"/>
        <v>152</v>
      </c>
      <c r="BI196" s="17"/>
      <c r="BJ196" s="17"/>
    </row>
    <row r="197" spans="1:62" hidden="1">
      <c r="A197">
        <v>27214047</v>
      </c>
      <c r="B197" s="2" t="str">
        <f>HYPERLINK("http://www.windermere.com/index.cfm?fuseaction=Listing.ListingDetail&amp;ListingID=19106819","Active")</f>
        <v>Active</v>
      </c>
      <c r="D197" t="s">
        <v>226</v>
      </c>
      <c r="E197" t="s">
        <v>669</v>
      </c>
      <c r="F197" s="13">
        <v>399000</v>
      </c>
      <c r="G197" t="s">
        <v>147</v>
      </c>
      <c r="H197" s="1">
        <v>1258</v>
      </c>
      <c r="J197">
        <v>2</v>
      </c>
      <c r="K197">
        <v>1.5</v>
      </c>
      <c r="M197" s="2" t="str">
        <f>HYPERLINK("http://www.windermere.com/index.cfm?fuseaction=Listing.MapPropertyInteractive&amp;ListingID=19106819&amp;resize=true&amp;windowWidth=800&amp;windowHeight=600","Map")</f>
        <v>Map</v>
      </c>
      <c r="O197" s="2" t="str">
        <f>HYPERLINK("http://www.windermere.com/index.cfm?fuseaction=Listing.MultiImageViewer&amp;ListingID=19106819&amp;ln=27214047&amp;pub_mls=1","More")</f>
        <v>More</v>
      </c>
      <c r="P197" t="s">
        <v>44</v>
      </c>
      <c r="AI197" t="s">
        <v>66</v>
      </c>
      <c r="AJ197">
        <v>98105</v>
      </c>
      <c r="AS197" t="s">
        <v>670</v>
      </c>
      <c r="AT197">
        <v>19106819</v>
      </c>
      <c r="AU197" s="12">
        <v>39495</v>
      </c>
      <c r="BB197" t="s">
        <v>912</v>
      </c>
      <c r="BC197" s="7">
        <v>39434</v>
      </c>
      <c r="BG197">
        <v>61</v>
      </c>
      <c r="BH197" s="17">
        <f t="shared" ca="1" si="3"/>
        <v>93</v>
      </c>
      <c r="BI197" s="17"/>
      <c r="BJ197" s="17"/>
    </row>
    <row r="198" spans="1:62" hidden="1">
      <c r="A198">
        <v>28012494</v>
      </c>
      <c r="B198" s="4" t="str">
        <f>HYPERLINK("http://www.windermere.com/index.cfm?fuseaction=Listing.ListingDetail&amp;ListingID=19254875","Subject To Inspection")</f>
        <v>Subject To Inspection</v>
      </c>
      <c r="D198" t="s">
        <v>226</v>
      </c>
      <c r="E198" t="s">
        <v>671</v>
      </c>
      <c r="F198" s="10">
        <v>405000</v>
      </c>
      <c r="G198" t="s">
        <v>147</v>
      </c>
      <c r="H198" s="1">
        <v>1326</v>
      </c>
      <c r="J198">
        <v>2</v>
      </c>
      <c r="K198">
        <v>1.5</v>
      </c>
      <c r="M198" s="2" t="str">
        <f>HYPERLINK("http://www.windermere.com/index.cfm?fuseaction=Listing.MapPropertyInteractive&amp;ListingID=19254875&amp;resize=true&amp;windowWidth=800&amp;windowHeight=600","Map")</f>
        <v>Map</v>
      </c>
      <c r="O198" s="2" t="str">
        <f>HYPERLINK("http://www.windermere.com/index.cfm?fuseaction=Listing.MultiImageViewer&amp;ListingID=19254875&amp;ln=28012494&amp;pub_mls=1","More")</f>
        <v>More</v>
      </c>
      <c r="P198" t="s">
        <v>44</v>
      </c>
      <c r="AI198" t="s">
        <v>66</v>
      </c>
      <c r="AJ198">
        <v>98105</v>
      </c>
      <c r="AS198" t="s">
        <v>672</v>
      </c>
      <c r="AT198">
        <v>19254875</v>
      </c>
      <c r="AU198" s="12">
        <v>39495</v>
      </c>
      <c r="BB198" t="s">
        <v>912</v>
      </c>
      <c r="BC198" s="7">
        <v>39467</v>
      </c>
      <c r="BG198">
        <v>28</v>
      </c>
      <c r="BH198" s="17">
        <f t="shared" ca="1" si="3"/>
        <v>60</v>
      </c>
      <c r="BI198" s="17"/>
      <c r="BJ198" s="17"/>
    </row>
    <row r="199" spans="1:62" hidden="1">
      <c r="A199">
        <v>27105286</v>
      </c>
      <c r="B199" s="4" t="str">
        <f>HYPERLINK("http://www.windermere.com/index.cfm?fuseaction=Listing.ListingDetail&amp;ListingID=18076483","Subject To Inspection")</f>
        <v>Subject To Inspection</v>
      </c>
      <c r="D199" t="s">
        <v>63</v>
      </c>
      <c r="E199" t="s">
        <v>296</v>
      </c>
      <c r="F199" s="10">
        <v>409000</v>
      </c>
      <c r="G199" t="s">
        <v>288</v>
      </c>
      <c r="I199">
        <v>3311</v>
      </c>
      <c r="J199">
        <v>4</v>
      </c>
      <c r="K199">
        <v>1</v>
      </c>
      <c r="M199" s="2" t="str">
        <f>HYPERLINK("http://www.windermere.com/index.cfm?fuseaction=Listing.MapPropertyInteractive&amp;ListingID=18076483&amp;resize=true&amp;windowWidth=800&amp;windowHeight=600","Map")</f>
        <v>Map</v>
      </c>
      <c r="O199" s="2" t="str">
        <f>HYPERLINK("http://www.windermere.com/index.cfm?fuseaction=Listing.MultiImageViewer&amp;ListingID=18076483&amp;ln=27105286&amp;pub_mls=1","More")</f>
        <v>More</v>
      </c>
      <c r="P199" t="s">
        <v>44</v>
      </c>
      <c r="AI199" t="s">
        <v>66</v>
      </c>
      <c r="AJ199">
        <v>98117</v>
      </c>
      <c r="AS199" t="s">
        <v>297</v>
      </c>
      <c r="AT199">
        <v>18076483</v>
      </c>
      <c r="AU199" s="12">
        <v>39495</v>
      </c>
      <c r="BB199" t="s">
        <v>912</v>
      </c>
      <c r="BC199" s="7">
        <v>39245</v>
      </c>
      <c r="BD199">
        <v>-2</v>
      </c>
      <c r="BE199" s="6" t="s">
        <v>1313</v>
      </c>
      <c r="BG199">
        <v>250</v>
      </c>
      <c r="BH199" s="17">
        <f t="shared" ca="1" si="3"/>
        <v>282</v>
      </c>
      <c r="BI199" s="17"/>
      <c r="BJ199" s="17"/>
    </row>
    <row r="200" spans="1:62" hidden="1">
      <c r="A200">
        <v>27215720</v>
      </c>
      <c r="B200" s="2" t="str">
        <f>HYPERLINK("http://www.windermere.com/index.cfm?fuseaction=Listing.ListingDetail&amp;ListingID=19128158","Active")</f>
        <v>Active</v>
      </c>
      <c r="D200" t="s">
        <v>55</v>
      </c>
      <c r="E200" t="s">
        <v>678</v>
      </c>
      <c r="F200" s="18">
        <v>399000</v>
      </c>
      <c r="G200" t="s">
        <v>172</v>
      </c>
      <c r="H200" s="1">
        <v>1000</v>
      </c>
      <c r="I200">
        <v>3060</v>
      </c>
      <c r="J200">
        <v>2</v>
      </c>
      <c r="K200">
        <v>1</v>
      </c>
      <c r="M200" s="2" t="str">
        <f>HYPERLINK("http://www.windermere.com/index.cfm?fuseaction=Listing.MapPropertyInteractive&amp;ListingID=19128158&amp;resize=true&amp;windowWidth=800&amp;windowHeight=600","Map")</f>
        <v>Map</v>
      </c>
      <c r="O200" s="2" t="str">
        <f>HYPERLINK("http://www.windermere.com/index.cfm?fuseaction=Listing.MultiImageViewer&amp;ListingID=19128158&amp;ln=27215720&amp;pub_mls=1","More")</f>
        <v>More</v>
      </c>
      <c r="AI200" t="s">
        <v>66</v>
      </c>
      <c r="AJ200">
        <v>98103</v>
      </c>
      <c r="AS200" t="s">
        <v>679</v>
      </c>
      <c r="AT200">
        <v>19128158</v>
      </c>
      <c r="AU200" s="12">
        <v>39495</v>
      </c>
      <c r="BB200" t="s">
        <v>912</v>
      </c>
      <c r="BC200" s="7">
        <v>39442</v>
      </c>
      <c r="BG200">
        <v>53</v>
      </c>
      <c r="BH200" s="17">
        <f t="shared" ca="1" si="3"/>
        <v>85</v>
      </c>
      <c r="BI200" s="17"/>
      <c r="BJ200" s="17"/>
    </row>
    <row r="201" spans="1:62" hidden="1">
      <c r="A201">
        <v>28025815</v>
      </c>
      <c r="B201" s="2" t="str">
        <f>HYPERLINK("http://www.windermere.com/index.cfm?fuseaction=Listing.ListingDetail&amp;ListingID=19365708","Active")</f>
        <v>Active</v>
      </c>
      <c r="D201" t="s">
        <v>218</v>
      </c>
      <c r="E201" t="s">
        <v>676</v>
      </c>
      <c r="F201" s="18">
        <v>399000</v>
      </c>
      <c r="G201" t="s">
        <v>130</v>
      </c>
      <c r="H201" s="1">
        <v>1093</v>
      </c>
      <c r="I201">
        <v>4794</v>
      </c>
      <c r="J201">
        <v>3</v>
      </c>
      <c r="K201">
        <v>1</v>
      </c>
      <c r="M201" s="2" t="str">
        <f>HYPERLINK("http://www.windermere.com/index.cfm?fuseaction=Listing.MapPropertyInteractive&amp;ListingID=19365708&amp;resize=true&amp;windowWidth=800&amp;windowHeight=600","Map")</f>
        <v>Map</v>
      </c>
      <c r="O201" s="2" t="str">
        <f>HYPERLINK("http://www.windermere.com/index.cfm?fuseaction=Listing.MultiImageViewer&amp;ListingID=19365708&amp;ln=28025815&amp;pub_mls=1","More")</f>
        <v>More</v>
      </c>
      <c r="AI201" t="s">
        <v>66</v>
      </c>
      <c r="AJ201">
        <v>98115</v>
      </c>
      <c r="AS201" t="s">
        <v>677</v>
      </c>
      <c r="AT201">
        <v>19365708</v>
      </c>
      <c r="AU201" s="12">
        <v>39495</v>
      </c>
      <c r="BB201" t="s">
        <v>912</v>
      </c>
      <c r="BC201" s="7">
        <v>39491</v>
      </c>
      <c r="BG201">
        <v>4</v>
      </c>
      <c r="BH201" s="17">
        <f t="shared" ca="1" si="3"/>
        <v>36</v>
      </c>
      <c r="BI201" s="17"/>
      <c r="BJ201" s="17"/>
    </row>
    <row r="202" spans="1:62" hidden="1">
      <c r="A202">
        <v>27179196</v>
      </c>
      <c r="B202" s="2" t="str">
        <f>HYPERLINK("http://www.windermere.com/index.cfm?fuseaction=Listing.ListingDetail&amp;ListingID=18761619","Active")</f>
        <v>Active</v>
      </c>
      <c r="D202" t="s">
        <v>63</v>
      </c>
      <c r="E202" t="s">
        <v>684</v>
      </c>
      <c r="F202" s="10">
        <v>409950</v>
      </c>
      <c r="G202" t="s">
        <v>147</v>
      </c>
      <c r="J202">
        <v>3</v>
      </c>
      <c r="K202">
        <v>3</v>
      </c>
      <c r="M202" s="2" t="str">
        <f>HYPERLINK("http://www.windermere.com/index.cfm?fuseaction=Listing.MapPropertyInteractive&amp;ListingID=18761619&amp;resize=true&amp;windowWidth=800&amp;windowHeight=600","Map")</f>
        <v>Map</v>
      </c>
      <c r="O202" s="2" t="str">
        <f>HYPERLINK("http://www.windermere.com/index.cfm?fuseaction=Listing.MultiImageViewer&amp;ListingID=18761619&amp;ln=27179196&amp;pub_mls=1","More")</f>
        <v>More</v>
      </c>
      <c r="P202" t="s">
        <v>44</v>
      </c>
      <c r="AI202" t="s">
        <v>66</v>
      </c>
      <c r="AJ202">
        <v>98107</v>
      </c>
      <c r="AS202" t="s">
        <v>685</v>
      </c>
      <c r="AT202">
        <v>18761619</v>
      </c>
      <c r="AU202" s="12">
        <v>39495</v>
      </c>
      <c r="BB202" t="s">
        <v>912</v>
      </c>
      <c r="BC202" s="7">
        <v>39359</v>
      </c>
      <c r="BG202">
        <v>136</v>
      </c>
      <c r="BH202" s="17">
        <f t="shared" ca="1" si="3"/>
        <v>168</v>
      </c>
      <c r="BI202" s="17"/>
      <c r="BJ202" s="17"/>
    </row>
    <row r="203" spans="1:62" hidden="1">
      <c r="A203">
        <v>27196500</v>
      </c>
      <c r="B203" s="2" t="str">
        <f>HYPERLINK("http://www.windermere.com/index.cfm?fuseaction=Listing.ListingDetail&amp;ListingID=18907358","Active")</f>
        <v>Active</v>
      </c>
      <c r="D203" t="s">
        <v>60</v>
      </c>
      <c r="E203" t="s">
        <v>680</v>
      </c>
      <c r="F203" s="18">
        <v>399950</v>
      </c>
      <c r="G203" t="s">
        <v>147</v>
      </c>
      <c r="H203" s="1">
        <v>1295</v>
      </c>
      <c r="J203">
        <v>2</v>
      </c>
      <c r="K203">
        <v>1.5</v>
      </c>
      <c r="M203" s="2" t="str">
        <f>HYPERLINK("http://www.windermere.com/index.cfm?fuseaction=Listing.MapPropertyInteractive&amp;ListingID=18907358&amp;resize=true&amp;windowWidth=800&amp;windowHeight=600","Map")</f>
        <v>Map</v>
      </c>
      <c r="O203" s="2" t="str">
        <f>HYPERLINK("http://www.windermere.com/index.cfm?fuseaction=Listing.MultiImageViewer&amp;ListingID=18907358&amp;ln=27196500&amp;pub_mls=1","More")</f>
        <v>More</v>
      </c>
      <c r="P203" t="s">
        <v>44</v>
      </c>
      <c r="AI203" t="s">
        <v>66</v>
      </c>
      <c r="AJ203">
        <v>98115</v>
      </c>
      <c r="AS203" t="s">
        <v>681</v>
      </c>
      <c r="AT203">
        <v>18907358</v>
      </c>
      <c r="AU203" s="12">
        <v>39495</v>
      </c>
      <c r="BB203" t="s">
        <v>912</v>
      </c>
      <c r="BC203" s="7">
        <v>39388</v>
      </c>
      <c r="BG203">
        <v>107</v>
      </c>
      <c r="BH203" s="17">
        <f t="shared" ca="1" si="3"/>
        <v>139</v>
      </c>
      <c r="BI203" s="17"/>
      <c r="BJ203" s="17"/>
    </row>
    <row r="204" spans="1:62" hidden="1">
      <c r="A204">
        <v>27210417</v>
      </c>
      <c r="B204" s="2" t="str">
        <f>HYPERLINK("http://www.windermere.com/index.cfm?fuseaction=Listing.ListingDetail&amp;ListingID=19065829","Active")</f>
        <v>Active</v>
      </c>
      <c r="D204" t="s">
        <v>100</v>
      </c>
      <c r="E204" t="s">
        <v>686</v>
      </c>
      <c r="F204" s="13">
        <v>399950</v>
      </c>
      <c r="G204" t="s">
        <v>191</v>
      </c>
      <c r="H204">
        <v>800</v>
      </c>
      <c r="I204">
        <v>3880</v>
      </c>
      <c r="J204">
        <v>2</v>
      </c>
      <c r="K204">
        <v>1</v>
      </c>
      <c r="M204" s="2" t="str">
        <f>HYPERLINK("http://www.windermere.com/index.cfm?fuseaction=Listing.MapPropertyInteractive&amp;ListingID=19065829&amp;resize=true&amp;windowWidth=800&amp;windowHeight=600","Map")</f>
        <v>Map</v>
      </c>
      <c r="O204" s="2" t="str">
        <f>HYPERLINK("http://www.windermere.com/index.cfm?fuseaction=Listing.MultiImageViewer&amp;ListingID=19065829&amp;ln=27210417&amp;pub_mls=1","More")</f>
        <v>More</v>
      </c>
      <c r="AI204" t="s">
        <v>66</v>
      </c>
      <c r="AJ204">
        <v>98103</v>
      </c>
      <c r="AS204" t="s">
        <v>687</v>
      </c>
      <c r="AT204">
        <v>19065829</v>
      </c>
      <c r="AU204" s="12">
        <v>39495</v>
      </c>
      <c r="BB204" t="s">
        <v>912</v>
      </c>
      <c r="BC204" s="7">
        <v>39423</v>
      </c>
      <c r="BD204">
        <v>3</v>
      </c>
      <c r="BE204" t="s">
        <v>1440</v>
      </c>
      <c r="BG204">
        <v>72</v>
      </c>
      <c r="BH204" s="17">
        <f t="shared" ca="1" si="3"/>
        <v>104</v>
      </c>
      <c r="BI204" s="17"/>
      <c r="BJ204" s="17"/>
    </row>
    <row r="205" spans="1:62" hidden="1">
      <c r="A205">
        <v>27210670</v>
      </c>
      <c r="B205" s="2" t="str">
        <f>HYPERLINK("http://www.windermere.com/index.cfm?fuseaction=Listing.ListingDetail&amp;ListingID=19066064","Active")</f>
        <v>Active</v>
      </c>
      <c r="D205" t="s">
        <v>63</v>
      </c>
      <c r="E205" t="s">
        <v>294</v>
      </c>
      <c r="F205" s="10">
        <v>409950</v>
      </c>
      <c r="G205" t="s">
        <v>247</v>
      </c>
      <c r="H205" s="1">
        <v>1450</v>
      </c>
      <c r="J205">
        <v>3</v>
      </c>
      <c r="K205">
        <v>2.5</v>
      </c>
      <c r="M205" s="2" t="str">
        <f>HYPERLINK("http://www.windermere.com/index.cfm?fuseaction=Listing.MapPropertyInteractive&amp;ListingID=19066064&amp;resize=true&amp;windowWidth=800&amp;windowHeight=600","Map")</f>
        <v>Map</v>
      </c>
      <c r="O205" s="2" t="str">
        <f>HYPERLINK("http://www.windermere.com/index.cfm?fuseaction=Listing.MultiImageViewer&amp;ListingID=19066064&amp;ln=27210670&amp;pub_mls=1","More")</f>
        <v>More</v>
      </c>
      <c r="P205" t="s">
        <v>44</v>
      </c>
      <c r="AI205" t="s">
        <v>66</v>
      </c>
      <c r="AJ205">
        <v>98117</v>
      </c>
      <c r="AS205" t="s">
        <v>295</v>
      </c>
      <c r="AT205">
        <v>19066064</v>
      </c>
      <c r="AU205" s="12">
        <v>39495</v>
      </c>
      <c r="BB205" t="s">
        <v>912</v>
      </c>
      <c r="BC205" s="7">
        <v>39423</v>
      </c>
      <c r="BG205">
        <v>72</v>
      </c>
      <c r="BH205" s="17">
        <f t="shared" ca="1" si="3"/>
        <v>104</v>
      </c>
      <c r="BI205" s="17"/>
      <c r="BJ205" s="17"/>
    </row>
    <row r="206" spans="1:62" hidden="1">
      <c r="A206">
        <v>27216348</v>
      </c>
      <c r="B206" s="4" t="str">
        <f>HYPERLINK("http://www.windermere.com/index.cfm?fuseaction=Listing.ListingDetail&amp;ListingID=19136885","Subject To Inspection")</f>
        <v>Subject To Inspection</v>
      </c>
      <c r="D206" t="s">
        <v>63</v>
      </c>
      <c r="E206" t="s">
        <v>682</v>
      </c>
      <c r="F206" s="13">
        <v>399950</v>
      </c>
      <c r="G206" t="s">
        <v>147</v>
      </c>
      <c r="J206">
        <v>3</v>
      </c>
      <c r="K206">
        <v>3</v>
      </c>
      <c r="M206" s="2" t="str">
        <f>HYPERLINK("http://www.windermere.com/index.cfm?fuseaction=Listing.MapPropertyInteractive&amp;ListingID=19136885&amp;resize=true&amp;windowWidth=800&amp;windowHeight=600","Map")</f>
        <v>Map</v>
      </c>
      <c r="O206" s="2" t="str">
        <f>HYPERLINK("http://www.windermere.com/index.cfm?fuseaction=Listing.MultiImageViewer&amp;ListingID=19136885&amp;ln=27216348&amp;pub_mls=1","More")</f>
        <v>More</v>
      </c>
      <c r="P206" t="s">
        <v>44</v>
      </c>
      <c r="AI206" t="s">
        <v>66</v>
      </c>
      <c r="AJ206">
        <v>98107</v>
      </c>
      <c r="AS206" t="s">
        <v>683</v>
      </c>
      <c r="AT206">
        <v>19136885</v>
      </c>
      <c r="AU206" s="12">
        <v>39495</v>
      </c>
      <c r="BB206" t="s">
        <v>912</v>
      </c>
      <c r="BC206" s="7">
        <v>39445</v>
      </c>
      <c r="BG206">
        <v>50</v>
      </c>
      <c r="BH206" s="17">
        <f t="shared" ca="1" si="3"/>
        <v>82</v>
      </c>
      <c r="BI206" s="17"/>
      <c r="BJ206" s="17"/>
    </row>
    <row r="207" spans="1:62" hidden="1">
      <c r="A207">
        <v>28005248</v>
      </c>
      <c r="B207" s="2" t="str">
        <f>HYPERLINK("http://www.windermere.com/index.cfm?fuseaction=Listing.ListingDetail&amp;ListingID=19182427","Active")</f>
        <v>Active</v>
      </c>
      <c r="D207" t="s">
        <v>63</v>
      </c>
      <c r="E207" t="s">
        <v>688</v>
      </c>
      <c r="F207" s="10">
        <v>409950</v>
      </c>
      <c r="G207" t="s">
        <v>247</v>
      </c>
      <c r="H207" s="1">
        <v>1490</v>
      </c>
      <c r="J207">
        <v>3</v>
      </c>
      <c r="K207">
        <v>2.5</v>
      </c>
      <c r="M207" s="2" t="str">
        <f>HYPERLINK("http://www.windermere.com/index.cfm?fuseaction=Listing.MapPropertyInteractive&amp;ListingID=19182427&amp;resize=true&amp;windowWidth=800&amp;windowHeight=600","Map")</f>
        <v>Map</v>
      </c>
      <c r="O207" s="2" t="str">
        <f>HYPERLINK("http://www.windermere.com/index.cfm?fuseaction=Listing.MultiImageViewer&amp;ListingID=19182427&amp;ln=28005248&amp;pub_mls=1","More")</f>
        <v>More</v>
      </c>
      <c r="P207" t="s">
        <v>44</v>
      </c>
      <c r="AI207" t="s">
        <v>66</v>
      </c>
      <c r="AJ207">
        <v>98107</v>
      </c>
      <c r="AS207" t="s">
        <v>689</v>
      </c>
      <c r="AT207">
        <v>19182427</v>
      </c>
      <c r="AU207" s="12">
        <v>39495</v>
      </c>
      <c r="BB207" t="s">
        <v>912</v>
      </c>
      <c r="BC207" s="7">
        <v>39455</v>
      </c>
      <c r="BG207">
        <v>40</v>
      </c>
      <c r="BH207" s="17">
        <f t="shared" ca="1" si="3"/>
        <v>72</v>
      </c>
      <c r="BI207" s="17"/>
      <c r="BJ207" s="17"/>
    </row>
    <row r="208" spans="1:62" hidden="1">
      <c r="A208">
        <v>28006354</v>
      </c>
      <c r="B208" s="2" t="str">
        <f>HYPERLINK("http://www.windermere.com/index.cfm?fuseaction=Listing.ListingDetail&amp;ListingID=19194143","Active")</f>
        <v>Active</v>
      </c>
      <c r="D208" t="s">
        <v>70</v>
      </c>
      <c r="E208" t="s">
        <v>692</v>
      </c>
      <c r="F208" s="10">
        <v>409950</v>
      </c>
      <c r="G208" t="s">
        <v>157</v>
      </c>
      <c r="H208" s="1">
        <v>1640</v>
      </c>
      <c r="I208">
        <v>8400</v>
      </c>
      <c r="J208">
        <v>3</v>
      </c>
      <c r="K208">
        <v>1.75</v>
      </c>
      <c r="M208" s="2" t="str">
        <f>HYPERLINK("http://www.windermere.com/index.cfm?fuseaction=Listing.MapPropertyInteractive&amp;ListingID=19194143&amp;resize=true&amp;windowWidth=800&amp;windowHeight=600","Map")</f>
        <v>Map</v>
      </c>
      <c r="O208" s="2" t="str">
        <f>HYPERLINK("http://www.windermere.com/index.cfm?fuseaction=Listing.MultiImageViewer&amp;ListingID=19194143&amp;ln=28006354&amp;pub_mls=1","More")</f>
        <v>More</v>
      </c>
      <c r="P208" t="s">
        <v>44</v>
      </c>
      <c r="AI208" t="s">
        <v>66</v>
      </c>
      <c r="AJ208">
        <v>98133</v>
      </c>
      <c r="AS208" t="s">
        <v>693</v>
      </c>
      <c r="AT208">
        <v>19194143</v>
      </c>
      <c r="AU208" s="12">
        <v>39495</v>
      </c>
      <c r="BB208" t="s">
        <v>912</v>
      </c>
      <c r="BC208" s="7">
        <v>39457</v>
      </c>
      <c r="BG208">
        <v>38</v>
      </c>
      <c r="BH208" s="17">
        <f t="shared" ca="1" si="3"/>
        <v>70</v>
      </c>
      <c r="BI208" s="17"/>
      <c r="BJ208" s="17"/>
    </row>
    <row r="209" spans="1:63" hidden="1">
      <c r="A209">
        <v>28027240</v>
      </c>
      <c r="B209" s="2" t="str">
        <f>HYPERLINK("http://www.windermere.com/index.cfm?fuseaction=Listing.ListingDetail&amp;ListingID=19371422","Active")</f>
        <v>Active</v>
      </c>
      <c r="D209" t="s">
        <v>100</v>
      </c>
      <c r="E209" t="s">
        <v>690</v>
      </c>
      <c r="F209" s="10">
        <v>409950</v>
      </c>
      <c r="G209" t="s">
        <v>147</v>
      </c>
      <c r="J209">
        <v>2</v>
      </c>
      <c r="K209">
        <v>1.5</v>
      </c>
      <c r="M209" s="2" t="str">
        <f>HYPERLINK("http://www.windermere.com/index.cfm?fuseaction=Listing.MapPropertyInteractive&amp;ListingID=19371422&amp;resize=true&amp;windowWidth=800&amp;windowHeight=600","Map")</f>
        <v>Map</v>
      </c>
      <c r="O209" s="2" t="str">
        <f>HYPERLINK("http://www.windermere.com/index.cfm?fuseaction=Listing.MultiImageViewer&amp;ListingID=19371422&amp;ln=28027240&amp;pub_mls=1","More")</f>
        <v>More</v>
      </c>
      <c r="AI209" t="s">
        <v>66</v>
      </c>
      <c r="AJ209">
        <v>98103</v>
      </c>
      <c r="AS209" t="s">
        <v>691</v>
      </c>
      <c r="AT209">
        <v>19371422</v>
      </c>
      <c r="AU209" s="12">
        <v>39495</v>
      </c>
      <c r="BB209" t="s">
        <v>912</v>
      </c>
      <c r="BC209" s="7">
        <v>39492</v>
      </c>
      <c r="BG209">
        <v>3</v>
      </c>
      <c r="BH209" s="17">
        <f t="shared" ca="1" si="3"/>
        <v>35</v>
      </c>
      <c r="BI209" s="17"/>
      <c r="BJ209" s="17"/>
    </row>
    <row r="210" spans="1:63" hidden="1">
      <c r="A210">
        <v>28008313</v>
      </c>
      <c r="B210" s="4" t="str">
        <f>HYPERLINK("http://www.windermere.com/index.cfm?fuseaction=Listing.ListingDetail&amp;ListingID=19220500","Subject To Inspection")</f>
        <v>Subject To Inspection</v>
      </c>
      <c r="D210" t="s">
        <v>194</v>
      </c>
      <c r="E210" t="s">
        <v>1119</v>
      </c>
      <c r="F210" s="13">
        <v>399950</v>
      </c>
      <c r="G210" t="s">
        <v>156</v>
      </c>
      <c r="J210">
        <v>3</v>
      </c>
      <c r="K210">
        <v>1</v>
      </c>
      <c r="M210" s="2" t="str">
        <f>HYPERLINK("http://www.windermere.com/index.cfm?fuseaction=Listing.MapPropertyInteractive&amp;ListingID=19220500&amp;resize=true&amp;windowWidth=800&amp;windowHeight=600","Map")</f>
        <v>Map</v>
      </c>
      <c r="O210" s="2" t="str">
        <f>HYPERLINK("http://www.windermere.com/index.cfm?fuseaction=viewGallery.Home&amp;customTourID=195130&amp;wvt=0","More")</f>
        <v>More</v>
      </c>
      <c r="AI210" t="s">
        <v>66</v>
      </c>
      <c r="AJ210">
        <v>98115</v>
      </c>
      <c r="AS210" t="s">
        <v>1120</v>
      </c>
      <c r="AT210">
        <v>19220500</v>
      </c>
      <c r="AU210" s="12">
        <v>39495</v>
      </c>
      <c r="BB210" t="s">
        <v>912</v>
      </c>
      <c r="BC210" s="7">
        <v>39461</v>
      </c>
      <c r="BD210">
        <v>2</v>
      </c>
      <c r="BE210" t="s">
        <v>1376</v>
      </c>
      <c r="BG210">
        <v>34</v>
      </c>
      <c r="BH210" s="17">
        <f t="shared" ca="1" si="3"/>
        <v>66</v>
      </c>
      <c r="BI210" s="17"/>
      <c r="BJ210" s="17"/>
    </row>
    <row r="211" spans="1:63" hidden="1">
      <c r="A211">
        <v>28024167</v>
      </c>
      <c r="B211" s="2" t="str">
        <f>HYPERLINK("http://www.windermere.com/index.cfm?fuseaction=Listing.ListingDetail&amp;ListingID=19344194","Active")</f>
        <v>Active</v>
      </c>
      <c r="D211" t="s">
        <v>99</v>
      </c>
      <c r="E211" t="s">
        <v>292</v>
      </c>
      <c r="F211" s="10">
        <v>414500</v>
      </c>
      <c r="G211" t="s">
        <v>157</v>
      </c>
      <c r="H211" s="1">
        <v>1830</v>
      </c>
      <c r="I211">
        <v>5423</v>
      </c>
      <c r="J211">
        <v>4</v>
      </c>
      <c r="K211">
        <v>2</v>
      </c>
      <c r="M211" s="2" t="str">
        <f>HYPERLINK("http://www.windermere.com/index.cfm?fuseaction=Listing.MapPropertyInteractive&amp;ListingID=19344194&amp;resize=true&amp;windowWidth=800&amp;windowHeight=600","Map")</f>
        <v>Map</v>
      </c>
      <c r="O211" s="2" t="str">
        <f>HYPERLINK("http://www.windermere.com/index.cfm?fuseaction=Listing.MultiImageViewer&amp;ListingID=19344194&amp;ln=28024167&amp;pub_mls=1","More")</f>
        <v>More</v>
      </c>
      <c r="P211" t="s">
        <v>44</v>
      </c>
      <c r="AI211" t="s">
        <v>66</v>
      </c>
      <c r="AJ211">
        <v>98117</v>
      </c>
      <c r="AS211" t="s">
        <v>293</v>
      </c>
      <c r="AT211">
        <v>19344194</v>
      </c>
      <c r="AU211" s="12">
        <v>39495</v>
      </c>
      <c r="BB211" t="s">
        <v>912</v>
      </c>
      <c r="BC211" s="7">
        <v>39486</v>
      </c>
      <c r="BG211">
        <v>9</v>
      </c>
      <c r="BH211" s="17">
        <f t="shared" ca="1" si="3"/>
        <v>41</v>
      </c>
      <c r="BI211" s="17"/>
      <c r="BJ211" s="17"/>
    </row>
    <row r="212" spans="1:63" hidden="1">
      <c r="A212">
        <v>27171459</v>
      </c>
      <c r="B212" s="4" t="str">
        <f>HYPERLINK("http://www.windermere.com/index.cfm?fuseaction=Listing.ListingDetail&amp;ListingID=18667036","Active")</f>
        <v>Active</v>
      </c>
      <c r="D212" t="s">
        <v>188</v>
      </c>
      <c r="E212" t="s">
        <v>1121</v>
      </c>
      <c r="F212" s="10">
        <v>419000</v>
      </c>
      <c r="G212" t="s">
        <v>162</v>
      </c>
      <c r="H212" s="1">
        <v>2060</v>
      </c>
      <c r="I212">
        <v>6588</v>
      </c>
      <c r="J212">
        <v>3</v>
      </c>
      <c r="K212">
        <v>1</v>
      </c>
      <c r="M212" s="2" t="str">
        <f>HYPERLINK("http://www.windermere.com/index.cfm?fuseaction=Listing.MapPropertyInteractive&amp;ListingID=18667036&amp;resize=true&amp;windowWidth=800&amp;windowHeight=600","Map")</f>
        <v>Map</v>
      </c>
      <c r="O212" s="2" t="str">
        <f>HYPERLINK("http://www.windermere.com/index.cfm?fuseaction=Listing.MultiImageViewer&amp;ListingID=18667036&amp;ln=27171459&amp;pub_mls=1","More")</f>
        <v>More</v>
      </c>
      <c r="P212" t="s">
        <v>44</v>
      </c>
      <c r="AI212" t="s">
        <v>66</v>
      </c>
      <c r="AJ212">
        <v>98125</v>
      </c>
      <c r="AS212" t="s">
        <v>1122</v>
      </c>
      <c r="AT212">
        <v>18667036</v>
      </c>
      <c r="AU212" s="12">
        <v>39495</v>
      </c>
      <c r="BB212" t="s">
        <v>912</v>
      </c>
      <c r="BC212" s="7">
        <v>39345</v>
      </c>
      <c r="BG212">
        <v>150</v>
      </c>
      <c r="BH212" s="17">
        <f t="shared" ca="1" si="3"/>
        <v>182</v>
      </c>
      <c r="BI212" s="17"/>
      <c r="BJ212" s="17"/>
      <c r="BK212" t="str">
        <f>B212</f>
        <v>Active</v>
      </c>
    </row>
    <row r="213" spans="1:63" hidden="1">
      <c r="A213">
        <v>27187381</v>
      </c>
      <c r="B213" s="15" t="str">
        <f>HYPERLINK("http://www.windermere.com/index.cfm?fuseaction=Listing.ListingDetail&amp;ListingID=18819961","Subject To Inspection")</f>
        <v>Subject To Inspection</v>
      </c>
      <c r="C213">
        <v>705</v>
      </c>
      <c r="D213" t="s">
        <v>70</v>
      </c>
      <c r="E213" t="s">
        <v>698</v>
      </c>
      <c r="F213" s="10">
        <v>419000</v>
      </c>
      <c r="G213" t="s">
        <v>132</v>
      </c>
      <c r="H213" s="1">
        <v>1230</v>
      </c>
      <c r="I213">
        <v>4800</v>
      </c>
      <c r="J213">
        <v>2</v>
      </c>
      <c r="K213">
        <v>2</v>
      </c>
      <c r="L213">
        <v>1</v>
      </c>
      <c r="M213" s="2" t="str">
        <f>HYPERLINK("http://www.windermere.com/index.cfm?fuseaction=Listing.MapPropertyInteractive&amp;ListingID=18819961&amp;resize=true&amp;windowWidth=800&amp;windowHeight=600","Map")</f>
        <v>Map</v>
      </c>
      <c r="N213" s="2" t="str">
        <f>HYPERLINK("http://locmedia.nwmls.com/DO_NOT_LINK/bigphoto/381/27187381.jpg?tsp=20071023113846","Photo")</f>
        <v>Photo</v>
      </c>
      <c r="O213" s="2" t="str">
        <f>HYPERLINK("http://www.windermere.com/index.cfm?fuseaction=Listing.MultiImageViewer&amp;ListingID=18819961&amp;ln=27187381&amp;pub_mls=1","More")</f>
        <v>More</v>
      </c>
      <c r="P213" t="s">
        <v>44</v>
      </c>
      <c r="Q213" t="s">
        <v>938</v>
      </c>
      <c r="R213" t="s">
        <v>57</v>
      </c>
      <c r="S213" t="s">
        <v>58</v>
      </c>
      <c r="T213" t="s">
        <v>50</v>
      </c>
      <c r="U213" t="s">
        <v>44</v>
      </c>
      <c r="V213" t="s">
        <v>939</v>
      </c>
      <c r="X213" t="s">
        <v>47</v>
      </c>
      <c r="Y213" t="s">
        <v>48</v>
      </c>
      <c r="Z213" t="s">
        <v>940</v>
      </c>
      <c r="AB213">
        <v>2006</v>
      </c>
      <c r="AC213">
        <v>2998</v>
      </c>
      <c r="AD213" t="s">
        <v>941</v>
      </c>
      <c r="AE213" t="s">
        <v>942</v>
      </c>
      <c r="AF213" t="s">
        <v>943</v>
      </c>
      <c r="AG213">
        <v>47.714475</v>
      </c>
      <c r="AH213">
        <v>-122.35021399999999</v>
      </c>
      <c r="AI213" t="s">
        <v>66</v>
      </c>
      <c r="AJ213">
        <v>98133</v>
      </c>
      <c r="AK213" t="s">
        <v>41</v>
      </c>
      <c r="AL213">
        <v>9</v>
      </c>
      <c r="AM213" t="s">
        <v>40</v>
      </c>
      <c r="AO213">
        <v>0.11</v>
      </c>
      <c r="AP213" t="s">
        <v>944</v>
      </c>
      <c r="AQ213">
        <v>504</v>
      </c>
      <c r="AR213" t="s">
        <v>71</v>
      </c>
      <c r="AS213" t="s">
        <v>699</v>
      </c>
      <c r="AT213">
        <v>18819961</v>
      </c>
      <c r="AU213" s="12">
        <v>39495</v>
      </c>
      <c r="BA213" t="s">
        <v>912</v>
      </c>
      <c r="BB213" t="s">
        <v>912</v>
      </c>
      <c r="BC213" s="7">
        <v>39371</v>
      </c>
      <c r="BD213">
        <v>2</v>
      </c>
      <c r="BE213" t="s">
        <v>1406</v>
      </c>
      <c r="BG213">
        <v>124</v>
      </c>
      <c r="BH213" s="17">
        <f t="shared" ca="1" si="3"/>
        <v>156</v>
      </c>
      <c r="BI213" s="17"/>
      <c r="BJ213" s="17"/>
    </row>
    <row r="214" spans="1:63" hidden="1">
      <c r="A214">
        <v>28004081</v>
      </c>
      <c r="B214" s="2" t="str">
        <f>HYPERLINK("http://www.windermere.com/index.cfm?fuseaction=Listing.ListingDetail&amp;ListingID=19174355","Active")</f>
        <v>Active</v>
      </c>
      <c r="D214" t="s">
        <v>199</v>
      </c>
      <c r="E214" t="s">
        <v>696</v>
      </c>
      <c r="F214" s="10">
        <v>419000</v>
      </c>
      <c r="G214" t="s">
        <v>168</v>
      </c>
      <c r="H214" s="1">
        <v>1840</v>
      </c>
      <c r="I214">
        <v>6343</v>
      </c>
      <c r="J214">
        <v>4</v>
      </c>
      <c r="K214">
        <v>2</v>
      </c>
      <c r="M214" s="2" t="str">
        <f>HYPERLINK("http://www.windermere.com/index.cfm?fuseaction=Listing.MapPropertyInteractive&amp;ListingID=19174355&amp;resize=true&amp;windowWidth=800&amp;windowHeight=600","Map")</f>
        <v>Map</v>
      </c>
      <c r="O214" s="2" t="str">
        <f>HYPERLINK("http://www.windermere.com/index.cfm?fuseaction=Listing.MultiImageViewer&amp;ListingID=19174355&amp;ln=28004081&amp;pub_mls=1","More")</f>
        <v>More</v>
      </c>
      <c r="AI214" t="s">
        <v>66</v>
      </c>
      <c r="AJ214">
        <v>98125</v>
      </c>
      <c r="AS214" t="s">
        <v>697</v>
      </c>
      <c r="AT214">
        <v>19174355</v>
      </c>
      <c r="AU214" s="12">
        <v>39495</v>
      </c>
      <c r="BB214" t="s">
        <v>912</v>
      </c>
      <c r="BC214" s="7">
        <v>39454</v>
      </c>
      <c r="BG214">
        <v>41</v>
      </c>
      <c r="BH214" s="17">
        <f t="shared" ca="1" si="3"/>
        <v>73</v>
      </c>
      <c r="BI214" s="17"/>
      <c r="BJ214" s="17"/>
    </row>
    <row r="215" spans="1:63" hidden="1">
      <c r="A215">
        <v>28014970</v>
      </c>
      <c r="B215" s="15" t="str">
        <f>HYPERLINK("http://www.windermere.com/index.cfm?fuseaction=Listing.ListingDetail&amp;ListingID=19280733","Subject To Inspection")</f>
        <v>Subject To Inspection</v>
      </c>
      <c r="D215" t="s">
        <v>218</v>
      </c>
      <c r="E215" t="s">
        <v>694</v>
      </c>
      <c r="F215" s="10">
        <v>419000</v>
      </c>
      <c r="G215" t="s">
        <v>404</v>
      </c>
      <c r="H215" s="1">
        <v>1810</v>
      </c>
      <c r="I215">
        <v>1454</v>
      </c>
      <c r="J215">
        <v>3</v>
      </c>
      <c r="K215">
        <v>3.5</v>
      </c>
      <c r="M215" s="2" t="str">
        <f>HYPERLINK("http://www.windermere.com/index.cfm?fuseaction=Listing.MapPropertyInteractive&amp;ListingID=19280733&amp;resize=true&amp;windowWidth=800&amp;windowHeight=600","Map")</f>
        <v>Map</v>
      </c>
      <c r="O215" s="2" t="str">
        <f>HYPERLINK("http://www.windermere.com/index.cfm?fuseaction=Listing.MultiImageViewer&amp;ListingID=19280733&amp;ln=28014970&amp;pub_mls=1","More")</f>
        <v>More</v>
      </c>
      <c r="P215" t="s">
        <v>44</v>
      </c>
      <c r="AI215" t="s">
        <v>66</v>
      </c>
      <c r="AJ215">
        <v>98115</v>
      </c>
      <c r="AS215" t="s">
        <v>695</v>
      </c>
      <c r="AT215">
        <v>19280733</v>
      </c>
      <c r="AU215" s="12">
        <v>39495</v>
      </c>
      <c r="BB215" t="s">
        <v>912</v>
      </c>
      <c r="BC215" s="7">
        <v>39472</v>
      </c>
      <c r="BD215">
        <v>-3</v>
      </c>
      <c r="BE215" t="s">
        <v>1441</v>
      </c>
      <c r="BG215">
        <v>23</v>
      </c>
      <c r="BH215" s="17">
        <f t="shared" ca="1" si="3"/>
        <v>55</v>
      </c>
      <c r="BI215" s="17"/>
      <c r="BJ215" s="17"/>
    </row>
    <row r="216" spans="1:63" hidden="1">
      <c r="A216">
        <v>28024362</v>
      </c>
      <c r="B216" s="2" t="str">
        <f>HYPERLINK("http://www.windermere.com/index.cfm?fuseaction=Listing.ListingDetail&amp;ListingID=19346825","Active")</f>
        <v>Active</v>
      </c>
      <c r="D216" t="s">
        <v>100</v>
      </c>
      <c r="E216" t="s">
        <v>700</v>
      </c>
      <c r="F216" s="10">
        <v>419500</v>
      </c>
      <c r="G216" t="s">
        <v>147</v>
      </c>
      <c r="H216" s="1">
        <v>1230</v>
      </c>
      <c r="J216">
        <v>2</v>
      </c>
      <c r="K216">
        <v>2.5</v>
      </c>
      <c r="M216" s="2" t="str">
        <f>HYPERLINK("http://www.windermere.com/index.cfm?fuseaction=Listing.MapPropertyInteractive&amp;ListingID=19346825&amp;resize=true&amp;windowWidth=800&amp;windowHeight=600","Map")</f>
        <v>Map</v>
      </c>
      <c r="O216" s="2" t="str">
        <f>HYPERLINK("http://www.windermere.com/index.cfm?fuseaction=Listing.MultiImageViewer&amp;ListingID=19346825&amp;ln=28024362&amp;pub_mls=1","More")</f>
        <v>More</v>
      </c>
      <c r="P216" t="s">
        <v>44</v>
      </c>
      <c r="AI216" t="s">
        <v>66</v>
      </c>
      <c r="AJ216">
        <v>98103</v>
      </c>
      <c r="AS216" t="s">
        <v>701</v>
      </c>
      <c r="AT216">
        <v>19346825</v>
      </c>
      <c r="AU216" s="12">
        <v>39495</v>
      </c>
      <c r="BB216" t="s">
        <v>912</v>
      </c>
      <c r="BC216" s="7">
        <v>39487</v>
      </c>
      <c r="BG216">
        <v>8</v>
      </c>
      <c r="BH216" s="17">
        <f t="shared" ca="1" si="3"/>
        <v>40</v>
      </c>
      <c r="BI216" s="17"/>
      <c r="BJ216" s="17"/>
    </row>
    <row r="217" spans="1:63" hidden="1">
      <c r="A217">
        <v>27172676</v>
      </c>
      <c r="B217" s="15" t="str">
        <f>HYPERLINK("http://www.windermere.com/index.cfm?fuseaction=Listing.ListingDetail&amp;ListingID=18672444","Subject To Inspection")</f>
        <v>Subject To Inspection</v>
      </c>
      <c r="D217" t="s">
        <v>100</v>
      </c>
      <c r="E217" t="s">
        <v>702</v>
      </c>
      <c r="F217" s="10">
        <v>419950</v>
      </c>
      <c r="G217" t="s">
        <v>147</v>
      </c>
      <c r="H217" s="1">
        <v>1140</v>
      </c>
      <c r="J217">
        <v>2</v>
      </c>
      <c r="K217">
        <v>1.5</v>
      </c>
      <c r="M217" s="2" t="str">
        <f>HYPERLINK("http://www.windermere.com/index.cfm?fuseaction=Listing.MapPropertyInteractive&amp;ListingID=18672444&amp;resize=true&amp;windowWidth=800&amp;windowHeight=600","Map")</f>
        <v>Map</v>
      </c>
      <c r="O217" s="2" t="str">
        <f>HYPERLINK("http://www.windermere.com/index.cfm?fuseaction=Listing.MultiImageViewer&amp;ListingID=18672444&amp;ln=27172676&amp;pub_mls=1","More")</f>
        <v>More</v>
      </c>
      <c r="P217" t="s">
        <v>44</v>
      </c>
      <c r="AI217" t="s">
        <v>66</v>
      </c>
      <c r="AJ217">
        <v>98103</v>
      </c>
      <c r="AS217" t="s">
        <v>703</v>
      </c>
      <c r="AT217">
        <v>18672444</v>
      </c>
      <c r="AU217" s="12">
        <v>39495</v>
      </c>
      <c r="BB217" t="s">
        <v>912</v>
      </c>
      <c r="BC217" s="7">
        <v>39345</v>
      </c>
      <c r="BG217">
        <v>150</v>
      </c>
      <c r="BH217" s="17">
        <f t="shared" ca="1" si="3"/>
        <v>182</v>
      </c>
      <c r="BI217" s="17"/>
      <c r="BJ217" s="17"/>
    </row>
    <row r="218" spans="1:63" hidden="1">
      <c r="A218">
        <v>27197076</v>
      </c>
      <c r="B218" s="2" t="str">
        <f>HYPERLINK("http://www.windermere.com/index.cfm?fuseaction=Listing.ListingDetail&amp;ListingID=18915737","Active")</f>
        <v>Active</v>
      </c>
      <c r="D218" t="s">
        <v>60</v>
      </c>
      <c r="E218" t="s">
        <v>704</v>
      </c>
      <c r="F218" s="10">
        <v>419950</v>
      </c>
      <c r="G218" t="s">
        <v>147</v>
      </c>
      <c r="H218" s="1">
        <v>1285</v>
      </c>
      <c r="J218">
        <v>2</v>
      </c>
      <c r="K218">
        <v>2.5</v>
      </c>
      <c r="M218" s="2" t="str">
        <f>HYPERLINK("http://www.windermere.com/index.cfm?fuseaction=Listing.MapPropertyInteractive&amp;ListingID=18915737&amp;resize=true&amp;windowWidth=800&amp;windowHeight=600","Map")</f>
        <v>Map</v>
      </c>
      <c r="O218" s="2" t="str">
        <f>HYPERLINK("http://www.windermere.com/index.cfm?fuseaction=Listing.MultiImageViewer&amp;ListingID=18915737&amp;ln=27197076&amp;pub_mls=1","More")</f>
        <v>More</v>
      </c>
      <c r="P218" t="s">
        <v>44</v>
      </c>
      <c r="AI218" t="s">
        <v>66</v>
      </c>
      <c r="AJ218">
        <v>98115</v>
      </c>
      <c r="AS218" t="s">
        <v>705</v>
      </c>
      <c r="AT218">
        <v>18915737</v>
      </c>
      <c r="AU218" s="12">
        <v>39495</v>
      </c>
      <c r="BB218" t="s">
        <v>912</v>
      </c>
      <c r="BC218" s="7">
        <v>39391</v>
      </c>
      <c r="BG218">
        <v>104</v>
      </c>
      <c r="BH218" s="17">
        <f t="shared" ca="1" si="3"/>
        <v>136</v>
      </c>
      <c r="BI218" s="17"/>
      <c r="BJ218" s="17"/>
    </row>
    <row r="219" spans="1:63" hidden="1">
      <c r="A219">
        <v>28019953</v>
      </c>
      <c r="B219" s="4" t="str">
        <f>HYPERLINK("http://www.windermere.com/index.cfm?fuseaction=Listing.ListingDetail&amp;ListingID=19312784","Subject To Inspection")</f>
        <v>Subject To Inspection</v>
      </c>
      <c r="C219">
        <v>710</v>
      </c>
      <c r="D219" t="s">
        <v>188</v>
      </c>
      <c r="E219" t="s">
        <v>209</v>
      </c>
      <c r="F219" s="10">
        <v>419950</v>
      </c>
      <c r="G219" t="s">
        <v>176</v>
      </c>
      <c r="H219" s="1">
        <v>2540</v>
      </c>
      <c r="I219">
        <v>4950</v>
      </c>
      <c r="J219">
        <v>3</v>
      </c>
      <c r="K219">
        <v>2.75</v>
      </c>
      <c r="L219">
        <v>2</v>
      </c>
      <c r="M219" s="2" t="str">
        <f>HYPERLINK("http://www.windermere.com/index.cfm?fuseaction=Listing.MapPropertyInteractive&amp;ListingID=19312784&amp;resize=true&amp;windowWidth=800&amp;windowHeight=600","Map")</f>
        <v>Map</v>
      </c>
      <c r="N219" s="2" t="str">
        <f>HYPERLINK("http://locmedia.nwmls.com/DO_NOT_LINK/bigphoto/953/28019953.jpg?tsp=20080201191711","Photo")</f>
        <v>Photo</v>
      </c>
      <c r="O219" s="2" t="str">
        <f>HYPERLINK("http://www.windermere.com/index.cfm?fuseaction=Listing.MultiImageViewer&amp;ListingID=19312784&amp;ln=28019953&amp;pub_mls=1","More")</f>
        <v>More</v>
      </c>
      <c r="Q219" t="s">
        <v>82</v>
      </c>
      <c r="R219" t="s">
        <v>72</v>
      </c>
      <c r="S219" t="s">
        <v>53</v>
      </c>
      <c r="T219" t="s">
        <v>77</v>
      </c>
      <c r="X219" t="s">
        <v>47</v>
      </c>
      <c r="Y219" t="s">
        <v>48</v>
      </c>
      <c r="Z219" t="s">
        <v>103</v>
      </c>
      <c r="AB219">
        <v>2007</v>
      </c>
      <c r="AC219">
        <v>3200</v>
      </c>
      <c r="AD219" t="s">
        <v>993</v>
      </c>
      <c r="AE219" t="s">
        <v>210</v>
      </c>
      <c r="AF219" t="s">
        <v>75</v>
      </c>
      <c r="AG219">
        <v>47.713189</v>
      </c>
      <c r="AH219">
        <v>-122.294954</v>
      </c>
      <c r="AI219" t="s">
        <v>66</v>
      </c>
      <c r="AJ219">
        <v>98125</v>
      </c>
      <c r="AK219" t="s">
        <v>41</v>
      </c>
      <c r="AL219" t="s">
        <v>40</v>
      </c>
      <c r="AM219" t="s">
        <v>40</v>
      </c>
      <c r="AO219">
        <v>0.114</v>
      </c>
      <c r="AP219" t="s">
        <v>994</v>
      </c>
      <c r="AQ219">
        <v>505</v>
      </c>
      <c r="AR219" t="s">
        <v>211</v>
      </c>
      <c r="AS219" t="s">
        <v>1123</v>
      </c>
      <c r="AT219">
        <v>19312784</v>
      </c>
      <c r="AU219" s="12">
        <v>39495</v>
      </c>
      <c r="BA219" t="s">
        <v>912</v>
      </c>
      <c r="BB219" t="s">
        <v>912</v>
      </c>
      <c r="BC219" s="7">
        <v>39479</v>
      </c>
      <c r="BG219">
        <v>16</v>
      </c>
      <c r="BH219" s="17">
        <f t="shared" ca="1" si="3"/>
        <v>48</v>
      </c>
      <c r="BI219" s="17"/>
      <c r="BJ219" s="17"/>
    </row>
    <row r="220" spans="1:63" hidden="1">
      <c r="A220">
        <v>28021761</v>
      </c>
      <c r="B220" s="2" t="str">
        <f>HYPERLINK("http://www.windermere.com/index.cfm?fuseaction=Listing.ListingDetail&amp;ListingID=19327024","Active")</f>
        <v>Active</v>
      </c>
      <c r="C220">
        <v>710</v>
      </c>
      <c r="D220" t="s">
        <v>199</v>
      </c>
      <c r="E220" t="s">
        <v>706</v>
      </c>
      <c r="F220" s="10">
        <v>419950</v>
      </c>
      <c r="G220" t="s">
        <v>156</v>
      </c>
      <c r="H220" s="1">
        <v>2200</v>
      </c>
      <c r="I220">
        <v>4684</v>
      </c>
      <c r="J220">
        <v>4</v>
      </c>
      <c r="K220">
        <v>1.75</v>
      </c>
      <c r="L220">
        <v>2</v>
      </c>
      <c r="M220" s="2" t="str">
        <f>HYPERLINK("http://www.windermere.com/index.cfm?fuseaction=Listing.MapPropertyInteractive&amp;ListingID=19327024&amp;resize=true&amp;windowWidth=800&amp;windowHeight=600","Map")</f>
        <v>Map</v>
      </c>
      <c r="N220" s="2" t="str">
        <f>HYPERLINK("http://locmedia.nwmls.com/DO_NOT_LINK/bigphoto/761/28021761.jpg?tsp=20080206124209","Photo")</f>
        <v>Photo</v>
      </c>
      <c r="O220" s="2" t="str">
        <f>HYPERLINK("http://www.windermere.com/index.cfm?fuseaction=Listing.MultiImageViewer&amp;ListingID=19327024&amp;ln=28021761&amp;pub_mls=1","More")</f>
        <v>More</v>
      </c>
      <c r="Q220" t="s">
        <v>56</v>
      </c>
      <c r="R220" t="s">
        <v>67</v>
      </c>
      <c r="S220" t="s">
        <v>212</v>
      </c>
      <c r="T220" t="s">
        <v>62</v>
      </c>
      <c r="U220" t="s">
        <v>44</v>
      </c>
      <c r="X220" t="s">
        <v>47</v>
      </c>
      <c r="Y220" t="s">
        <v>48</v>
      </c>
      <c r="Z220" t="s">
        <v>68</v>
      </c>
      <c r="AA220" t="s">
        <v>107</v>
      </c>
      <c r="AB220">
        <v>2007</v>
      </c>
      <c r="AC220">
        <v>2770</v>
      </c>
      <c r="AD220" t="s">
        <v>990</v>
      </c>
      <c r="AE220" t="s">
        <v>51</v>
      </c>
      <c r="AF220" t="s">
        <v>991</v>
      </c>
      <c r="AG220">
        <v>47.727043000000002</v>
      </c>
      <c r="AH220">
        <v>-122.304028</v>
      </c>
      <c r="AI220" t="s">
        <v>66</v>
      </c>
      <c r="AJ220">
        <v>98125</v>
      </c>
      <c r="AK220" t="s">
        <v>41</v>
      </c>
      <c r="AL220">
        <v>8</v>
      </c>
      <c r="AM220" t="s">
        <v>40</v>
      </c>
      <c r="AO220">
        <v>0.108</v>
      </c>
      <c r="AP220" t="s">
        <v>992</v>
      </c>
      <c r="AQ220">
        <v>505</v>
      </c>
      <c r="AR220" t="s">
        <v>105</v>
      </c>
      <c r="AS220" t="s">
        <v>707</v>
      </c>
      <c r="AT220">
        <v>19327024</v>
      </c>
      <c r="AU220" s="12">
        <v>39495</v>
      </c>
      <c r="BA220" t="s">
        <v>912</v>
      </c>
      <c r="BB220" t="s">
        <v>912</v>
      </c>
      <c r="BC220" s="7">
        <v>39483</v>
      </c>
      <c r="BG220">
        <v>12</v>
      </c>
      <c r="BH220" s="17">
        <f t="shared" ca="1" si="3"/>
        <v>44</v>
      </c>
      <c r="BI220" s="17"/>
      <c r="BJ220" s="17"/>
    </row>
    <row r="221" spans="1:63" hidden="1">
      <c r="A221">
        <v>28003703</v>
      </c>
      <c r="B221" s="2" t="str">
        <f>HYPERLINK("http://www.windermere.com/index.cfm?fuseaction=Listing.ListingDetail&amp;ListingID=19172134","Active")</f>
        <v>Active</v>
      </c>
      <c r="D221" t="s">
        <v>63</v>
      </c>
      <c r="E221" t="s">
        <v>708</v>
      </c>
      <c r="F221" s="18">
        <v>405000</v>
      </c>
      <c r="G221" t="s">
        <v>147</v>
      </c>
      <c r="J221">
        <v>2</v>
      </c>
      <c r="K221">
        <v>1.5</v>
      </c>
      <c r="M221" s="2" t="str">
        <f>HYPERLINK("http://www.windermere.com/index.cfm?fuseaction=Listing.MapPropertyInteractive&amp;ListingID=19172134&amp;resize=true&amp;windowWidth=800&amp;windowHeight=600","Map")</f>
        <v>Map</v>
      </c>
      <c r="O221" s="2" t="str">
        <f>HYPERLINK("http://www.windermere.com/index.cfm?fuseaction=Listing.MultiImageViewer&amp;ListingID=19172134&amp;ln=28003703&amp;pub_mls=1","More")</f>
        <v>More</v>
      </c>
      <c r="AI221" t="s">
        <v>66</v>
      </c>
      <c r="AJ221">
        <v>98107</v>
      </c>
      <c r="AS221" t="s">
        <v>709</v>
      </c>
      <c r="AT221">
        <v>19172134</v>
      </c>
      <c r="AU221" s="12">
        <v>39495</v>
      </c>
      <c r="BB221" t="s">
        <v>912</v>
      </c>
      <c r="BC221" s="7">
        <v>39453</v>
      </c>
      <c r="BG221">
        <v>42</v>
      </c>
      <c r="BH221" s="17">
        <f t="shared" ca="1" si="3"/>
        <v>74</v>
      </c>
      <c r="BI221" s="17"/>
      <c r="BJ221" s="17"/>
    </row>
    <row r="222" spans="1:63" hidden="1">
      <c r="A222">
        <v>28023230</v>
      </c>
      <c r="B222" s="4" t="str">
        <f>HYPERLINK("http://www.windermere.com/index.cfm?fuseaction=Listing.ListingDetail&amp;ListingID=19341714","Subject To Inspection")</f>
        <v>Subject To Inspection</v>
      </c>
      <c r="C222">
        <v>705</v>
      </c>
      <c r="D222" t="s">
        <v>63</v>
      </c>
      <c r="E222" t="s">
        <v>710</v>
      </c>
      <c r="F222" s="10">
        <v>420000</v>
      </c>
      <c r="G222" t="s">
        <v>162</v>
      </c>
      <c r="H222" s="1">
        <v>1700</v>
      </c>
      <c r="I222">
        <v>3135</v>
      </c>
      <c r="J222">
        <v>3</v>
      </c>
      <c r="K222">
        <v>1.5</v>
      </c>
      <c r="L222">
        <v>1</v>
      </c>
      <c r="M222" s="2" t="str">
        <f>HYPERLINK("http://www.windermere.com/index.cfm?fuseaction=Listing.MapPropertyInteractive&amp;ListingID=19341714&amp;resize=true&amp;windowWidth=800&amp;windowHeight=600","Map")</f>
        <v>Map</v>
      </c>
      <c r="N222" s="2" t="str">
        <f>HYPERLINK("http://locmedia.nwmls.com/DO_NOT_LINK/bigphoto/230/28023230.jpg?tsp=20080209142617","Photo")</f>
        <v>Photo</v>
      </c>
      <c r="O222" s="2" t="str">
        <f>HYPERLINK("http://www.windermere.com/index.cfm?fuseaction=Listing.MultiImageViewer&amp;ListingID=19341714&amp;ln=28023230&amp;pub_mls=1","More")</f>
        <v>More</v>
      </c>
      <c r="P222" t="s">
        <v>44</v>
      </c>
      <c r="Q222" t="s">
        <v>56</v>
      </c>
      <c r="R222" t="s">
        <v>67</v>
      </c>
      <c r="S222" t="s">
        <v>945</v>
      </c>
      <c r="T222" t="s">
        <v>54</v>
      </c>
      <c r="U222" t="s">
        <v>44</v>
      </c>
      <c r="X222" t="s">
        <v>47</v>
      </c>
      <c r="Y222" t="s">
        <v>48</v>
      </c>
      <c r="Z222" t="s">
        <v>87</v>
      </c>
      <c r="AA222" t="s">
        <v>33</v>
      </c>
      <c r="AB222">
        <v>2007</v>
      </c>
      <c r="AC222">
        <v>3104</v>
      </c>
      <c r="AD222" t="s">
        <v>946</v>
      </c>
      <c r="AF222" t="s">
        <v>111</v>
      </c>
      <c r="AG222">
        <v>47.669441999999997</v>
      </c>
      <c r="AH222">
        <v>-122.370991</v>
      </c>
      <c r="AI222" t="s">
        <v>66</v>
      </c>
      <c r="AJ222">
        <v>98107</v>
      </c>
      <c r="AK222" t="s">
        <v>41</v>
      </c>
      <c r="AL222" t="s">
        <v>40</v>
      </c>
      <c r="AM222" t="s">
        <v>40</v>
      </c>
      <c r="AO222">
        <v>7.1999999999999995E-2</v>
      </c>
      <c r="AP222" t="s">
        <v>947</v>
      </c>
      <c r="AQ222">
        <v>534</v>
      </c>
      <c r="AR222" t="s">
        <v>948</v>
      </c>
      <c r="AS222" t="s">
        <v>711</v>
      </c>
      <c r="AT222">
        <v>19341714</v>
      </c>
      <c r="AU222" s="12">
        <v>39495</v>
      </c>
      <c r="BA222" t="s">
        <v>912</v>
      </c>
      <c r="BB222" t="s">
        <v>912</v>
      </c>
      <c r="BC222" s="7">
        <v>39486</v>
      </c>
      <c r="BG222">
        <v>9</v>
      </c>
      <c r="BH222" s="17">
        <f t="shared" ca="1" si="3"/>
        <v>41</v>
      </c>
      <c r="BI222" s="17"/>
      <c r="BJ222" s="17"/>
    </row>
    <row r="223" spans="1:63" hidden="1">
      <c r="A223">
        <v>28028089</v>
      </c>
      <c r="B223" s="15" t="str">
        <f>HYPERLINK("http://www.windermere.com/index.cfm?fuseaction=Listing.ListingDetail&amp;ListingID=19377990","Subject To Inspection")</f>
        <v>Subject To Inspection</v>
      </c>
      <c r="D223" t="s">
        <v>63</v>
      </c>
      <c r="E223" t="s">
        <v>290</v>
      </c>
      <c r="F223" s="10">
        <v>424500</v>
      </c>
      <c r="G223" t="s">
        <v>247</v>
      </c>
      <c r="H223" s="1">
        <v>1500</v>
      </c>
      <c r="J223">
        <v>3</v>
      </c>
      <c r="K223">
        <v>3.25</v>
      </c>
      <c r="M223" s="2" t="str">
        <f>HYPERLINK("http://www.windermere.com/index.cfm?fuseaction=Listing.MapPropertyInteractive&amp;ListingID=19377990&amp;resize=true&amp;windowWidth=800&amp;windowHeight=600","Map")</f>
        <v>Map</v>
      </c>
      <c r="O223" s="2" t="str">
        <f>HYPERLINK("http://www.windermere.com/index.cfm?fuseaction=Listing.MultiImageViewer&amp;ListingID=19377990&amp;ln=28028089&amp;pub_mls=1","More")</f>
        <v>More</v>
      </c>
      <c r="P223" t="s">
        <v>44</v>
      </c>
      <c r="AI223" t="s">
        <v>66</v>
      </c>
      <c r="AJ223">
        <v>98117</v>
      </c>
      <c r="AS223" t="s">
        <v>291</v>
      </c>
      <c r="AT223">
        <v>19377990</v>
      </c>
      <c r="AU223" s="12">
        <v>39495</v>
      </c>
      <c r="BB223" t="s">
        <v>912</v>
      </c>
      <c r="BC223" s="7">
        <v>39493</v>
      </c>
      <c r="BD223">
        <v>-3</v>
      </c>
      <c r="BE223" t="s">
        <v>1407</v>
      </c>
      <c r="BG223" s="6">
        <v>2</v>
      </c>
      <c r="BH223" s="17">
        <f t="shared" ca="1" si="3"/>
        <v>34</v>
      </c>
      <c r="BI223" s="17"/>
      <c r="BJ223" s="17"/>
    </row>
    <row r="224" spans="1:63" hidden="1">
      <c r="A224">
        <v>28000429</v>
      </c>
      <c r="B224" s="2" t="str">
        <f>HYPERLINK("http://www.windermere.com/index.cfm?fuseaction=Listing.ListingDetail&amp;ListingID=19145144","Active")</f>
        <v>Active</v>
      </c>
      <c r="D224" t="s">
        <v>204</v>
      </c>
      <c r="E224" s="3" t="s">
        <v>1548</v>
      </c>
      <c r="F224" s="13">
        <v>399950</v>
      </c>
      <c r="G224" t="s">
        <v>147</v>
      </c>
      <c r="H224" s="21">
        <v>1470</v>
      </c>
      <c r="I224">
        <v>7630</v>
      </c>
      <c r="J224">
        <v>3</v>
      </c>
      <c r="K224">
        <v>3</v>
      </c>
      <c r="M224" s="2" t="str">
        <f>HYPERLINK("http://www.windermere.com/index.cfm?fuseaction=Listing.MapPropertyInteractive&amp;ListingID=19145144&amp;resize=true&amp;windowWidth=800&amp;windowHeight=600","Map")</f>
        <v>Map</v>
      </c>
      <c r="O224" s="2" t="str">
        <f>HYPERLINK("http://www.windermere.com/index.cfm?fuseaction=Listing.MultiImageViewer&amp;ListingID=19145144&amp;ln=28000429&amp;pub_mls=1","More")</f>
        <v>More</v>
      </c>
      <c r="AI224" t="s">
        <v>66</v>
      </c>
      <c r="AJ224">
        <v>98125</v>
      </c>
      <c r="AS224" t="s">
        <v>712</v>
      </c>
      <c r="AT224">
        <v>19145144</v>
      </c>
      <c r="AU224" s="12">
        <v>39495</v>
      </c>
      <c r="BB224" t="s">
        <v>912</v>
      </c>
      <c r="BC224" s="7">
        <v>39449</v>
      </c>
      <c r="BD224">
        <v>-3</v>
      </c>
      <c r="BE224" t="s">
        <v>1563</v>
      </c>
      <c r="BG224" s="6">
        <v>46</v>
      </c>
      <c r="BH224" s="17">
        <f t="shared" ca="1" si="3"/>
        <v>78</v>
      </c>
      <c r="BI224" s="17"/>
      <c r="BJ224" s="17"/>
    </row>
    <row r="225" spans="1:62" hidden="1">
      <c r="A225">
        <v>28008476</v>
      </c>
      <c r="B225" s="2" t="str">
        <f>HYPERLINK("http://www.windermere.com/index.cfm?fuseaction=Listing.ListingDetail&amp;ListingID=19221188","Active")</f>
        <v>Active</v>
      </c>
      <c r="D225" t="s">
        <v>60</v>
      </c>
      <c r="E225" t="s">
        <v>713</v>
      </c>
      <c r="F225" s="10">
        <v>424950</v>
      </c>
      <c r="G225" t="s">
        <v>247</v>
      </c>
      <c r="H225" s="14">
        <v>1800</v>
      </c>
      <c r="I225">
        <v>1120</v>
      </c>
      <c r="J225">
        <v>3</v>
      </c>
      <c r="K225">
        <v>3</v>
      </c>
      <c r="M225" s="2" t="str">
        <f>HYPERLINK("http://www.windermere.com/index.cfm?fuseaction=Listing.MapPropertyInteractive&amp;ListingID=19221188&amp;resize=true&amp;windowWidth=800&amp;windowHeight=600","Map")</f>
        <v>Map</v>
      </c>
      <c r="P225" t="s">
        <v>44</v>
      </c>
      <c r="AI225" t="s">
        <v>66</v>
      </c>
      <c r="AJ225">
        <v>98103</v>
      </c>
      <c r="AS225" t="s">
        <v>714</v>
      </c>
      <c r="AT225">
        <v>19221188</v>
      </c>
      <c r="AU225" s="12">
        <v>39495</v>
      </c>
      <c r="BB225" t="s">
        <v>912</v>
      </c>
      <c r="BC225" s="7">
        <v>39461</v>
      </c>
      <c r="BG225">
        <v>34</v>
      </c>
      <c r="BH225" s="17">
        <f t="shared" ca="1" si="3"/>
        <v>66</v>
      </c>
      <c r="BI225" s="17"/>
      <c r="BJ225" s="17"/>
    </row>
    <row r="226" spans="1:62" hidden="1">
      <c r="A226">
        <v>28019710</v>
      </c>
      <c r="B226" s="2" t="str">
        <f>HYPERLINK("http://www.windermere.com/index.cfm?fuseaction=Listing.ListingDetail&amp;ListingID=19311311","Active")</f>
        <v>Active</v>
      </c>
      <c r="D226" t="s">
        <v>194</v>
      </c>
      <c r="E226" t="s">
        <v>197</v>
      </c>
      <c r="F226" s="18">
        <v>399950</v>
      </c>
      <c r="G226" t="s">
        <v>124</v>
      </c>
      <c r="H226">
        <v>930</v>
      </c>
      <c r="I226">
        <v>8280</v>
      </c>
      <c r="J226">
        <v>2</v>
      </c>
      <c r="K226">
        <v>1</v>
      </c>
      <c r="M226" s="2" t="str">
        <f>HYPERLINK("http://www.windermere.com/index.cfm?fuseaction=Listing.MapPropertyInteractive&amp;ListingID=19311311&amp;resize=true&amp;windowWidth=800&amp;windowHeight=600","Map")</f>
        <v>Map</v>
      </c>
      <c r="O226" s="2" t="str">
        <f>HYPERLINK("http://www.windermere.com/index.cfm?fuseaction=Listing.MultiImageViewer&amp;ListingID=19311311&amp;ln=28019710&amp;pub_mls=1","More")</f>
        <v>More</v>
      </c>
      <c r="AI226" t="s">
        <v>66</v>
      </c>
      <c r="AJ226">
        <v>98125</v>
      </c>
      <c r="AS226" t="s">
        <v>1124</v>
      </c>
      <c r="AT226">
        <v>19311311</v>
      </c>
      <c r="AU226" s="12">
        <v>39495</v>
      </c>
      <c r="BB226" t="s">
        <v>912</v>
      </c>
      <c r="BC226" s="7">
        <v>39479</v>
      </c>
      <c r="BG226">
        <v>16</v>
      </c>
      <c r="BH226" s="17">
        <f t="shared" ca="1" si="3"/>
        <v>48</v>
      </c>
      <c r="BI226" s="17"/>
      <c r="BJ226" s="17"/>
    </row>
    <row r="227" spans="1:62" hidden="1">
      <c r="A227">
        <v>28012553</v>
      </c>
      <c r="B227" s="2" t="str">
        <f>HYPERLINK("http://www.windermere.com/index.cfm?fuseaction=Listing.ListingDetail&amp;ListingID=19255159","Active")</f>
        <v>Active</v>
      </c>
      <c r="D227" t="s">
        <v>88</v>
      </c>
      <c r="E227" t="s">
        <v>717</v>
      </c>
      <c r="F227" s="10">
        <v>425000</v>
      </c>
      <c r="G227" t="s">
        <v>718</v>
      </c>
      <c r="H227" s="1">
        <v>1920</v>
      </c>
      <c r="J227">
        <v>2</v>
      </c>
      <c r="K227">
        <v>1</v>
      </c>
      <c r="M227" s="2" t="str">
        <f>HYPERLINK("http://www.windermere.com/index.cfm?fuseaction=Listing.MapPropertyInteractive&amp;ListingID=19255159&amp;resize=true&amp;windowWidth=800&amp;windowHeight=600","Map")</f>
        <v>Map</v>
      </c>
      <c r="O227" s="2" t="str">
        <f>HYPERLINK("http://www.windermere.com/index.cfm?fuseaction=viewGallery.Home&amp;customTourID=204986&amp;wvt=0","More")</f>
        <v>More</v>
      </c>
      <c r="AI227" t="s">
        <v>66</v>
      </c>
      <c r="AJ227">
        <v>98103</v>
      </c>
      <c r="AS227" t="s">
        <v>719</v>
      </c>
      <c r="AT227">
        <v>19255159</v>
      </c>
      <c r="AU227" s="12">
        <v>39495</v>
      </c>
      <c r="BB227" t="s">
        <v>912</v>
      </c>
      <c r="BC227" s="7">
        <v>39467</v>
      </c>
      <c r="BG227">
        <v>28</v>
      </c>
      <c r="BH227" s="17">
        <f t="shared" ca="1" si="3"/>
        <v>60</v>
      </c>
      <c r="BI227" s="17"/>
      <c r="BJ227" s="17"/>
    </row>
    <row r="228" spans="1:62" hidden="1">
      <c r="A228">
        <v>28013811</v>
      </c>
      <c r="B228" s="2" t="str">
        <f>HYPERLINK("http://www.windermere.com/index.cfm?fuseaction=Listing.ListingDetail&amp;ListingID=19267253","Active")</f>
        <v>Active</v>
      </c>
      <c r="D228" t="s">
        <v>99</v>
      </c>
      <c r="E228" t="s">
        <v>145</v>
      </c>
      <c r="F228" s="13">
        <v>400000</v>
      </c>
      <c r="G228" t="s">
        <v>146</v>
      </c>
      <c r="H228" s="1">
        <v>1380</v>
      </c>
      <c r="I228">
        <v>5400</v>
      </c>
      <c r="J228">
        <v>2</v>
      </c>
      <c r="K228">
        <v>2.25</v>
      </c>
      <c r="M228" s="2" t="str">
        <f>HYPERLINK("http://www.windermere.com/index.cfm?fuseaction=Listing.MapPropertyInteractive&amp;ListingID=19267253&amp;resize=true&amp;windowWidth=800&amp;windowHeight=600","Map")</f>
        <v>Map</v>
      </c>
      <c r="O228" s="2" t="str">
        <f>HYPERLINK("http://www.windermere.com/index.cfm?fuseaction=Listing.MultiImageViewer&amp;ListingID=19267253&amp;ln=28013811&amp;pub_mls=1","More")</f>
        <v>More</v>
      </c>
      <c r="AI228" t="s">
        <v>66</v>
      </c>
      <c r="AJ228">
        <v>98117</v>
      </c>
      <c r="AS228" t="s">
        <v>312</v>
      </c>
      <c r="AT228">
        <v>19267253</v>
      </c>
      <c r="AU228" s="12">
        <v>39495</v>
      </c>
      <c r="BB228" t="s">
        <v>912</v>
      </c>
      <c r="BC228" s="7">
        <v>39470</v>
      </c>
      <c r="BG228">
        <v>25</v>
      </c>
      <c r="BH228" s="17">
        <f t="shared" ca="1" si="3"/>
        <v>57</v>
      </c>
      <c r="BI228" s="17"/>
      <c r="BJ228" s="17"/>
    </row>
    <row r="229" spans="1:62" hidden="1">
      <c r="A229">
        <v>28014246</v>
      </c>
      <c r="B229" s="2" t="str">
        <f>HYPERLINK("http://www.windermere.com/index.cfm?fuseaction=Listing.ListingDetail&amp;ListingID=19275831","Active")</f>
        <v>Active</v>
      </c>
      <c r="D229" t="s">
        <v>213</v>
      </c>
      <c r="E229" t="s">
        <v>1125</v>
      </c>
      <c r="F229" s="18">
        <v>399950</v>
      </c>
      <c r="G229" t="s">
        <v>1126</v>
      </c>
      <c r="H229" s="1">
        <v>2180</v>
      </c>
      <c r="I229">
        <v>4120</v>
      </c>
      <c r="J229">
        <v>4</v>
      </c>
      <c r="K229">
        <v>1.75</v>
      </c>
      <c r="M229" s="2" t="str">
        <f>HYPERLINK("http://www.windermere.com/index.cfm?fuseaction=Listing.MapPropertyInteractive&amp;ListingID=19275831&amp;resize=true&amp;windowWidth=800&amp;windowHeight=600","Map")</f>
        <v>Map</v>
      </c>
      <c r="O229" s="2" t="str">
        <f>HYPERLINK("http://www.windermere.com/index.cfm?fuseaction=viewGallery.Home&amp;customTourID=205538&amp;wvt=0","More")</f>
        <v>More</v>
      </c>
      <c r="AI229" t="s">
        <v>66</v>
      </c>
      <c r="AJ229">
        <v>98125</v>
      </c>
      <c r="AS229" t="s">
        <v>1127</v>
      </c>
      <c r="AT229">
        <v>19275831</v>
      </c>
      <c r="AU229" s="12">
        <v>39495</v>
      </c>
      <c r="BB229" t="s">
        <v>912</v>
      </c>
      <c r="BC229" s="7">
        <v>39471</v>
      </c>
      <c r="BG229">
        <v>24</v>
      </c>
      <c r="BH229" s="17">
        <f t="shared" ca="1" si="3"/>
        <v>56</v>
      </c>
      <c r="BI229" s="17"/>
      <c r="BJ229" s="17"/>
    </row>
    <row r="230" spans="1:62" hidden="1">
      <c r="A230">
        <v>28019939</v>
      </c>
      <c r="B230" s="2" t="str">
        <f>HYPERLINK("http://www.windermere.com/index.cfm?fuseaction=Listing.ListingDetail&amp;ListingID=19315502","Active")</f>
        <v>Active</v>
      </c>
      <c r="C230">
        <v>710</v>
      </c>
      <c r="D230" t="s">
        <v>920</v>
      </c>
      <c r="E230" t="s">
        <v>720</v>
      </c>
      <c r="F230" s="10">
        <v>425000</v>
      </c>
      <c r="G230" t="s">
        <v>419</v>
      </c>
      <c r="H230" s="1">
        <v>1640</v>
      </c>
      <c r="I230">
        <v>6600</v>
      </c>
      <c r="J230">
        <v>3</v>
      </c>
      <c r="K230">
        <v>1.75</v>
      </c>
      <c r="L230">
        <v>1</v>
      </c>
      <c r="M230" s="2" t="str">
        <f>HYPERLINK("http://www.windermere.com/index.cfm?fuseaction=Listing.MapPropertyInteractive&amp;ListingID=19315502&amp;resize=true&amp;windowWidth=800&amp;windowHeight=600","Map")</f>
        <v>Map</v>
      </c>
      <c r="N230" s="2" t="str">
        <f>HYPERLINK("http://locmedia.nwmls.com/DO_NOT_LINK/bigphoto/939/28019939.jpg?tsp=20080202225008","Photo")</f>
        <v>Photo</v>
      </c>
      <c r="O230" s="2" t="str">
        <f>HYPERLINK("http://www.windermere.com/index.cfm?fuseaction=Listing.MultiImageViewer&amp;ListingID=19315502&amp;ln=28019939&amp;pub_mls=1","More")</f>
        <v>More</v>
      </c>
      <c r="Q230" t="s">
        <v>198</v>
      </c>
      <c r="R230" t="s">
        <v>67</v>
      </c>
      <c r="S230" t="s">
        <v>995</v>
      </c>
      <c r="T230" t="s">
        <v>54</v>
      </c>
      <c r="U230" t="s">
        <v>44</v>
      </c>
      <c r="X230" t="s">
        <v>47</v>
      </c>
      <c r="Y230" t="s">
        <v>48</v>
      </c>
      <c r="Z230" t="s">
        <v>85</v>
      </c>
      <c r="AB230">
        <v>2007</v>
      </c>
      <c r="AC230">
        <v>2761</v>
      </c>
      <c r="AD230" t="s">
        <v>996</v>
      </c>
      <c r="AF230" t="s">
        <v>997</v>
      </c>
      <c r="AG230">
        <v>47.713388000000002</v>
      </c>
      <c r="AH230">
        <v>-122.32479499999999</v>
      </c>
      <c r="AI230" t="s">
        <v>66</v>
      </c>
      <c r="AJ230">
        <v>98125</v>
      </c>
      <c r="AK230" t="s">
        <v>41</v>
      </c>
      <c r="AL230">
        <v>3</v>
      </c>
      <c r="AM230" t="s">
        <v>40</v>
      </c>
      <c r="AO230">
        <v>0.152</v>
      </c>
      <c r="AP230" t="s">
        <v>998</v>
      </c>
      <c r="AQ230">
        <v>505</v>
      </c>
      <c r="AR230" t="s">
        <v>999</v>
      </c>
      <c r="AS230" t="s">
        <v>721</v>
      </c>
      <c r="AT230">
        <v>19315502</v>
      </c>
      <c r="AU230" s="12">
        <v>39495</v>
      </c>
      <c r="BA230" t="s">
        <v>912</v>
      </c>
      <c r="BB230" t="s">
        <v>912</v>
      </c>
      <c r="BC230" s="7">
        <v>39480</v>
      </c>
      <c r="BG230">
        <v>15</v>
      </c>
      <c r="BH230" s="17">
        <f t="shared" ca="1" si="3"/>
        <v>47</v>
      </c>
      <c r="BI230" s="17"/>
      <c r="BJ230" s="17"/>
    </row>
    <row r="231" spans="1:62" hidden="1">
      <c r="A231">
        <v>28022244</v>
      </c>
      <c r="B231" s="15" t="str">
        <f>HYPERLINK("http://www.windermere.com/index.cfm?fuseaction=Listing.ListingDetail&amp;ListingID=19331172","Subject To Inspection")</f>
        <v>Subject To Inspection</v>
      </c>
      <c r="C231">
        <v>705</v>
      </c>
      <c r="D231" t="s">
        <v>99</v>
      </c>
      <c r="E231" t="s">
        <v>310</v>
      </c>
      <c r="F231" s="10">
        <v>425000</v>
      </c>
      <c r="G231" t="s">
        <v>236</v>
      </c>
      <c r="H231" s="1">
        <v>1650</v>
      </c>
      <c r="I231">
        <v>6788</v>
      </c>
      <c r="J231">
        <v>3</v>
      </c>
      <c r="K231">
        <v>1.5</v>
      </c>
      <c r="L231">
        <v>2</v>
      </c>
      <c r="M231" s="2" t="str">
        <f>HYPERLINK("http://www.windermere.com/index.cfm?fuseaction=Listing.MapPropertyInteractive&amp;ListingID=19331172&amp;resize=true&amp;windowWidth=800&amp;windowHeight=600","Map")</f>
        <v>Map</v>
      </c>
      <c r="N231" s="2" t="str">
        <f>HYPERLINK("http://locmedia.nwmls.com/DO_NOT_LINK/bigphoto/244/28022244.jpg?tsp=20080206135406","Photo")</f>
        <v>Photo</v>
      </c>
      <c r="O231" s="2" t="str">
        <f>HYPERLINK("http://www.windermere.com/index.cfm?fuseaction=Listing.MultiImageViewer&amp;ListingID=19331172&amp;ln=28022244&amp;pub_mls=1","More")</f>
        <v>More</v>
      </c>
      <c r="Q231" t="s">
        <v>56</v>
      </c>
      <c r="R231" t="s">
        <v>72</v>
      </c>
      <c r="S231" t="s">
        <v>76</v>
      </c>
      <c r="T231" t="s">
        <v>77</v>
      </c>
      <c r="U231" t="s">
        <v>44</v>
      </c>
      <c r="V231">
        <v>28</v>
      </c>
      <c r="X231" t="s">
        <v>47</v>
      </c>
      <c r="Y231" t="s">
        <v>48</v>
      </c>
      <c r="Z231" t="s">
        <v>949</v>
      </c>
      <c r="AA231" t="s">
        <v>96</v>
      </c>
      <c r="AB231">
        <v>2007</v>
      </c>
      <c r="AC231">
        <v>3021</v>
      </c>
      <c r="AD231" t="s">
        <v>950</v>
      </c>
      <c r="AE231" t="s">
        <v>51</v>
      </c>
      <c r="AF231" t="s">
        <v>951</v>
      </c>
      <c r="AG231">
        <v>47.695498000000001</v>
      </c>
      <c r="AH231">
        <v>-122.367361</v>
      </c>
      <c r="AI231" t="s">
        <v>66</v>
      </c>
      <c r="AJ231">
        <v>98117</v>
      </c>
      <c r="AK231" t="s">
        <v>41</v>
      </c>
      <c r="AL231">
        <v>4</v>
      </c>
      <c r="AM231" t="s">
        <v>40</v>
      </c>
      <c r="AO231">
        <v>0.156</v>
      </c>
      <c r="AP231" t="s">
        <v>952</v>
      </c>
      <c r="AQ231">
        <v>504</v>
      </c>
      <c r="AR231" t="s">
        <v>91</v>
      </c>
      <c r="AS231" t="s">
        <v>311</v>
      </c>
      <c r="AT231">
        <v>19331172</v>
      </c>
      <c r="AU231" s="12">
        <v>39495</v>
      </c>
      <c r="BA231" t="s">
        <v>912</v>
      </c>
      <c r="BB231" t="s">
        <v>912</v>
      </c>
      <c r="BC231" s="7">
        <v>39484</v>
      </c>
      <c r="BD231">
        <v>2</v>
      </c>
      <c r="BE231" t="s">
        <v>1408</v>
      </c>
      <c r="BG231">
        <v>11</v>
      </c>
      <c r="BH231" s="17">
        <f t="shared" ca="1" si="3"/>
        <v>43</v>
      </c>
      <c r="BI231" s="17"/>
      <c r="BJ231" s="17"/>
    </row>
    <row r="232" spans="1:62" hidden="1">
      <c r="A232">
        <v>28028065</v>
      </c>
      <c r="B232" s="15" t="str">
        <f>HYPERLINK("http://www.windermere.com/index.cfm?fuseaction=Listing.ListingDetail&amp;ListingID=19378564","Subject To Inspection")</f>
        <v>Subject To Inspection</v>
      </c>
      <c r="D232" t="s">
        <v>194</v>
      </c>
      <c r="E232" t="s">
        <v>715</v>
      </c>
      <c r="F232" s="10">
        <v>425000</v>
      </c>
      <c r="G232" t="s">
        <v>168</v>
      </c>
      <c r="H232" s="1">
        <v>1250</v>
      </c>
      <c r="I232">
        <v>8293</v>
      </c>
      <c r="J232">
        <v>2</v>
      </c>
      <c r="K232">
        <v>1</v>
      </c>
      <c r="M232" s="2" t="str">
        <f>HYPERLINK("http://www.windermere.com/index.cfm?fuseaction=Listing.MapPropertyInteractive&amp;ListingID=19378564&amp;resize=true&amp;windowWidth=800&amp;windowHeight=600","Map")</f>
        <v>Map</v>
      </c>
      <c r="O232" s="2" t="str">
        <f>HYPERLINK("http://www.windermere.com/index.cfm?fuseaction=viewGallery.Home&amp;customTourID=207795&amp;wvt=0","More")</f>
        <v>More</v>
      </c>
      <c r="AI232" t="s">
        <v>66</v>
      </c>
      <c r="AJ232">
        <v>98115</v>
      </c>
      <c r="AS232" t="s">
        <v>716</v>
      </c>
      <c r="AT232">
        <v>19378564</v>
      </c>
      <c r="AU232" s="12">
        <v>39495</v>
      </c>
      <c r="BB232" t="s">
        <v>912</v>
      </c>
      <c r="BC232" s="7">
        <v>39493</v>
      </c>
      <c r="BD232">
        <v>3</v>
      </c>
      <c r="BE232" t="s">
        <v>1377</v>
      </c>
      <c r="BG232">
        <v>2</v>
      </c>
      <c r="BH232" s="17">
        <f t="shared" ca="1" si="3"/>
        <v>34</v>
      </c>
      <c r="BI232" s="17"/>
      <c r="BJ232" s="17"/>
    </row>
    <row r="233" spans="1:62" hidden="1">
      <c r="A233">
        <v>27211711</v>
      </c>
      <c r="B233" s="2" t="str">
        <f>HYPERLINK("http://www.windermere.com/index.cfm?fuseaction=Listing.ListingDetail&amp;ListingID=19082312","Active")</f>
        <v>Active</v>
      </c>
      <c r="D233" t="s">
        <v>109</v>
      </c>
      <c r="E233" t="s">
        <v>722</v>
      </c>
      <c r="F233" s="10">
        <v>425950</v>
      </c>
      <c r="G233" t="s">
        <v>142</v>
      </c>
      <c r="H233" s="1">
        <v>1370</v>
      </c>
      <c r="I233">
        <v>5031</v>
      </c>
      <c r="J233">
        <v>3</v>
      </c>
      <c r="K233">
        <v>1</v>
      </c>
      <c r="M233" s="2" t="str">
        <f>HYPERLINK("http://www.windermere.com/index.cfm?fuseaction=Listing.MapPropertyInteractive&amp;ListingID=19082312&amp;resize=true&amp;windowWidth=800&amp;windowHeight=600","Map")</f>
        <v>Map</v>
      </c>
      <c r="O233" s="2" t="str">
        <f>HYPERLINK("http://www.windermere.com/index.cfm?fuseaction=Listing.MultiImageViewer&amp;ListingID=19082312&amp;ln=27211711&amp;pub_mls=1","More")</f>
        <v>More</v>
      </c>
      <c r="P233" t="s">
        <v>44</v>
      </c>
      <c r="AI233" t="s">
        <v>66</v>
      </c>
      <c r="AJ233">
        <v>98015</v>
      </c>
      <c r="AS233" t="s">
        <v>723</v>
      </c>
      <c r="AT233">
        <v>19082312</v>
      </c>
      <c r="AU233" s="12">
        <v>39495</v>
      </c>
      <c r="BB233" t="s">
        <v>912</v>
      </c>
      <c r="BC233" s="7">
        <v>39427</v>
      </c>
      <c r="BG233">
        <v>68</v>
      </c>
      <c r="BH233" s="17">
        <f t="shared" ca="1" si="3"/>
        <v>100</v>
      </c>
      <c r="BI233" s="17"/>
      <c r="BJ233" s="17"/>
    </row>
    <row r="234" spans="1:62" hidden="1">
      <c r="A234">
        <v>27213586</v>
      </c>
      <c r="B234" s="2" t="str">
        <f>HYPERLINK("http://www.windermere.com/index.cfm?fuseaction=Listing.ListingDetail&amp;ListingID=19102324","Active")</f>
        <v>Active</v>
      </c>
      <c r="D234" t="s">
        <v>202</v>
      </c>
      <c r="E234" t="s">
        <v>724</v>
      </c>
      <c r="F234" s="10">
        <v>426950</v>
      </c>
      <c r="G234" t="s">
        <v>124</v>
      </c>
      <c r="H234" s="1">
        <v>1610</v>
      </c>
      <c r="I234">
        <v>7500</v>
      </c>
      <c r="J234">
        <v>3</v>
      </c>
      <c r="K234">
        <v>1</v>
      </c>
      <c r="M234" s="2" t="str">
        <f>HYPERLINK("http://www.windermere.com/index.cfm?fuseaction=Listing.MapPropertyInteractive&amp;ListingID=19102324&amp;resize=true&amp;windowWidth=800&amp;windowHeight=600","Map")</f>
        <v>Map</v>
      </c>
      <c r="O234" s="2" t="str">
        <f>HYPERLINK("http://www.windermere.com/index.cfm?fuseaction=Listing.MultiImageViewer&amp;ListingID=19102324&amp;ln=27213586&amp;pub_mls=1","More")</f>
        <v>More</v>
      </c>
      <c r="AI234" t="s">
        <v>66</v>
      </c>
      <c r="AJ234">
        <v>98125</v>
      </c>
      <c r="AS234" t="s">
        <v>725</v>
      </c>
      <c r="AT234">
        <v>19102324</v>
      </c>
      <c r="AU234" s="12">
        <v>39495</v>
      </c>
      <c r="BB234" t="s">
        <v>912</v>
      </c>
      <c r="BC234" s="7">
        <v>39432</v>
      </c>
      <c r="BG234">
        <v>63</v>
      </c>
      <c r="BH234" s="17">
        <f t="shared" ca="1" si="3"/>
        <v>95</v>
      </c>
      <c r="BI234" s="17"/>
      <c r="BJ234" s="17"/>
    </row>
    <row r="235" spans="1:62" hidden="1">
      <c r="A235">
        <v>28020999</v>
      </c>
      <c r="B235" s="2" t="str">
        <f>HYPERLINK("http://www.windermere.com/index.cfm?fuseaction=Listing.ListingDetail&amp;ListingID=19321801","Active")</f>
        <v>Active</v>
      </c>
      <c r="C235">
        <v>705</v>
      </c>
      <c r="D235" t="s">
        <v>66</v>
      </c>
      <c r="E235" t="s">
        <v>308</v>
      </c>
      <c r="F235" s="10">
        <v>428000</v>
      </c>
      <c r="G235" t="s">
        <v>191</v>
      </c>
      <c r="H235" s="1">
        <v>1960</v>
      </c>
      <c r="I235">
        <v>4800</v>
      </c>
      <c r="J235">
        <v>3</v>
      </c>
      <c r="K235">
        <v>2.5</v>
      </c>
      <c r="L235">
        <v>1</v>
      </c>
      <c r="M235" s="2" t="str">
        <f>HYPERLINK("http://www.windermere.com/index.cfm?fuseaction=Listing.MapPropertyInteractive&amp;ListingID=19321801&amp;resize=true&amp;windowWidth=800&amp;windowHeight=600","Map")</f>
        <v>Map</v>
      </c>
      <c r="N235" s="2" t="str">
        <f>HYPERLINK("http://locmedia.nwmls.com/DO_NOT_LINK/bigphoto/999/28020999.jpg?tsp=20080204204440","Photo")</f>
        <v>Photo</v>
      </c>
      <c r="O235" s="2" t="str">
        <f>HYPERLINK("http://www.windermere.com/index.cfm?fuseaction=Listing.MultiImageViewer&amp;ListingID=19321801&amp;ln=28020999&amp;pub_mls=1","More")</f>
        <v>More</v>
      </c>
      <c r="Q235" t="s">
        <v>56</v>
      </c>
      <c r="R235" t="s">
        <v>94</v>
      </c>
      <c r="S235" t="s">
        <v>58</v>
      </c>
      <c r="T235" t="s">
        <v>62</v>
      </c>
      <c r="U235" t="s">
        <v>44</v>
      </c>
      <c r="X235" t="s">
        <v>47</v>
      </c>
      <c r="Y235" t="s">
        <v>48</v>
      </c>
      <c r="Z235" t="s">
        <v>108</v>
      </c>
      <c r="AA235" t="s">
        <v>33</v>
      </c>
      <c r="AB235">
        <v>2007</v>
      </c>
      <c r="AC235">
        <v>3865</v>
      </c>
      <c r="AD235" t="s">
        <v>953</v>
      </c>
      <c r="AE235" t="s">
        <v>110</v>
      </c>
      <c r="AF235" t="s">
        <v>75</v>
      </c>
      <c r="AG235">
        <v>47.686495999999998</v>
      </c>
      <c r="AH235">
        <v>-122.378922</v>
      </c>
      <c r="AI235" t="s">
        <v>66</v>
      </c>
      <c r="AJ235">
        <v>98117</v>
      </c>
      <c r="AK235" t="s">
        <v>41</v>
      </c>
      <c r="AL235">
        <v>4</v>
      </c>
      <c r="AM235" t="s">
        <v>40</v>
      </c>
      <c r="AO235">
        <v>0.11</v>
      </c>
      <c r="AP235" t="s">
        <v>954</v>
      </c>
      <c r="AQ235">
        <v>534</v>
      </c>
      <c r="AR235" t="s">
        <v>64</v>
      </c>
      <c r="AS235" t="s">
        <v>309</v>
      </c>
      <c r="AT235">
        <v>19321801</v>
      </c>
      <c r="AU235" s="12">
        <v>39495</v>
      </c>
      <c r="BA235" t="s">
        <v>912</v>
      </c>
      <c r="BB235" t="s">
        <v>912</v>
      </c>
      <c r="BC235" s="7">
        <v>39482</v>
      </c>
      <c r="BG235">
        <v>13</v>
      </c>
      <c r="BH235" s="17">
        <f t="shared" ca="1" si="3"/>
        <v>45</v>
      </c>
      <c r="BI235" s="17"/>
      <c r="BJ235" s="17"/>
    </row>
    <row r="236" spans="1:62" hidden="1">
      <c r="A236">
        <v>28023571</v>
      </c>
      <c r="B236" s="2" t="str">
        <f>HYPERLINK("http://www.windermere.com/index.cfm?fuseaction=Listing.ListingDetail&amp;ListingID=19340919","Active")</f>
        <v>Active</v>
      </c>
      <c r="D236" t="s">
        <v>63</v>
      </c>
      <c r="E236" t="s">
        <v>727</v>
      </c>
      <c r="F236" s="10">
        <v>429000</v>
      </c>
      <c r="G236" t="s">
        <v>674</v>
      </c>
      <c r="H236" s="1">
        <v>1525</v>
      </c>
      <c r="I236">
        <v>1473</v>
      </c>
      <c r="J236">
        <v>3</v>
      </c>
      <c r="K236">
        <v>2.25</v>
      </c>
      <c r="M236" s="2" t="str">
        <f>HYPERLINK("http://www.windermere.com/index.cfm?fuseaction=Listing.MapPropertyInteractive&amp;ListingID=19340919&amp;resize=true&amp;windowWidth=800&amp;windowHeight=600","Map")</f>
        <v>Map</v>
      </c>
      <c r="O236" s="2" t="str">
        <f>HYPERLINK("http://www.windermere.com/index.cfm?fuseaction=Listing.MultiImageViewer&amp;ListingID=19340919&amp;ln=28023571&amp;pub_mls=1","More")</f>
        <v>More</v>
      </c>
      <c r="AI236" t="s">
        <v>66</v>
      </c>
      <c r="AJ236">
        <v>98107</v>
      </c>
      <c r="AS236" t="s">
        <v>728</v>
      </c>
      <c r="AT236">
        <v>19340919</v>
      </c>
      <c r="AU236" s="12">
        <v>39495</v>
      </c>
      <c r="BB236" t="s">
        <v>912</v>
      </c>
      <c r="BC236" s="7">
        <v>39486</v>
      </c>
      <c r="BG236">
        <v>9</v>
      </c>
      <c r="BH236" s="17">
        <f t="shared" ca="1" si="3"/>
        <v>41</v>
      </c>
      <c r="BI236" s="17"/>
      <c r="BJ236" s="17"/>
    </row>
    <row r="237" spans="1:62" hidden="1">
      <c r="A237">
        <v>28025980</v>
      </c>
      <c r="B237" s="2" t="str">
        <f>HYPERLINK("http://www.windermere.com/index.cfm?fuseaction=Listing.ListingDetail&amp;ListingID=19357984","Active")</f>
        <v>Active</v>
      </c>
      <c r="D237" t="s">
        <v>194</v>
      </c>
      <c r="E237" s="3" t="s">
        <v>1365</v>
      </c>
      <c r="F237" s="10">
        <v>429000</v>
      </c>
      <c r="G237" t="s">
        <v>161</v>
      </c>
      <c r="H237" s="1">
        <v>2030</v>
      </c>
      <c r="I237">
        <v>5209</v>
      </c>
      <c r="J237">
        <v>3</v>
      </c>
      <c r="K237">
        <v>1.75</v>
      </c>
      <c r="M237" s="2" t="str">
        <f>HYPERLINK("http://www.windermere.com/index.cfm?fuseaction=Listing.MapPropertyInteractive&amp;ListingID=19357984&amp;resize=true&amp;windowWidth=800&amp;windowHeight=600","Map")</f>
        <v>Map</v>
      </c>
      <c r="O237" s="2" t="str">
        <f>HYPERLINK("http://www.windermere.com/index.cfm?fuseaction=viewGallery.Home&amp;customTourID=205644&amp;wvt=0","More")</f>
        <v>More</v>
      </c>
      <c r="AI237" t="s">
        <v>66</v>
      </c>
      <c r="AJ237">
        <v>98115</v>
      </c>
      <c r="AS237" t="s">
        <v>726</v>
      </c>
      <c r="AT237">
        <v>19357984</v>
      </c>
      <c r="AU237" s="12">
        <v>39495</v>
      </c>
      <c r="BB237" t="s">
        <v>912</v>
      </c>
      <c r="BC237" s="7">
        <v>39490</v>
      </c>
      <c r="BG237">
        <v>5</v>
      </c>
      <c r="BH237" s="17">
        <f t="shared" ca="1" si="3"/>
        <v>37</v>
      </c>
      <c r="BI237" s="17"/>
      <c r="BJ237" s="17"/>
    </row>
    <row r="238" spans="1:62" hidden="1">
      <c r="A238">
        <v>27186914</v>
      </c>
      <c r="B238" s="2" t="str">
        <f>HYPERLINK("http://www.windermere.com/index.cfm?fuseaction=Listing.ListingDetail&amp;ListingID=18817368","Active")</f>
        <v>Active</v>
      </c>
      <c r="D238" t="s">
        <v>63</v>
      </c>
      <c r="E238" t="s">
        <v>141</v>
      </c>
      <c r="F238" s="10">
        <v>429500</v>
      </c>
      <c r="G238" t="s">
        <v>142</v>
      </c>
      <c r="H238" s="1">
        <v>1350</v>
      </c>
      <c r="I238">
        <v>5100</v>
      </c>
      <c r="J238">
        <v>2</v>
      </c>
      <c r="K238">
        <v>1</v>
      </c>
      <c r="M238" s="2" t="str">
        <f>HYPERLINK("http://www.windermere.com/index.cfm?fuseaction=Listing.MapPropertyInteractive&amp;ListingID=18817368&amp;resize=true&amp;windowWidth=800&amp;windowHeight=600","Map")</f>
        <v>Map</v>
      </c>
      <c r="O238" s="2" t="str">
        <f>HYPERLINK("http://www.windermere.com/index.cfm?fuseaction=Listing.MultiImageViewer&amp;ListingID=18817368&amp;ln=27186914&amp;pub_mls=1","More")</f>
        <v>More</v>
      </c>
      <c r="P238" t="s">
        <v>44</v>
      </c>
      <c r="AI238" t="s">
        <v>66</v>
      </c>
      <c r="AJ238">
        <v>98117</v>
      </c>
      <c r="AS238" t="s">
        <v>289</v>
      </c>
      <c r="AT238">
        <v>18817368</v>
      </c>
      <c r="AU238" s="12">
        <v>39495</v>
      </c>
      <c r="BB238" t="s">
        <v>912</v>
      </c>
      <c r="BC238" s="7">
        <v>39371</v>
      </c>
      <c r="BG238">
        <v>124</v>
      </c>
      <c r="BH238" s="17">
        <f t="shared" ca="1" si="3"/>
        <v>156</v>
      </c>
      <c r="BI238" s="17"/>
      <c r="BJ238" s="17"/>
    </row>
    <row r="239" spans="1:62" hidden="1">
      <c r="A239">
        <v>28024113</v>
      </c>
      <c r="B239" s="2" t="str">
        <f>HYPERLINK("http://www.windermere.com/index.cfm?fuseaction=Listing.ListingDetail&amp;ListingID=19347523","Active")</f>
        <v>Active</v>
      </c>
      <c r="D239" t="s">
        <v>192</v>
      </c>
      <c r="E239" t="s">
        <v>729</v>
      </c>
      <c r="F239" s="10">
        <v>429850</v>
      </c>
      <c r="G239" t="s">
        <v>176</v>
      </c>
      <c r="H239" s="1">
        <v>1600</v>
      </c>
      <c r="I239">
        <v>6380</v>
      </c>
      <c r="J239">
        <v>3</v>
      </c>
      <c r="K239">
        <v>1</v>
      </c>
      <c r="M239" s="2" t="str">
        <f>HYPERLINK("http://www.windermere.com/index.cfm?fuseaction=Listing.MapPropertyInteractive&amp;ListingID=19347523&amp;resize=true&amp;windowWidth=800&amp;windowHeight=600","Map")</f>
        <v>Map</v>
      </c>
      <c r="O239" s="2" t="str">
        <f>HYPERLINK("http://www.windermere.com/index.cfm?fuseaction=viewGallery.Home&amp;customTourID=207160&amp;wvt=0","More")</f>
        <v>More</v>
      </c>
      <c r="P239" t="s">
        <v>44</v>
      </c>
      <c r="AI239" t="s">
        <v>66</v>
      </c>
      <c r="AJ239">
        <v>98125</v>
      </c>
      <c r="AS239" t="s">
        <v>730</v>
      </c>
      <c r="AT239">
        <v>19347523</v>
      </c>
      <c r="AU239" s="12">
        <v>39495</v>
      </c>
      <c r="BB239" t="s">
        <v>912</v>
      </c>
      <c r="BC239" s="7">
        <v>39487</v>
      </c>
      <c r="BG239">
        <v>8</v>
      </c>
      <c r="BH239" s="17">
        <f t="shared" ca="1" si="3"/>
        <v>40</v>
      </c>
      <c r="BI239" s="17"/>
      <c r="BJ239" s="17"/>
    </row>
    <row r="240" spans="1:62" hidden="1">
      <c r="A240">
        <v>28004294</v>
      </c>
      <c r="B240" s="2" t="str">
        <f>HYPERLINK("http://www.windermere.com/index.cfm?fuseaction=Listing.ListingDetail&amp;ListingID=19198666","Active")</f>
        <v>Active</v>
      </c>
      <c r="D240" t="s">
        <v>70</v>
      </c>
      <c r="E240" t="s">
        <v>732</v>
      </c>
      <c r="F240" s="18">
        <v>415000</v>
      </c>
      <c r="G240" t="s">
        <v>146</v>
      </c>
      <c r="H240" s="1">
        <v>1530</v>
      </c>
      <c r="I240">
        <v>6750</v>
      </c>
      <c r="J240">
        <v>3</v>
      </c>
      <c r="K240">
        <v>1</v>
      </c>
      <c r="M240" s="2" t="str">
        <f>HYPERLINK("http://www.windermere.com/index.cfm?fuseaction=Listing.MapPropertyInteractive&amp;ListingID=19198666&amp;resize=true&amp;windowWidth=800&amp;windowHeight=600","Map")</f>
        <v>Map</v>
      </c>
      <c r="O240" s="2" t="str">
        <f>HYPERLINK("http://www.windermere.com/index.cfm?fuseaction=viewGallery.Home&amp;customTourID=204172&amp;wvt=0","More")</f>
        <v>More</v>
      </c>
      <c r="AI240" t="s">
        <v>66</v>
      </c>
      <c r="AJ240">
        <v>98177</v>
      </c>
      <c r="AS240" t="s">
        <v>733</v>
      </c>
      <c r="AT240">
        <v>19198666</v>
      </c>
      <c r="AU240" s="12">
        <v>39495</v>
      </c>
      <c r="BB240" t="s">
        <v>912</v>
      </c>
      <c r="BC240" s="7">
        <v>39458</v>
      </c>
      <c r="BG240">
        <v>37</v>
      </c>
      <c r="BH240" s="17">
        <f t="shared" ca="1" si="3"/>
        <v>69</v>
      </c>
      <c r="BI240" s="17"/>
      <c r="BJ240" s="17"/>
    </row>
    <row r="241" spans="1:63" hidden="1">
      <c r="A241">
        <v>26060501</v>
      </c>
      <c r="B241" s="2" t="str">
        <f>HYPERLINK("http://www.windermere.com/index.cfm?fuseaction=Listing.ListingDetail&amp;ListingID=7018919","Subject To Inspection")</f>
        <v>Subject To Inspection</v>
      </c>
      <c r="D241" t="s">
        <v>188</v>
      </c>
      <c r="E241" t="s">
        <v>1128</v>
      </c>
      <c r="F241" s="10">
        <v>430000</v>
      </c>
      <c r="G241" t="s">
        <v>154</v>
      </c>
      <c r="I241">
        <v>13680</v>
      </c>
      <c r="J241">
        <v>3</v>
      </c>
      <c r="K241">
        <v>1</v>
      </c>
      <c r="M241" s="2" t="str">
        <f>HYPERLINK("http://www.windermere.com/index.cfm?fuseaction=Listing.MapPropertyInteractive&amp;ListingID=7018919&amp;resize=true&amp;windowWidth=800&amp;windowHeight=600","Map")</f>
        <v>Map</v>
      </c>
      <c r="AI241" t="s">
        <v>66</v>
      </c>
      <c r="AJ241">
        <v>98125</v>
      </c>
      <c r="AS241" t="s">
        <v>1129</v>
      </c>
      <c r="AT241">
        <v>7018919</v>
      </c>
      <c r="AU241" s="12">
        <v>39495</v>
      </c>
      <c r="BB241" t="s">
        <v>912</v>
      </c>
      <c r="BC241" s="7">
        <v>38832</v>
      </c>
      <c r="BD241">
        <v>-1</v>
      </c>
      <c r="BG241">
        <v>663</v>
      </c>
      <c r="BH241" s="17">
        <f t="shared" ca="1" si="3"/>
        <v>695</v>
      </c>
      <c r="BI241" s="17"/>
      <c r="BJ241" s="17"/>
      <c r="BK241" t="str">
        <f>B241</f>
        <v>Subject To Inspection</v>
      </c>
    </row>
    <row r="242" spans="1:63" hidden="1">
      <c r="A242">
        <v>27193790</v>
      </c>
      <c r="B242" s="2" t="str">
        <f>HYPERLINK("http://www.windermere.com/index.cfm?fuseaction=Listing.ListingDetail&amp;ListingID=18882240","Active")</f>
        <v>Active</v>
      </c>
      <c r="D242" t="s">
        <v>192</v>
      </c>
      <c r="E242" t="s">
        <v>193</v>
      </c>
      <c r="F242" s="13">
        <v>424950</v>
      </c>
      <c r="G242" t="s">
        <v>135</v>
      </c>
      <c r="H242" s="1">
        <v>1600</v>
      </c>
      <c r="I242">
        <v>5080</v>
      </c>
      <c r="J242">
        <v>3</v>
      </c>
      <c r="K242">
        <v>2</v>
      </c>
      <c r="M242" s="2" t="str">
        <f>HYPERLINK("http://www.windermere.com/index.cfm?fuseaction=Listing.MapPropertyInteractive&amp;ListingID=18882240&amp;resize=true&amp;windowWidth=800&amp;windowHeight=600","Map")</f>
        <v>Map</v>
      </c>
      <c r="O242" s="2" t="str">
        <f>HYPERLINK("http://www.windermere.com/index.cfm?fuseaction=Listing.MultiImageViewer&amp;ListingID=18882240&amp;ln=27193790&amp;pub_mls=1","More")</f>
        <v>More</v>
      </c>
      <c r="P242" t="s">
        <v>44</v>
      </c>
      <c r="AI242" t="s">
        <v>66</v>
      </c>
      <c r="AJ242">
        <v>98115</v>
      </c>
      <c r="AS242" t="s">
        <v>734</v>
      </c>
      <c r="AT242">
        <v>18882240</v>
      </c>
      <c r="AU242" s="12">
        <v>39495</v>
      </c>
      <c r="BB242" t="s">
        <v>912</v>
      </c>
      <c r="BC242" s="7">
        <v>39384</v>
      </c>
      <c r="BG242">
        <v>111</v>
      </c>
      <c r="BH242" s="17">
        <f t="shared" ca="1" si="3"/>
        <v>143</v>
      </c>
      <c r="BI242" s="17"/>
      <c r="BJ242" s="17"/>
    </row>
    <row r="243" spans="1:63" hidden="1">
      <c r="A243">
        <v>28012862</v>
      </c>
      <c r="B243" s="2" t="str">
        <f>HYPERLINK("http://www.windermere.com/index.cfm?fuseaction=Listing.ListingDetail&amp;ListingID=19280257","Active")</f>
        <v>Active</v>
      </c>
      <c r="D243" t="s">
        <v>60</v>
      </c>
      <c r="E243" t="s">
        <v>737</v>
      </c>
      <c r="F243" s="10">
        <v>430000</v>
      </c>
      <c r="G243" t="s">
        <v>154</v>
      </c>
      <c r="H243">
        <v>860</v>
      </c>
      <c r="I243">
        <v>2526</v>
      </c>
      <c r="J243">
        <v>2</v>
      </c>
      <c r="K243">
        <v>1</v>
      </c>
      <c r="M243" s="2" t="str">
        <f>HYPERLINK("http://www.windermere.com/index.cfm?fuseaction=Listing.MapPropertyInteractive&amp;ListingID=19280257&amp;resize=true&amp;windowWidth=800&amp;windowHeight=600","Map")</f>
        <v>Map</v>
      </c>
      <c r="O243" s="2" t="str">
        <f>HYPERLINK("http://www.windermere.com/index.cfm?fuseaction=Listing.MultiImageViewer&amp;ListingID=19280257&amp;ln=28012862&amp;pub_mls=1","More")</f>
        <v>More</v>
      </c>
      <c r="AI243" t="s">
        <v>66</v>
      </c>
      <c r="AJ243">
        <v>98115</v>
      </c>
      <c r="AS243" t="s">
        <v>738</v>
      </c>
      <c r="AT243">
        <v>19280257</v>
      </c>
      <c r="AU243" s="12">
        <v>39495</v>
      </c>
      <c r="BB243" t="s">
        <v>912</v>
      </c>
      <c r="BC243" s="7">
        <v>39472</v>
      </c>
      <c r="BG243">
        <v>23</v>
      </c>
      <c r="BH243" s="17">
        <f t="shared" ca="1" si="3"/>
        <v>55</v>
      </c>
      <c r="BI243" s="17"/>
      <c r="BJ243" s="17"/>
    </row>
    <row r="244" spans="1:63" hidden="1">
      <c r="A244">
        <v>28018831</v>
      </c>
      <c r="B244" s="2" t="str">
        <f>HYPERLINK("http://www.windermere.com/index.cfm?fuseaction=Listing.ListingDetail&amp;ListingID=19320055","Active")</f>
        <v>Active</v>
      </c>
      <c r="C244">
        <v>705</v>
      </c>
      <c r="D244" t="s">
        <v>55</v>
      </c>
      <c r="E244" t="s">
        <v>735</v>
      </c>
      <c r="F244" s="18">
        <v>419500</v>
      </c>
      <c r="G244" t="s">
        <v>135</v>
      </c>
      <c r="H244" s="1">
        <v>2300</v>
      </c>
      <c r="I244">
        <v>5060</v>
      </c>
      <c r="J244">
        <v>5</v>
      </c>
      <c r="K244">
        <v>1.75</v>
      </c>
      <c r="L244">
        <v>1</v>
      </c>
      <c r="M244" s="2" t="str">
        <f>HYPERLINK("http://www.windermere.com/index.cfm?fuseaction=Listing.MapPropertyInteractive&amp;ListingID=19320055&amp;resize=true&amp;windowWidth=800&amp;windowHeight=600","Map")</f>
        <v>Map</v>
      </c>
      <c r="N244" s="2" t="str">
        <f>HYPERLINK("http://locmedia.nwmls.com/DO_NOT_LINK/bigphoto/831/28018831.jpg?tsp=20080205145011","Photo")</f>
        <v>Photo</v>
      </c>
      <c r="O244" s="2" t="str">
        <f>HYPERLINK("http://www.windermere.com/index.cfm?fuseaction=Listing.MultiImageViewer&amp;ListingID=19320055&amp;ln=28018831&amp;pub_mls=1","More")</f>
        <v>More</v>
      </c>
      <c r="Q244" t="s">
        <v>93</v>
      </c>
      <c r="R244" t="s">
        <v>955</v>
      </c>
      <c r="S244" t="s">
        <v>53</v>
      </c>
      <c r="T244" t="s">
        <v>90</v>
      </c>
      <c r="U244" t="s">
        <v>44</v>
      </c>
      <c r="V244">
        <v>358</v>
      </c>
      <c r="X244" t="s">
        <v>47</v>
      </c>
      <c r="Y244" t="s">
        <v>48</v>
      </c>
      <c r="Z244" t="s">
        <v>956</v>
      </c>
      <c r="AA244" t="s">
        <v>957</v>
      </c>
      <c r="AB244">
        <v>2007</v>
      </c>
      <c r="AC244">
        <v>3420</v>
      </c>
      <c r="AD244" t="s">
        <v>958</v>
      </c>
      <c r="AE244" t="s">
        <v>206</v>
      </c>
      <c r="AF244" t="s">
        <v>959</v>
      </c>
      <c r="AG244">
        <v>47.695656999999997</v>
      </c>
      <c r="AH244">
        <v>-122.34629200000001</v>
      </c>
      <c r="AI244" t="s">
        <v>66</v>
      </c>
      <c r="AJ244">
        <v>98103</v>
      </c>
      <c r="AK244" t="s">
        <v>41</v>
      </c>
      <c r="AL244">
        <v>8</v>
      </c>
      <c r="AM244" t="s">
        <v>40</v>
      </c>
      <c r="AO244">
        <v>0.11600000000000001</v>
      </c>
      <c r="AP244" t="s">
        <v>960</v>
      </c>
      <c r="AQ244">
        <v>504</v>
      </c>
      <c r="AR244" t="s">
        <v>61</v>
      </c>
      <c r="AS244" t="s">
        <v>736</v>
      </c>
      <c r="AT244">
        <v>19320055</v>
      </c>
      <c r="AU244" s="12">
        <v>39495</v>
      </c>
      <c r="BA244" t="s">
        <v>912</v>
      </c>
      <c r="BB244" t="s">
        <v>912</v>
      </c>
      <c r="BC244" s="7">
        <v>39482</v>
      </c>
      <c r="BG244">
        <v>13</v>
      </c>
      <c r="BH244" s="17">
        <f t="shared" ca="1" si="3"/>
        <v>45</v>
      </c>
      <c r="BI244" s="17"/>
      <c r="BJ244" s="17"/>
    </row>
    <row r="245" spans="1:63" hidden="1">
      <c r="A245">
        <v>28022935</v>
      </c>
      <c r="B245" s="2" t="str">
        <f>HYPERLINK("http://www.windermere.com/index.cfm?fuseaction=Listing.ListingDetail&amp;ListingID=19336679","Subject To Inspection")</f>
        <v>Subject To Inspection</v>
      </c>
      <c r="D245" t="s">
        <v>55</v>
      </c>
      <c r="E245" t="s">
        <v>739</v>
      </c>
      <c r="F245" s="10">
        <v>434950</v>
      </c>
      <c r="G245" t="s">
        <v>288</v>
      </c>
      <c r="H245" s="1">
        <v>5461</v>
      </c>
      <c r="I245">
        <v>5445</v>
      </c>
      <c r="J245">
        <v>4</v>
      </c>
      <c r="K245">
        <v>2</v>
      </c>
      <c r="M245" s="2" t="str">
        <f>HYPERLINK("http://www.windermere.com/index.cfm?fuseaction=Listing.MapPropertyInteractive&amp;ListingID=19336679&amp;resize=true&amp;windowWidth=800&amp;windowHeight=600","Map")</f>
        <v>Map</v>
      </c>
      <c r="O245" s="2" t="str">
        <f>HYPERLINK("http://www.windermere.com/index.cfm?fuseaction=Listing.MultiImageViewer&amp;ListingID=19336679&amp;ln=28022935&amp;pub_mls=1","More")</f>
        <v>More</v>
      </c>
      <c r="AI245" t="s">
        <v>66</v>
      </c>
      <c r="AJ245">
        <v>98103</v>
      </c>
      <c r="AS245" t="s">
        <v>740</v>
      </c>
      <c r="AT245">
        <v>19336679</v>
      </c>
      <c r="AU245" s="12">
        <v>39495</v>
      </c>
      <c r="BB245" t="s">
        <v>912</v>
      </c>
      <c r="BC245" s="7">
        <v>39485</v>
      </c>
      <c r="BG245">
        <v>10</v>
      </c>
      <c r="BH245" s="17">
        <f t="shared" ca="1" si="3"/>
        <v>42</v>
      </c>
      <c r="BI245" s="17"/>
      <c r="BJ245" s="17"/>
      <c r="BK245" t="str">
        <f>B245</f>
        <v>Subject To Inspection</v>
      </c>
    </row>
    <row r="246" spans="1:63" hidden="1">
      <c r="A246">
        <v>27203347</v>
      </c>
      <c r="B246" s="2" t="str">
        <f>HYPERLINK("http://www.windermere.com/index.cfm?fuseaction=Listing.ListingDetail&amp;ListingID=18986871","Subject To Inspection")</f>
        <v>Subject To Inspection</v>
      </c>
      <c r="D246" t="s">
        <v>1130</v>
      </c>
      <c r="E246" t="s">
        <v>1131</v>
      </c>
      <c r="F246" s="10">
        <v>435000</v>
      </c>
      <c r="G246" t="s">
        <v>137</v>
      </c>
      <c r="H246" s="1">
        <v>2000</v>
      </c>
      <c r="I246">
        <v>6000</v>
      </c>
      <c r="J246">
        <v>3</v>
      </c>
      <c r="K246">
        <v>1</v>
      </c>
      <c r="M246" s="2" t="str">
        <f>HYPERLINK("http://www.windermere.com/index.cfm?fuseaction=Listing.MapPropertyInteractive&amp;ListingID=18986871&amp;resize=true&amp;windowWidth=800&amp;windowHeight=600","Map")</f>
        <v>Map</v>
      </c>
      <c r="O246" s="2" t="str">
        <f>HYPERLINK("http://www.windermere.com/index.cfm?fuseaction=Listing.MultiImageViewer&amp;ListingID=18986871&amp;ln=27203347&amp;pub_mls=1","More")</f>
        <v>More</v>
      </c>
      <c r="AI246" t="s">
        <v>66</v>
      </c>
      <c r="AJ246">
        <v>98115</v>
      </c>
      <c r="AS246" t="s">
        <v>1132</v>
      </c>
      <c r="AT246">
        <v>18986871</v>
      </c>
      <c r="AU246" s="12">
        <v>39495</v>
      </c>
      <c r="BB246" t="s">
        <v>912</v>
      </c>
      <c r="BC246" s="7">
        <v>39402</v>
      </c>
      <c r="BG246">
        <v>93</v>
      </c>
      <c r="BH246" s="17">
        <f t="shared" ca="1" si="3"/>
        <v>125</v>
      </c>
      <c r="BI246" s="17"/>
      <c r="BJ246" s="17"/>
      <c r="BK246" t="str">
        <f>B246</f>
        <v>Subject To Inspection</v>
      </c>
    </row>
    <row r="247" spans="1:63" hidden="1">
      <c r="A247">
        <v>28021527</v>
      </c>
      <c r="B247" s="2" t="str">
        <f>HYPERLINK("http://www.windermere.com/index.cfm?fuseaction=Listing.ListingDetail&amp;ListingID=19325789","Active")</f>
        <v>Active</v>
      </c>
      <c r="C247">
        <v>705</v>
      </c>
      <c r="D247" t="s">
        <v>63</v>
      </c>
      <c r="E247" t="s">
        <v>237</v>
      </c>
      <c r="F247" s="10">
        <v>435000</v>
      </c>
      <c r="G247" t="s">
        <v>164</v>
      </c>
      <c r="H247" s="1">
        <v>1640</v>
      </c>
      <c r="I247">
        <v>4700</v>
      </c>
      <c r="J247">
        <v>2</v>
      </c>
      <c r="K247">
        <v>1</v>
      </c>
      <c r="L247">
        <v>1</v>
      </c>
      <c r="M247" s="2" t="str">
        <f>HYPERLINK("http://www.windermere.com/index.cfm?fuseaction=Listing.MapPropertyInteractive&amp;ListingID=19325789&amp;resize=true&amp;windowWidth=800&amp;windowHeight=600","Map")</f>
        <v>Map</v>
      </c>
      <c r="N247" s="2" t="str">
        <f>HYPERLINK("http://locmedia.nwmls.com/DO_NOT_LINK/bigphoto/527/28021527.jpg?tsp=20080205102832","Photo")</f>
        <v>Photo</v>
      </c>
      <c r="O247" s="2" t="str">
        <f>HYPERLINK("http://www.windermere.com/index.cfm?fuseaction=Listing.MultiImageViewer&amp;ListingID=19325789&amp;ln=28021527&amp;pub_mls=1","More")</f>
        <v>More</v>
      </c>
      <c r="Q247" t="s">
        <v>56</v>
      </c>
      <c r="R247" t="s">
        <v>72</v>
      </c>
      <c r="S247" t="s">
        <v>58</v>
      </c>
      <c r="X247" t="s">
        <v>47</v>
      </c>
      <c r="Y247" t="s">
        <v>48</v>
      </c>
      <c r="Z247" t="s">
        <v>80</v>
      </c>
      <c r="AB247">
        <v>2007</v>
      </c>
      <c r="AC247">
        <v>3030</v>
      </c>
      <c r="AD247" t="s">
        <v>961</v>
      </c>
      <c r="AE247" t="s">
        <v>221</v>
      </c>
      <c r="AG247">
        <v>47.689808999999997</v>
      </c>
      <c r="AH247">
        <v>-122.367267</v>
      </c>
      <c r="AI247" t="s">
        <v>66</v>
      </c>
      <c r="AJ247">
        <v>98117</v>
      </c>
      <c r="AK247" t="s">
        <v>41</v>
      </c>
      <c r="AL247" t="s">
        <v>40</v>
      </c>
      <c r="AM247" t="s">
        <v>40</v>
      </c>
      <c r="AO247">
        <v>0.108</v>
      </c>
      <c r="AP247" t="s">
        <v>962</v>
      </c>
      <c r="AQ247">
        <v>534</v>
      </c>
      <c r="AR247" t="s">
        <v>97</v>
      </c>
      <c r="AS247" t="s">
        <v>287</v>
      </c>
      <c r="AT247">
        <v>19325789</v>
      </c>
      <c r="AU247" s="12">
        <v>39495</v>
      </c>
      <c r="BA247" t="s">
        <v>912</v>
      </c>
      <c r="BB247" t="s">
        <v>912</v>
      </c>
      <c r="BC247" s="7">
        <v>39483</v>
      </c>
      <c r="BG247">
        <v>12</v>
      </c>
      <c r="BH247" s="17">
        <f t="shared" ca="1" si="3"/>
        <v>44</v>
      </c>
      <c r="BI247" s="17"/>
      <c r="BJ247" s="17"/>
    </row>
    <row r="248" spans="1:63" hidden="1">
      <c r="A248">
        <v>27115997</v>
      </c>
      <c r="B248" s="4" t="str">
        <f>HYPERLINK("http://www.windermere.com/index.cfm?fuseaction=Listing.ListingDetail&amp;ListingID=19567821","Active")</f>
        <v>Active</v>
      </c>
      <c r="D248" t="s">
        <v>194</v>
      </c>
      <c r="E248" t="s">
        <v>741</v>
      </c>
      <c r="F248" s="10">
        <v>436000</v>
      </c>
      <c r="G248" t="s">
        <v>147</v>
      </c>
      <c r="H248" s="1">
        <v>2046</v>
      </c>
      <c r="J248">
        <v>3</v>
      </c>
      <c r="K248">
        <v>2</v>
      </c>
      <c r="M248" s="2" t="str">
        <f>HYPERLINK("http://www.windermere.com/index.cfm?fuseaction=Listing.MapPropertyInteractive&amp;ListingID=19567821&amp;resize=true&amp;windowWidth=800&amp;windowHeight=600","Map")</f>
        <v>Map</v>
      </c>
      <c r="O248" s="2" t="str">
        <f>HYPERLINK("http://www.windermere.com/index.cfm?fuseaction=Listing.MultiImageViewer&amp;ListingID=19567821&amp;ln=27115997&amp;pub_mls=1","More")</f>
        <v>More</v>
      </c>
      <c r="AI248" t="s">
        <v>66</v>
      </c>
      <c r="AJ248">
        <v>98115</v>
      </c>
      <c r="AS248" s="3" t="s">
        <v>1983</v>
      </c>
      <c r="AT248" s="3">
        <v>19567821</v>
      </c>
      <c r="AU248" s="12">
        <v>39495</v>
      </c>
      <c r="BB248" t="s">
        <v>912</v>
      </c>
      <c r="BC248" s="7">
        <v>39260</v>
      </c>
      <c r="BD248">
        <v>1</v>
      </c>
      <c r="BE248" s="6" t="s">
        <v>1315</v>
      </c>
      <c r="BG248">
        <v>235</v>
      </c>
      <c r="BH248" s="17">
        <f t="shared" ca="1" si="3"/>
        <v>267</v>
      </c>
      <c r="BI248" s="17"/>
      <c r="BJ248" s="17"/>
      <c r="BK248" t="str">
        <f>B248</f>
        <v>Active</v>
      </c>
    </row>
    <row r="249" spans="1:63" hidden="1">
      <c r="A249">
        <v>27165900</v>
      </c>
      <c r="B249" s="2" t="str">
        <f>HYPERLINK("http://www.windermere.com/index.cfm?fuseaction=Listing.ListingDetail&amp;ListingID=19342196","Subject To Inspection")</f>
        <v>Subject To Inspection</v>
      </c>
      <c r="D249" t="s">
        <v>194</v>
      </c>
      <c r="E249" t="s">
        <v>196</v>
      </c>
      <c r="F249" s="10">
        <v>439000</v>
      </c>
      <c r="G249" t="s">
        <v>132</v>
      </c>
      <c r="H249" s="1">
        <v>1435</v>
      </c>
      <c r="I249">
        <v>12506</v>
      </c>
      <c r="J249">
        <v>3</v>
      </c>
      <c r="K249">
        <v>1.75</v>
      </c>
      <c r="M249" s="2" t="str">
        <f>HYPERLINK("http://www.windermere.com/index.cfm?fuseaction=Listing.MapPropertyInteractive&amp;ListingID=19342196&amp;resize=true&amp;windowWidth=800&amp;windowHeight=600","Map")</f>
        <v>Map</v>
      </c>
      <c r="O249" s="2" t="str">
        <f>HYPERLINK("http://www.windermere.com/index.cfm?fuseaction=Listing.MultiImageViewer&amp;ListingID=19342196&amp;ln=27165900&amp;pub_mls=1","More")</f>
        <v>More</v>
      </c>
      <c r="P249" t="s">
        <v>44</v>
      </c>
      <c r="AI249" t="s">
        <v>66</v>
      </c>
      <c r="AJ249">
        <v>98115</v>
      </c>
      <c r="AS249" t="s">
        <v>1133</v>
      </c>
      <c r="AT249">
        <v>19342196</v>
      </c>
      <c r="AU249" s="12">
        <v>39495</v>
      </c>
      <c r="BB249" t="s">
        <v>912</v>
      </c>
      <c r="BC249" s="7">
        <v>39335</v>
      </c>
      <c r="BD249">
        <v>1</v>
      </c>
      <c r="BE249" s="6" t="s">
        <v>1332</v>
      </c>
      <c r="BG249">
        <v>160</v>
      </c>
      <c r="BH249" s="17">
        <f t="shared" ca="1" si="3"/>
        <v>192</v>
      </c>
      <c r="BI249" s="17"/>
      <c r="BJ249" s="17"/>
      <c r="BK249" t="str">
        <f>B249</f>
        <v>Subject To Inspection</v>
      </c>
    </row>
    <row r="250" spans="1:63" hidden="1">
      <c r="A250">
        <v>27205426</v>
      </c>
      <c r="B250" s="2" t="str">
        <f>HYPERLINK("http://www.windermere.com/index.cfm?fuseaction=Listing.ListingDetail&amp;ListingID=19016079","Subject To Inspection")</f>
        <v>Subject To Inspection</v>
      </c>
      <c r="D250" t="s">
        <v>42</v>
      </c>
      <c r="E250" t="s">
        <v>743</v>
      </c>
      <c r="F250" s="10">
        <v>439000</v>
      </c>
      <c r="G250" t="s">
        <v>156</v>
      </c>
      <c r="H250" s="1">
        <v>1510</v>
      </c>
      <c r="I250">
        <v>9000</v>
      </c>
      <c r="J250">
        <v>3</v>
      </c>
      <c r="K250">
        <v>1.5</v>
      </c>
      <c r="M250" s="2" t="str">
        <f>HYPERLINK("http://www.windermere.com/index.cfm?fuseaction=Listing.MapPropertyInteractive&amp;ListingID=19016079&amp;resize=true&amp;windowWidth=800&amp;windowHeight=600","Map")</f>
        <v>Map</v>
      </c>
      <c r="O250" s="2" t="str">
        <f>HYPERLINK("http://www.windermere.com/index.cfm?fuseaction=Listing.MultiImageViewer&amp;ListingID=19016079&amp;ln=27205426&amp;pub_mls=1","More")</f>
        <v>More</v>
      </c>
      <c r="AI250" t="s">
        <v>66</v>
      </c>
      <c r="AJ250">
        <v>98133</v>
      </c>
      <c r="AS250" t="s">
        <v>744</v>
      </c>
      <c r="AT250">
        <v>19016079</v>
      </c>
      <c r="AU250" s="12">
        <v>39495</v>
      </c>
      <c r="BB250" t="s">
        <v>912</v>
      </c>
      <c r="BC250" s="7">
        <v>39413</v>
      </c>
      <c r="BG250">
        <v>82</v>
      </c>
      <c r="BH250" s="17">
        <f t="shared" ca="1" si="3"/>
        <v>114</v>
      </c>
      <c r="BI250" s="17"/>
      <c r="BJ250" s="17"/>
      <c r="BK250" t="str">
        <f>B250</f>
        <v>Subject To Inspection</v>
      </c>
    </row>
    <row r="251" spans="1:63" hidden="1">
      <c r="A251">
        <v>28003907</v>
      </c>
      <c r="B251" s="2" t="str">
        <f>HYPERLINK("http://www.windermere.com/index.cfm?fuseaction=Listing.ListingDetail&amp;ListingID=19190530","Active")</f>
        <v>Active</v>
      </c>
      <c r="D251" t="s">
        <v>192</v>
      </c>
      <c r="E251" t="s">
        <v>747</v>
      </c>
      <c r="F251" s="18">
        <v>430000</v>
      </c>
      <c r="G251" t="s">
        <v>748</v>
      </c>
      <c r="H251" s="1">
        <v>1560</v>
      </c>
      <c r="I251">
        <v>5220</v>
      </c>
      <c r="J251">
        <v>3</v>
      </c>
      <c r="K251">
        <v>1.75</v>
      </c>
      <c r="M251" s="2" t="str">
        <f>HYPERLINK("http://www.windermere.com/index.cfm?fuseaction=Listing.MapPropertyInteractive&amp;ListingID=19190530&amp;resize=true&amp;windowWidth=800&amp;windowHeight=600","Map")</f>
        <v>Map</v>
      </c>
      <c r="O251" s="2" t="str">
        <f>HYPERLINK("http://www.windermere.com/index.cfm?fuseaction=Listing.MultiImageViewer&amp;ListingID=19190530&amp;ln=28003907&amp;pub_mls=1","More")</f>
        <v>More</v>
      </c>
      <c r="P251" t="s">
        <v>44</v>
      </c>
      <c r="AI251" t="s">
        <v>66</v>
      </c>
      <c r="AJ251">
        <v>98125</v>
      </c>
      <c r="AS251" t="s">
        <v>749</v>
      </c>
      <c r="AT251">
        <v>19190530</v>
      </c>
      <c r="AU251" s="12">
        <v>39495</v>
      </c>
      <c r="BB251" t="s">
        <v>912</v>
      </c>
      <c r="BC251" s="7">
        <v>39457</v>
      </c>
      <c r="BG251">
        <v>38</v>
      </c>
      <c r="BH251" s="17">
        <f t="shared" ca="1" si="3"/>
        <v>70</v>
      </c>
      <c r="BI251" s="17"/>
      <c r="BJ251" s="17"/>
    </row>
    <row r="252" spans="1:63" hidden="1">
      <c r="A252">
        <v>28025572</v>
      </c>
      <c r="B252" s="2" t="str">
        <f>HYPERLINK("http://www.windermere.com/index.cfm?fuseaction=Listing.ListingDetail&amp;ListingID=19373774","Active")</f>
        <v>Active</v>
      </c>
      <c r="D252" t="s">
        <v>63</v>
      </c>
      <c r="E252" t="s">
        <v>745</v>
      </c>
      <c r="F252" s="10">
        <v>439500</v>
      </c>
      <c r="G252" t="s">
        <v>248</v>
      </c>
      <c r="H252" s="1">
        <v>1330</v>
      </c>
      <c r="J252">
        <v>3</v>
      </c>
      <c r="K252">
        <v>2.25</v>
      </c>
      <c r="M252" s="2" t="str">
        <f>HYPERLINK("http://www.windermere.com/index.cfm?fuseaction=Listing.MapPropertyInteractive&amp;ListingID=19373774&amp;resize=true&amp;windowWidth=800&amp;windowHeight=600","Map")</f>
        <v>Map</v>
      </c>
      <c r="O252" s="2" t="str">
        <f>HYPERLINK("http://www.windermere.com/index.cfm?fuseaction=Listing.MultiImageViewer&amp;ListingID=19373774&amp;ln=28025572&amp;pub_mls=1","More")</f>
        <v>More</v>
      </c>
      <c r="P252" t="s">
        <v>44</v>
      </c>
      <c r="AI252" t="s">
        <v>66</v>
      </c>
      <c r="AJ252">
        <v>98107</v>
      </c>
      <c r="AS252" t="s">
        <v>746</v>
      </c>
      <c r="AT252">
        <v>19373774</v>
      </c>
      <c r="AU252" s="12">
        <v>39495</v>
      </c>
      <c r="BB252" t="s">
        <v>912</v>
      </c>
      <c r="BC252" s="7">
        <v>39493</v>
      </c>
      <c r="BG252">
        <v>2</v>
      </c>
      <c r="BH252" s="17">
        <f t="shared" ca="1" si="3"/>
        <v>34</v>
      </c>
      <c r="BI252" s="17"/>
      <c r="BJ252" s="17"/>
    </row>
    <row r="253" spans="1:63" hidden="1">
      <c r="A253">
        <v>28013118</v>
      </c>
      <c r="B253" s="2" t="str">
        <f>HYPERLINK("http://www.windermere.com/index.cfm?fuseaction=Listing.ListingDetail&amp;ListingID=19258580","Subject To Inspection")</f>
        <v>Subject To Inspection</v>
      </c>
      <c r="D253" t="s">
        <v>55</v>
      </c>
      <c r="E253" t="s">
        <v>167</v>
      </c>
      <c r="F253" s="10">
        <v>439900</v>
      </c>
      <c r="G253" t="s">
        <v>159</v>
      </c>
      <c r="H253" s="1">
        <v>1740</v>
      </c>
      <c r="I253">
        <v>4800</v>
      </c>
      <c r="J253">
        <v>4</v>
      </c>
      <c r="K253">
        <v>2</v>
      </c>
      <c r="M253" s="2" t="str">
        <f>HYPERLINK("http://www.windermere.com/index.cfm?fuseaction=Listing.MapPropertyInteractive&amp;ListingID=19258580&amp;resize=true&amp;windowWidth=800&amp;windowHeight=600","Map")</f>
        <v>Map</v>
      </c>
      <c r="O253" s="2" t="str">
        <f>HYPERLINK("http://www.windermere.com/index.cfm?fuseaction=Listing.MultiImageViewer&amp;ListingID=19258580&amp;ln=28013118&amp;pub_mls=1","More")</f>
        <v>More</v>
      </c>
      <c r="P253" t="s">
        <v>44</v>
      </c>
      <c r="AI253" t="s">
        <v>66</v>
      </c>
      <c r="AJ253">
        <v>98117</v>
      </c>
      <c r="AS253" t="s">
        <v>286</v>
      </c>
      <c r="AT253">
        <v>19258580</v>
      </c>
      <c r="AU253" s="12">
        <v>39495</v>
      </c>
      <c r="BB253" t="s">
        <v>912</v>
      </c>
      <c r="BC253" s="7">
        <v>39468</v>
      </c>
      <c r="BG253">
        <v>27</v>
      </c>
      <c r="BH253" s="17">
        <f t="shared" ca="1" si="3"/>
        <v>59</v>
      </c>
      <c r="BI253" s="17"/>
      <c r="BJ253" s="17"/>
      <c r="BK253" t="str">
        <f>B253</f>
        <v>Subject To Inspection</v>
      </c>
    </row>
    <row r="254" spans="1:63" hidden="1">
      <c r="A254">
        <v>27198496</v>
      </c>
      <c r="B254" s="2" t="str">
        <f>HYPERLINK("http://www.windermere.com/index.cfm?fuseaction=Listing.ListingDetail&amp;ListingID=18928855","Active")</f>
        <v>Active</v>
      </c>
      <c r="D254" t="s">
        <v>60</v>
      </c>
      <c r="E254" t="s">
        <v>752</v>
      </c>
      <c r="F254" s="10">
        <v>439950</v>
      </c>
      <c r="G254" t="s">
        <v>126</v>
      </c>
      <c r="H254" s="1">
        <v>1660</v>
      </c>
      <c r="I254">
        <v>3000</v>
      </c>
      <c r="J254">
        <v>3</v>
      </c>
      <c r="K254">
        <v>1.75</v>
      </c>
      <c r="M254" s="2" t="str">
        <f>HYPERLINK("http://www.windermere.com/index.cfm?fuseaction=Listing.MapPropertyInteractive&amp;ListingID=18928855&amp;resize=true&amp;windowWidth=800&amp;windowHeight=600","Map")</f>
        <v>Map</v>
      </c>
      <c r="AI254" t="s">
        <v>66</v>
      </c>
      <c r="AJ254">
        <v>98103</v>
      </c>
      <c r="AS254" t="s">
        <v>753</v>
      </c>
      <c r="AT254">
        <v>18928855</v>
      </c>
      <c r="AU254" s="12">
        <v>39495</v>
      </c>
      <c r="BB254" t="s">
        <v>912</v>
      </c>
      <c r="BC254" s="7">
        <v>39393</v>
      </c>
      <c r="BG254">
        <v>102</v>
      </c>
      <c r="BH254" s="17">
        <f t="shared" ca="1" si="3"/>
        <v>134</v>
      </c>
      <c r="BI254" s="17"/>
      <c r="BJ254" s="17"/>
    </row>
    <row r="255" spans="1:63" hidden="1">
      <c r="A255">
        <v>27205781</v>
      </c>
      <c r="B255" s="2" t="str">
        <f>HYPERLINK("http://www.windermere.com/index.cfm?fuseaction=Listing.ListingDetail&amp;ListingID=19013768","Active")</f>
        <v>Active</v>
      </c>
      <c r="D255" t="s">
        <v>968</v>
      </c>
      <c r="E255" t="s">
        <v>1136</v>
      </c>
      <c r="F255" s="10">
        <v>439950</v>
      </c>
      <c r="G255" t="s">
        <v>1137</v>
      </c>
      <c r="H255" s="1">
        <v>2600</v>
      </c>
      <c r="I255">
        <v>6760</v>
      </c>
      <c r="J255">
        <v>4</v>
      </c>
      <c r="K255">
        <v>2</v>
      </c>
      <c r="M255" s="2" t="str">
        <f>HYPERLINK("http://www.windermere.com/index.cfm?fuseaction=Listing.MapPropertyInteractive&amp;ListingID=19013768&amp;resize=true&amp;windowWidth=800&amp;windowHeight=600","Map")</f>
        <v>Map</v>
      </c>
      <c r="O255" s="2" t="str">
        <f>HYPERLINK("http://www.windermere.com/index.cfm?fuseaction=Listing.MultiImageViewer&amp;ListingID=19013768&amp;ln=27205781&amp;pub_mls=1","More")</f>
        <v>More</v>
      </c>
      <c r="P255" t="s">
        <v>44</v>
      </c>
      <c r="AI255" t="s">
        <v>66</v>
      </c>
      <c r="AJ255">
        <v>98125</v>
      </c>
      <c r="AS255" t="s">
        <v>1138</v>
      </c>
      <c r="AT255">
        <v>19013768</v>
      </c>
      <c r="AU255" s="12">
        <v>39495</v>
      </c>
      <c r="BB255" t="s">
        <v>912</v>
      </c>
      <c r="BC255" s="7">
        <v>39412</v>
      </c>
      <c r="BG255">
        <v>83</v>
      </c>
      <c r="BH255" s="17">
        <f t="shared" ca="1" si="3"/>
        <v>115</v>
      </c>
      <c r="BI255" s="17"/>
      <c r="BJ255" s="17"/>
    </row>
    <row r="256" spans="1:63" hidden="1">
      <c r="A256">
        <v>28000527</v>
      </c>
      <c r="B256" s="2" t="str">
        <f>HYPERLINK("http://www.windermere.com/index.cfm?fuseaction=Listing.ListingDetail&amp;ListingID=19146140","Active")</f>
        <v>Active</v>
      </c>
      <c r="D256" t="s">
        <v>63</v>
      </c>
      <c r="E256" t="s">
        <v>750</v>
      </c>
      <c r="F256" s="18">
        <v>425000</v>
      </c>
      <c r="G256" t="s">
        <v>674</v>
      </c>
      <c r="H256" s="1">
        <v>1750</v>
      </c>
      <c r="J256">
        <v>3</v>
      </c>
      <c r="K256">
        <v>2.5</v>
      </c>
      <c r="M256" s="2" t="str">
        <f>HYPERLINK("http://www.windermere.com/index.cfm?fuseaction=Listing.MapPropertyInteractive&amp;ListingID=19146140&amp;resize=true&amp;windowWidth=800&amp;windowHeight=600","Map")</f>
        <v>Map</v>
      </c>
      <c r="O256" s="2" t="str">
        <f>HYPERLINK("http://www.windermere.com/index.cfm?fuseaction=Listing.MultiImageViewer&amp;ListingID=19146140&amp;ln=28000527&amp;pub_mls=1","More")</f>
        <v>More</v>
      </c>
      <c r="AI256" t="s">
        <v>66</v>
      </c>
      <c r="AJ256">
        <v>98107</v>
      </c>
      <c r="AS256" t="s">
        <v>751</v>
      </c>
      <c r="AT256">
        <v>19146140</v>
      </c>
      <c r="AU256" s="12">
        <v>39495</v>
      </c>
      <c r="BB256" t="s">
        <v>912</v>
      </c>
      <c r="BC256" s="7">
        <v>39449</v>
      </c>
      <c r="BG256">
        <v>46</v>
      </c>
      <c r="BH256" s="17">
        <f t="shared" ca="1" si="3"/>
        <v>78</v>
      </c>
      <c r="BI256" s="17"/>
      <c r="BJ256" s="17"/>
    </row>
    <row r="257" spans="1:63" hidden="1">
      <c r="A257">
        <v>28026167</v>
      </c>
      <c r="B257" s="2" t="str">
        <f>HYPERLINK("http://www.windermere.com/index.cfm?fuseaction=Listing.ListingDetail&amp;ListingID=19359305","Active")</f>
        <v>Active</v>
      </c>
      <c r="D257" t="s">
        <v>194</v>
      </c>
      <c r="E257" t="s">
        <v>1134</v>
      </c>
      <c r="F257" s="10">
        <v>439950</v>
      </c>
      <c r="G257" t="s">
        <v>161</v>
      </c>
      <c r="H257">
        <v>990</v>
      </c>
      <c r="I257">
        <v>6393</v>
      </c>
      <c r="J257">
        <v>2</v>
      </c>
      <c r="K257">
        <v>1</v>
      </c>
      <c r="M257" s="2" t="str">
        <f>HYPERLINK("http://www.windermere.com/index.cfm?fuseaction=Listing.MapPropertyInteractive&amp;ListingID=19359305&amp;resize=true&amp;windowWidth=800&amp;windowHeight=600","Map")</f>
        <v>Map</v>
      </c>
      <c r="O257" s="2" t="str">
        <f>HYPERLINK("http://www.windermere.com/index.cfm?fuseaction=Listing.MultiImageViewer&amp;ListingID=19359305&amp;ln=28026167&amp;pub_mls=1","More")</f>
        <v>More</v>
      </c>
      <c r="P257" t="s">
        <v>44</v>
      </c>
      <c r="AI257" t="s">
        <v>66</v>
      </c>
      <c r="AJ257">
        <v>98115</v>
      </c>
      <c r="AS257" t="s">
        <v>1135</v>
      </c>
      <c r="AT257">
        <v>19359305</v>
      </c>
      <c r="AU257" s="12">
        <v>39495</v>
      </c>
      <c r="BB257" t="s">
        <v>912</v>
      </c>
      <c r="BC257" s="7">
        <v>39490</v>
      </c>
      <c r="BG257">
        <v>5</v>
      </c>
      <c r="BH257" s="17">
        <f t="shared" ca="1" si="3"/>
        <v>37</v>
      </c>
      <c r="BI257" s="17"/>
      <c r="BJ257" s="17"/>
    </row>
    <row r="258" spans="1:63" hidden="1">
      <c r="A258">
        <v>28012364</v>
      </c>
      <c r="B258" s="2" t="str">
        <f>HYPERLINK("http://www.windermere.com/index.cfm?fuseaction=Listing.ListingDetail&amp;ListingID=19253521","Active")</f>
        <v>Active</v>
      </c>
      <c r="D258" t="s">
        <v>63</v>
      </c>
      <c r="E258" t="s">
        <v>1139</v>
      </c>
      <c r="F258" s="18">
        <v>415000</v>
      </c>
      <c r="G258" t="s">
        <v>227</v>
      </c>
      <c r="I258">
        <v>3496</v>
      </c>
      <c r="J258">
        <v>2</v>
      </c>
      <c r="K258">
        <v>1</v>
      </c>
      <c r="M258" s="2" t="str">
        <f>HYPERLINK("http://www.windermere.com/index.cfm?fuseaction=Listing.MapPropertyInteractive&amp;ListingID=19253521&amp;resize=true&amp;windowWidth=800&amp;windowHeight=600","Map")</f>
        <v>Map</v>
      </c>
      <c r="O258" s="2" t="str">
        <f>HYPERLINK("http://www.windermere.com/index.cfm?fuseaction=Listing.MultiImageViewer&amp;ListingID=19253521&amp;ln=28012364&amp;pub_mls=1","More")</f>
        <v>More</v>
      </c>
      <c r="P258" t="s">
        <v>44</v>
      </c>
      <c r="AI258" t="s">
        <v>66</v>
      </c>
      <c r="AJ258">
        <v>98117</v>
      </c>
      <c r="AS258" t="s">
        <v>1140</v>
      </c>
      <c r="AT258">
        <v>19253521</v>
      </c>
      <c r="AU258" s="12">
        <v>39495</v>
      </c>
      <c r="BB258" t="s">
        <v>912</v>
      </c>
      <c r="BC258" s="7">
        <v>39467</v>
      </c>
      <c r="BG258">
        <v>28</v>
      </c>
      <c r="BH258" s="17">
        <f t="shared" ca="1" si="3"/>
        <v>60</v>
      </c>
      <c r="BI258" s="17"/>
      <c r="BJ258" s="17"/>
    </row>
    <row r="259" spans="1:63" hidden="1">
      <c r="A259">
        <v>28005823</v>
      </c>
      <c r="B259" s="2" t="str">
        <f>HYPERLINK("http://www.windermere.com/index.cfm?fuseaction=Listing.ListingDetail&amp;ListingID=19228455","Active")</f>
        <v>Active</v>
      </c>
      <c r="D259" t="s">
        <v>60</v>
      </c>
      <c r="E259" t="s">
        <v>754</v>
      </c>
      <c r="F259" s="13">
        <v>435000</v>
      </c>
      <c r="G259" t="s">
        <v>170</v>
      </c>
      <c r="H259" s="1">
        <v>1090</v>
      </c>
      <c r="J259">
        <v>2</v>
      </c>
      <c r="K259">
        <v>1</v>
      </c>
      <c r="M259" s="2" t="str">
        <f>HYPERLINK("http://www.windermere.com/index.cfm?fuseaction=Listing.MapPropertyInteractive&amp;ListingID=19228455&amp;resize=true&amp;windowWidth=800&amp;windowHeight=600","Map")</f>
        <v>Map</v>
      </c>
      <c r="O259" s="2" t="str">
        <f>HYPERLINK("http://www.windermere.com/index.cfm?fuseaction=Listing.MultiImageViewer&amp;ListingID=19228455&amp;ln=28005823&amp;pub_mls=1","More")</f>
        <v>More</v>
      </c>
      <c r="P259" t="s">
        <v>44</v>
      </c>
      <c r="AI259" t="s">
        <v>66</v>
      </c>
      <c r="AJ259">
        <v>98115</v>
      </c>
      <c r="AS259" t="s">
        <v>755</v>
      </c>
      <c r="AT259">
        <v>19228455</v>
      </c>
      <c r="AU259" s="12">
        <v>39495</v>
      </c>
      <c r="BB259" t="s">
        <v>912</v>
      </c>
      <c r="BC259" s="7">
        <v>39463</v>
      </c>
      <c r="BD259">
        <v>3</v>
      </c>
      <c r="BE259" t="s">
        <v>1442</v>
      </c>
      <c r="BF259" t="s">
        <v>1345</v>
      </c>
      <c r="BG259">
        <v>32</v>
      </c>
      <c r="BH259" s="17">
        <f t="shared" ref="BH259:BH322" ca="1" si="4">TODAY()-BC259</f>
        <v>64</v>
      </c>
      <c r="BI259" s="17"/>
      <c r="BJ259" s="17"/>
    </row>
    <row r="260" spans="1:63" hidden="1">
      <c r="A260">
        <v>28028056</v>
      </c>
      <c r="B260" s="2" t="str">
        <f>HYPERLINK("http://www.windermere.com/index.cfm?fuseaction=Listing.ListingDetail&amp;ListingID=19377706","Active")</f>
        <v>Active</v>
      </c>
      <c r="D260" t="s">
        <v>60</v>
      </c>
      <c r="E260" t="s">
        <v>756</v>
      </c>
      <c r="F260" s="10">
        <v>444500</v>
      </c>
      <c r="G260" t="s">
        <v>663</v>
      </c>
      <c r="H260" s="1">
        <v>1420</v>
      </c>
      <c r="I260">
        <v>3375</v>
      </c>
      <c r="J260">
        <v>3</v>
      </c>
      <c r="K260">
        <v>2</v>
      </c>
      <c r="M260" s="2" t="str">
        <f>HYPERLINK("http://www.windermere.com/index.cfm?fuseaction=Listing.MapPropertyInteractive&amp;ListingID=19377706&amp;resize=true&amp;windowWidth=800&amp;windowHeight=600","Map")</f>
        <v>Map</v>
      </c>
      <c r="O260" s="2" t="str">
        <f>HYPERLINK("http://www.windermere.com/index.cfm?fuseaction=Listing.MultiImageViewer&amp;ListingID=19377706&amp;ln=28028056&amp;pub_mls=1","More")</f>
        <v>More</v>
      </c>
      <c r="P260" t="s">
        <v>44</v>
      </c>
      <c r="AI260" t="s">
        <v>66</v>
      </c>
      <c r="AJ260">
        <v>98103</v>
      </c>
      <c r="AS260" t="s">
        <v>757</v>
      </c>
      <c r="AT260">
        <v>19377706</v>
      </c>
      <c r="AU260" s="12">
        <v>39495</v>
      </c>
      <c r="BB260" t="s">
        <v>912</v>
      </c>
      <c r="BC260" s="7">
        <v>39493</v>
      </c>
      <c r="BG260">
        <v>2</v>
      </c>
      <c r="BH260" s="17">
        <f t="shared" ca="1" si="4"/>
        <v>34</v>
      </c>
      <c r="BI260" s="17"/>
      <c r="BJ260" s="17"/>
    </row>
    <row r="261" spans="1:63" hidden="1">
      <c r="A261">
        <v>27180210</v>
      </c>
      <c r="B261" s="2" t="str">
        <f>HYPERLINK("http://www.windermere.com/index.cfm?fuseaction=Listing.ListingDetail&amp;ListingID=18768523","Active")</f>
        <v>Active</v>
      </c>
      <c r="D261" t="s">
        <v>204</v>
      </c>
      <c r="E261" t="s">
        <v>205</v>
      </c>
      <c r="F261" s="10">
        <v>448000</v>
      </c>
      <c r="G261" t="s">
        <v>124</v>
      </c>
      <c r="H261" s="1">
        <v>2500</v>
      </c>
      <c r="I261">
        <v>7749</v>
      </c>
      <c r="J261">
        <v>4</v>
      </c>
      <c r="K261">
        <v>2</v>
      </c>
      <c r="M261" s="2" t="str">
        <f>HYPERLINK("http://www.windermere.com/index.cfm?fuseaction=Listing.MapPropertyInteractive&amp;ListingID=18768523&amp;resize=true&amp;windowWidth=800&amp;windowHeight=600","Map")</f>
        <v>Map</v>
      </c>
      <c r="O261" s="2" t="str">
        <f>HYPERLINK("http://www.windermere.com/index.cfm?fuseaction=Listing.MultiImageViewer&amp;ListingID=18768523&amp;ln=27180210&amp;pub_mls=1","More")</f>
        <v>More</v>
      </c>
      <c r="P261" t="s">
        <v>44</v>
      </c>
      <c r="AI261" t="s">
        <v>66</v>
      </c>
      <c r="AJ261">
        <v>98125</v>
      </c>
      <c r="AS261" t="s">
        <v>758</v>
      </c>
      <c r="AT261">
        <v>18768523</v>
      </c>
      <c r="AU261" s="12">
        <v>39495</v>
      </c>
      <c r="BB261" t="s">
        <v>912</v>
      </c>
      <c r="BC261" s="7">
        <v>39360</v>
      </c>
      <c r="BG261">
        <v>135</v>
      </c>
      <c r="BH261" s="17">
        <f t="shared" ca="1" si="4"/>
        <v>167</v>
      </c>
      <c r="BI261" s="17"/>
      <c r="BJ261" s="17"/>
    </row>
    <row r="262" spans="1:63" hidden="1">
      <c r="A262">
        <v>28017471</v>
      </c>
      <c r="B262" s="2" t="str">
        <f>HYPERLINK("http://www.windermere.com/index.cfm?fuseaction=Listing.ListingDetail&amp;ListingID=19322432","Active")</f>
        <v>Active</v>
      </c>
      <c r="D262" t="s">
        <v>63</v>
      </c>
      <c r="E262" t="s">
        <v>761</v>
      </c>
      <c r="F262" s="13">
        <v>439000</v>
      </c>
      <c r="G262" t="s">
        <v>147</v>
      </c>
      <c r="H262" s="1">
        <v>1459</v>
      </c>
      <c r="J262">
        <v>2</v>
      </c>
      <c r="K262">
        <v>1.5</v>
      </c>
      <c r="M262" s="2" t="str">
        <f>HYPERLINK("http://www.windermere.com/index.cfm?fuseaction=Listing.MapPropertyInteractive&amp;ListingID=19322432&amp;resize=true&amp;windowWidth=800&amp;windowHeight=600","Map")</f>
        <v>Map</v>
      </c>
      <c r="O262" s="2" t="str">
        <f>HYPERLINK("http://www.windermere.com/index.cfm?fuseaction=Listing.MultiImageViewer&amp;ListingID=19322432&amp;ln=28017471&amp;pub_mls=1","More")</f>
        <v>More</v>
      </c>
      <c r="AI262" t="s">
        <v>66</v>
      </c>
      <c r="AJ262">
        <v>98107</v>
      </c>
      <c r="AS262" t="s">
        <v>762</v>
      </c>
      <c r="AT262">
        <v>19322432</v>
      </c>
      <c r="AU262" s="12">
        <v>39495</v>
      </c>
      <c r="BB262" t="s">
        <v>912</v>
      </c>
      <c r="BC262" s="7">
        <v>39482</v>
      </c>
      <c r="BD262">
        <v>2</v>
      </c>
      <c r="BE262" t="s">
        <v>1378</v>
      </c>
      <c r="BG262">
        <v>13</v>
      </c>
      <c r="BH262" s="17">
        <f t="shared" ca="1" si="4"/>
        <v>45</v>
      </c>
      <c r="BI262" s="17"/>
      <c r="BJ262" s="17"/>
    </row>
    <row r="263" spans="1:63" hidden="1">
      <c r="A263">
        <v>28017956</v>
      </c>
      <c r="B263" s="2" t="str">
        <f>HYPERLINK("http://www.windermere.com/index.cfm?fuseaction=Listing.ListingDetail&amp;ListingID=19327829","Subject To Inspection")</f>
        <v>Subject To Inspection</v>
      </c>
      <c r="C263">
        <v>705</v>
      </c>
      <c r="D263" t="s">
        <v>42</v>
      </c>
      <c r="E263" t="s">
        <v>759</v>
      </c>
      <c r="F263" s="10">
        <v>449000</v>
      </c>
      <c r="G263" t="s">
        <v>144</v>
      </c>
      <c r="H263" s="1">
        <v>1870</v>
      </c>
      <c r="I263">
        <v>8840</v>
      </c>
      <c r="J263">
        <v>7</v>
      </c>
      <c r="K263">
        <v>1.75</v>
      </c>
      <c r="L263">
        <v>1</v>
      </c>
      <c r="M263" s="2" t="str">
        <f>HYPERLINK("http://www.windermere.com/index.cfm?fuseaction=Listing.MapPropertyInteractive&amp;ListingID=19327829&amp;resize=true&amp;windowWidth=800&amp;windowHeight=600","Map")</f>
        <v>Map</v>
      </c>
      <c r="N263" s="2" t="str">
        <f>HYPERLINK("http://locmedia.nwmls.com/DO_NOT_LINK/bigphoto/956/28017956.jpg?tsp=20080206133228","Photo")</f>
        <v>Photo</v>
      </c>
      <c r="O263" s="2" t="str">
        <f>HYPERLINK("http://www.windermere.com/index.cfm?fuseaction=Listing.MultiImageViewer&amp;ListingID=19327829&amp;ln=28017956&amp;pub_mls=1","More")</f>
        <v>More</v>
      </c>
      <c r="P263" t="s">
        <v>44</v>
      </c>
      <c r="Q263" t="s">
        <v>56</v>
      </c>
      <c r="R263" t="s">
        <v>1003</v>
      </c>
      <c r="S263" t="s">
        <v>1004</v>
      </c>
      <c r="T263" t="s">
        <v>95</v>
      </c>
      <c r="U263" t="s">
        <v>44</v>
      </c>
      <c r="X263" t="s">
        <v>47</v>
      </c>
      <c r="Y263" t="s">
        <v>48</v>
      </c>
      <c r="Z263" t="s">
        <v>83</v>
      </c>
      <c r="AB263">
        <v>2006</v>
      </c>
      <c r="AC263">
        <v>3271</v>
      </c>
      <c r="AD263" t="s">
        <v>1005</v>
      </c>
      <c r="AE263" t="s">
        <v>74</v>
      </c>
      <c r="AF263" t="s">
        <v>1006</v>
      </c>
      <c r="AG263">
        <v>47.722012999999997</v>
      </c>
      <c r="AH263">
        <v>-122.33445</v>
      </c>
      <c r="AI263" t="s">
        <v>66</v>
      </c>
      <c r="AJ263">
        <v>98133</v>
      </c>
      <c r="AK263" t="s">
        <v>41</v>
      </c>
      <c r="AL263" t="s">
        <v>40</v>
      </c>
      <c r="AM263" t="s">
        <v>40</v>
      </c>
      <c r="AO263">
        <v>0.20300000000000001</v>
      </c>
      <c r="AP263" t="s">
        <v>1007</v>
      </c>
      <c r="AQ263">
        <v>505</v>
      </c>
      <c r="AR263" t="s">
        <v>43</v>
      </c>
      <c r="AS263" t="s">
        <v>760</v>
      </c>
      <c r="AT263">
        <v>19327829</v>
      </c>
      <c r="AU263" s="12">
        <v>39495</v>
      </c>
      <c r="BA263" t="s">
        <v>912</v>
      </c>
      <c r="BB263" t="s">
        <v>912</v>
      </c>
      <c r="BC263" s="7">
        <v>39483</v>
      </c>
      <c r="BG263">
        <v>12</v>
      </c>
      <c r="BH263" s="17">
        <f t="shared" ca="1" si="4"/>
        <v>44</v>
      </c>
      <c r="BI263" s="17"/>
      <c r="BJ263" s="17"/>
      <c r="BK263" t="str">
        <f>B263</f>
        <v>Subject To Inspection</v>
      </c>
    </row>
    <row r="264" spans="1:63" hidden="1">
      <c r="A264">
        <v>28027394</v>
      </c>
      <c r="B264" s="15" t="str">
        <f>HYPERLINK("http://www.windermere.com/index.cfm?fuseaction=Listing.ListingDetail&amp;ListingID=19374487","Subject To Inspection")</f>
        <v>Subject To Inspection</v>
      </c>
      <c r="D264" t="s">
        <v>218</v>
      </c>
      <c r="E264" t="s">
        <v>763</v>
      </c>
      <c r="F264" s="10">
        <v>449000</v>
      </c>
      <c r="G264" t="s">
        <v>129</v>
      </c>
      <c r="H264" s="1">
        <v>1980</v>
      </c>
      <c r="I264">
        <v>3280</v>
      </c>
      <c r="J264">
        <v>3</v>
      </c>
      <c r="K264">
        <v>2</v>
      </c>
      <c r="M264" s="2" t="str">
        <f>HYPERLINK("http://www.windermere.com/index.cfm?fuseaction=Listing.MapPropertyInteractive&amp;ListingID=19374487&amp;resize=true&amp;windowWidth=800&amp;windowHeight=600","Map")</f>
        <v>Map</v>
      </c>
      <c r="O264" s="2" t="str">
        <f>HYPERLINK("http://www.windermere.com/index.cfm?fuseaction=Listing.MultiImageViewer&amp;ListingID=19374487&amp;ln=28027394&amp;pub_mls=1","More")</f>
        <v>More</v>
      </c>
      <c r="AI264" t="s">
        <v>66</v>
      </c>
      <c r="AJ264">
        <v>98115</v>
      </c>
      <c r="AS264" t="s">
        <v>764</v>
      </c>
      <c r="AT264">
        <v>19374487</v>
      </c>
      <c r="AU264" s="12">
        <v>39495</v>
      </c>
      <c r="BB264" t="s">
        <v>912</v>
      </c>
      <c r="BC264" s="7">
        <v>39493</v>
      </c>
      <c r="BG264">
        <v>2</v>
      </c>
      <c r="BH264" s="17">
        <f t="shared" ca="1" si="4"/>
        <v>34</v>
      </c>
      <c r="BI264" s="17"/>
      <c r="BJ264" s="17"/>
    </row>
    <row r="265" spans="1:63" hidden="1">
      <c r="A265">
        <v>27205585</v>
      </c>
      <c r="B265" s="2" t="str">
        <f>HYPERLINK("http://www.windermere.com/index.cfm?fuseaction=Listing.ListingDetail&amp;ListingID=19012321","Active")</f>
        <v>Active</v>
      </c>
      <c r="D265" t="s">
        <v>1142</v>
      </c>
      <c r="E265" t="s">
        <v>765</v>
      </c>
      <c r="F265" s="18">
        <v>439500</v>
      </c>
      <c r="G265" t="s">
        <v>143</v>
      </c>
      <c r="H265" s="1">
        <v>1720</v>
      </c>
      <c r="J265">
        <v>3</v>
      </c>
      <c r="K265">
        <v>3.5</v>
      </c>
      <c r="M265" s="2" t="str">
        <f>HYPERLINK("http://www.windermere.com/index.cfm?fuseaction=Listing.MapPropertyInteractive&amp;ListingID=19012321&amp;resize=true&amp;windowWidth=800&amp;windowHeight=600","Map")</f>
        <v>Map</v>
      </c>
      <c r="O265" s="2" t="str">
        <f>HYPERLINK("http://www.windermere.com/index.cfm?fuseaction=viewGallery.Home&amp;customTourID=201073&amp;wvt=0","More")</f>
        <v>More</v>
      </c>
      <c r="P265" t="s">
        <v>44</v>
      </c>
      <c r="AI265" t="s">
        <v>66</v>
      </c>
      <c r="AJ265">
        <v>98103</v>
      </c>
      <c r="AS265" t="s">
        <v>766</v>
      </c>
      <c r="AT265">
        <v>19012321</v>
      </c>
      <c r="AU265" s="12">
        <v>39495</v>
      </c>
      <c r="BB265" t="s">
        <v>912</v>
      </c>
      <c r="BC265" s="7">
        <v>39411</v>
      </c>
      <c r="BG265">
        <v>84</v>
      </c>
      <c r="BH265" s="17">
        <f t="shared" ca="1" si="4"/>
        <v>116</v>
      </c>
      <c r="BI265" s="17"/>
      <c r="BJ265" s="17"/>
    </row>
    <row r="266" spans="1:63" hidden="1">
      <c r="A266">
        <v>28019505</v>
      </c>
      <c r="B266" s="4" t="str">
        <f>HYPERLINK("http://www.windermere.com/index.cfm?fuseaction=Listing.ListingDetail&amp;ListingID=19310141","Subject To Inspection")</f>
        <v>Subject To Inspection</v>
      </c>
      <c r="D266" t="s">
        <v>984</v>
      </c>
      <c r="E266" t="s">
        <v>214</v>
      </c>
      <c r="F266" s="10">
        <v>449500</v>
      </c>
      <c r="G266" t="s">
        <v>215</v>
      </c>
      <c r="H266" s="1">
        <v>2240</v>
      </c>
      <c r="I266">
        <v>3075</v>
      </c>
      <c r="J266">
        <v>3</v>
      </c>
      <c r="K266">
        <v>2</v>
      </c>
      <c r="M266" s="2" t="str">
        <f>HYPERLINK("http://www.windermere.com/index.cfm?fuseaction=Listing.MapPropertyInteractive&amp;ListingID=19310141&amp;resize=true&amp;windowWidth=800&amp;windowHeight=600","Map")</f>
        <v>Map</v>
      </c>
      <c r="O266" s="2" t="str">
        <f>HYPERLINK("http://www.windermere.com/index.cfm?fuseaction=Listing.MultiImageViewer&amp;ListingID=19310141&amp;ln=28019505&amp;pub_mls=1","More")</f>
        <v>More</v>
      </c>
      <c r="AI266" t="s">
        <v>66</v>
      </c>
      <c r="AJ266">
        <v>98115</v>
      </c>
      <c r="AS266" t="s">
        <v>1141</v>
      </c>
      <c r="AT266">
        <v>19310141</v>
      </c>
      <c r="AU266" s="12">
        <v>39495</v>
      </c>
      <c r="BB266" t="s">
        <v>912</v>
      </c>
      <c r="BC266" s="7">
        <v>39479</v>
      </c>
      <c r="BG266">
        <v>16</v>
      </c>
      <c r="BH266" s="17">
        <f t="shared" ca="1" si="4"/>
        <v>48</v>
      </c>
      <c r="BI266" s="17"/>
      <c r="BJ266" s="17"/>
    </row>
    <row r="267" spans="1:63" hidden="1">
      <c r="A267">
        <v>28001335</v>
      </c>
      <c r="B267" s="15" t="str">
        <f>HYPERLINK("http://www.windermere.com/index.cfm?fuseaction=Listing.ListingDetail&amp;ListingID=19150106","Subject To Inspection")</f>
        <v>Subject To Inspection</v>
      </c>
      <c r="D267" t="s">
        <v>63</v>
      </c>
      <c r="E267" t="s">
        <v>767</v>
      </c>
      <c r="F267" s="10">
        <v>449888</v>
      </c>
      <c r="G267" t="s">
        <v>374</v>
      </c>
      <c r="H267" s="1">
        <v>1670</v>
      </c>
      <c r="J267">
        <v>3</v>
      </c>
      <c r="K267">
        <v>2</v>
      </c>
      <c r="M267" s="2" t="str">
        <f>HYPERLINK("http://www.windermere.com/index.cfm?fuseaction=Listing.MapPropertyInteractive&amp;ListingID=19150106&amp;resize=true&amp;windowWidth=800&amp;windowHeight=600","Map")</f>
        <v>Map</v>
      </c>
      <c r="O267" s="2" t="str">
        <f>HYPERLINK("http://www.windermere.com/index.cfm?fuseaction=Listing.MultiImageViewer&amp;ListingID=19150106&amp;ln=28001335&amp;pub_mls=1","More")</f>
        <v>More</v>
      </c>
      <c r="AI267" t="s">
        <v>66</v>
      </c>
      <c r="AJ267">
        <v>98107</v>
      </c>
      <c r="AS267" t="s">
        <v>768</v>
      </c>
      <c r="AT267">
        <v>19150106</v>
      </c>
      <c r="AU267" s="12">
        <v>39495</v>
      </c>
      <c r="BB267" t="s">
        <v>912</v>
      </c>
      <c r="BC267" s="7">
        <v>39449</v>
      </c>
      <c r="BD267">
        <v>3</v>
      </c>
      <c r="BE267" t="s">
        <v>1379</v>
      </c>
      <c r="BG267">
        <v>46</v>
      </c>
      <c r="BH267" s="17">
        <f t="shared" ca="1" si="4"/>
        <v>78</v>
      </c>
      <c r="BI267" s="17"/>
      <c r="BJ267" s="17"/>
    </row>
    <row r="268" spans="1:63" hidden="1">
      <c r="A268">
        <v>27191868</v>
      </c>
      <c r="B268" s="2" t="str">
        <f>HYPERLINK("http://www.windermere.com/index.cfm?fuseaction=Listing.ListingDetail&amp;ListingID=18865361","Active")</f>
        <v>Active</v>
      </c>
      <c r="D268" t="s">
        <v>55</v>
      </c>
      <c r="E268" t="s">
        <v>152</v>
      </c>
      <c r="F268" s="13">
        <v>434900</v>
      </c>
      <c r="G268" t="s">
        <v>153</v>
      </c>
      <c r="H268" s="1">
        <v>2080</v>
      </c>
      <c r="I268">
        <v>4950</v>
      </c>
      <c r="J268">
        <v>3</v>
      </c>
      <c r="K268">
        <v>1.5</v>
      </c>
      <c r="M268" s="2" t="str">
        <f>HYPERLINK("http://www.windermere.com/index.cfm?fuseaction=Listing.MapPropertyInteractive&amp;ListingID=18865361&amp;resize=true&amp;windowWidth=800&amp;windowHeight=600","Map")</f>
        <v>Map</v>
      </c>
      <c r="O268" s="2" t="str">
        <f>HYPERLINK("http://www.windermere.com/index.cfm?fuseaction=Listing.MultiImageViewer&amp;ListingID=18865361&amp;ln=27191868&amp;pub_mls=1","More")</f>
        <v>More</v>
      </c>
      <c r="AI268" t="s">
        <v>66</v>
      </c>
      <c r="AJ268">
        <v>98117</v>
      </c>
      <c r="AS268" t="s">
        <v>285</v>
      </c>
      <c r="AT268">
        <v>18865361</v>
      </c>
      <c r="AU268" s="12">
        <v>39495</v>
      </c>
      <c r="BB268" t="s">
        <v>912</v>
      </c>
      <c r="BC268" s="7">
        <v>39380</v>
      </c>
      <c r="BG268">
        <v>115</v>
      </c>
      <c r="BH268" s="17">
        <f t="shared" ca="1" si="4"/>
        <v>147</v>
      </c>
      <c r="BI268" s="17"/>
      <c r="BJ268" s="17"/>
    </row>
    <row r="269" spans="1:63" hidden="1">
      <c r="A269">
        <v>28000354</v>
      </c>
      <c r="B269" s="2" t="str">
        <f>HYPERLINK("http://www.windermere.com/index.cfm?fuseaction=Listing.ListingDetail&amp;ListingID=19143675","Active")</f>
        <v>Active</v>
      </c>
      <c r="D269" t="s">
        <v>1130</v>
      </c>
      <c r="E269" t="s">
        <v>1143</v>
      </c>
      <c r="F269" s="10">
        <v>449950</v>
      </c>
      <c r="G269" t="s">
        <v>168</v>
      </c>
      <c r="H269" s="1">
        <v>1290</v>
      </c>
      <c r="I269">
        <v>10048</v>
      </c>
      <c r="J269">
        <v>2</v>
      </c>
      <c r="K269">
        <v>1.5</v>
      </c>
      <c r="M269" s="2" t="str">
        <f>HYPERLINK("http://www.windermere.com/index.cfm?fuseaction=Listing.MapPropertyInteractive&amp;ListingID=19143675&amp;resize=true&amp;windowWidth=800&amp;windowHeight=600","Map")</f>
        <v>Map</v>
      </c>
      <c r="O269" s="2" t="str">
        <f>HYPERLINK("http://www.windermere.com/index.cfm?fuseaction=Listing.MultiImageViewer&amp;ListingID=19143675&amp;ln=28000354&amp;pub_mls=1","More")</f>
        <v>More</v>
      </c>
      <c r="P269" t="s">
        <v>44</v>
      </c>
      <c r="AI269" t="s">
        <v>66</v>
      </c>
      <c r="AJ269">
        <v>98125</v>
      </c>
      <c r="AS269" t="s">
        <v>1144</v>
      </c>
      <c r="AT269">
        <v>19143675</v>
      </c>
      <c r="AU269" s="12">
        <v>39495</v>
      </c>
      <c r="BB269" t="s">
        <v>912</v>
      </c>
      <c r="BC269" s="7">
        <v>39448</v>
      </c>
      <c r="BG269">
        <v>47</v>
      </c>
      <c r="BH269" s="17">
        <f t="shared" ca="1" si="4"/>
        <v>79</v>
      </c>
      <c r="BI269" s="17"/>
      <c r="BJ269" s="17"/>
    </row>
    <row r="270" spans="1:63" hidden="1">
      <c r="A270">
        <v>28008371</v>
      </c>
      <c r="B270" s="2" t="str">
        <f>HYPERLINK("http://www.windermere.com/index.cfm?fuseaction=Listing.ListingDetail&amp;ListingID=19220502","Subject To Inspection")</f>
        <v>Subject To Inspection</v>
      </c>
      <c r="D270" t="s">
        <v>60</v>
      </c>
      <c r="E270" t="s">
        <v>769</v>
      </c>
      <c r="F270" s="10">
        <v>449950</v>
      </c>
      <c r="G270" t="s">
        <v>168</v>
      </c>
      <c r="H270" s="1">
        <v>2040</v>
      </c>
      <c r="I270">
        <v>4500</v>
      </c>
      <c r="J270">
        <v>3</v>
      </c>
      <c r="K270">
        <v>1.75</v>
      </c>
      <c r="M270" s="2" t="str">
        <f>HYPERLINK("http://www.windermere.com/index.cfm?fuseaction=Listing.MapPropertyInteractive&amp;ListingID=19220502&amp;resize=true&amp;windowWidth=800&amp;windowHeight=600","Map")</f>
        <v>Map</v>
      </c>
      <c r="O270" s="2" t="str">
        <f>HYPERLINK("http://www.windermere.com/index.cfm?fuseaction=Listing.MultiImageViewer&amp;ListingID=19220502&amp;ln=28008371&amp;pub_mls=1","More")</f>
        <v>More</v>
      </c>
      <c r="P270" t="s">
        <v>44</v>
      </c>
      <c r="AI270" t="s">
        <v>66</v>
      </c>
      <c r="AJ270">
        <v>98103</v>
      </c>
      <c r="AS270" t="s">
        <v>770</v>
      </c>
      <c r="AT270">
        <v>19220502</v>
      </c>
      <c r="AU270" s="12">
        <v>39495</v>
      </c>
      <c r="BB270" t="s">
        <v>912</v>
      </c>
      <c r="BC270" t="s">
        <v>1413</v>
      </c>
      <c r="BG270">
        <v>0</v>
      </c>
      <c r="BH270" s="17" t="e">
        <f t="shared" ca="1" si="4"/>
        <v>#VALUE!</v>
      </c>
      <c r="BI270" s="17"/>
      <c r="BJ270" s="17"/>
      <c r="BK270" t="str">
        <f>B270</f>
        <v>Subject To Inspection</v>
      </c>
    </row>
    <row r="271" spans="1:63" hidden="1">
      <c r="A271">
        <v>28014057</v>
      </c>
      <c r="B271" s="15" t="str">
        <f>HYPERLINK("http://www.windermere.com/index.cfm?fuseaction=Listing.ListingDetail&amp;ListingID=19266059","Subject To Inspection")</f>
        <v>Subject To Inspection</v>
      </c>
      <c r="D271" t="s">
        <v>63</v>
      </c>
      <c r="E271" t="s">
        <v>771</v>
      </c>
      <c r="F271" s="13">
        <v>429950</v>
      </c>
      <c r="G271" t="s">
        <v>247</v>
      </c>
      <c r="H271" s="1">
        <v>1490</v>
      </c>
      <c r="J271">
        <v>3</v>
      </c>
      <c r="K271">
        <v>2.5</v>
      </c>
      <c r="M271" s="2" t="str">
        <f>HYPERLINK("http://www.windermere.com/index.cfm?fuseaction=Listing.MapPropertyInteractive&amp;ListingID=19266059&amp;resize=true&amp;windowWidth=800&amp;windowHeight=600","Map")</f>
        <v>Map</v>
      </c>
      <c r="O271" s="2" t="str">
        <f>HYPERLINK("http://www.windermere.com/index.cfm?fuseaction=Listing.MultiImageViewer&amp;ListingID=19266059&amp;ln=28014057&amp;pub_mls=1","More")</f>
        <v>More</v>
      </c>
      <c r="P271" t="s">
        <v>44</v>
      </c>
      <c r="AI271" t="s">
        <v>66</v>
      </c>
      <c r="AJ271">
        <v>98107</v>
      </c>
      <c r="AS271" t="s">
        <v>772</v>
      </c>
      <c r="AT271">
        <v>19266059</v>
      </c>
      <c r="AU271" s="12">
        <v>39495</v>
      </c>
      <c r="BB271" t="s">
        <v>912</v>
      </c>
      <c r="BC271" s="7">
        <v>39470</v>
      </c>
      <c r="BG271">
        <v>25</v>
      </c>
      <c r="BH271" s="17">
        <f t="shared" ca="1" si="4"/>
        <v>57</v>
      </c>
      <c r="BI271" s="17"/>
      <c r="BJ271" s="17"/>
    </row>
    <row r="272" spans="1:63" hidden="1">
      <c r="A272">
        <v>28017708</v>
      </c>
      <c r="B272" s="2" t="str">
        <f>HYPERLINK("http://www.windermere.com/index.cfm?fuseaction=Listing.ListingDetail&amp;ListingID=19295761","Active")</f>
        <v>Active</v>
      </c>
      <c r="D272" t="s">
        <v>101</v>
      </c>
      <c r="E272" t="s">
        <v>163</v>
      </c>
      <c r="F272" s="10">
        <v>449950</v>
      </c>
      <c r="G272" t="s">
        <v>164</v>
      </c>
      <c r="H272" s="1">
        <v>1160</v>
      </c>
      <c r="I272">
        <v>7590</v>
      </c>
      <c r="J272">
        <v>2</v>
      </c>
      <c r="K272">
        <v>1</v>
      </c>
      <c r="M272" s="2" t="str">
        <f>HYPERLINK("http://www.windermere.com/index.cfm?fuseaction=Listing.MapPropertyInteractive&amp;ListingID=19295761&amp;resize=true&amp;windowWidth=800&amp;windowHeight=600","Map")</f>
        <v>Map</v>
      </c>
      <c r="O272" s="2" t="str">
        <f>HYPERLINK("http://www.windermere.com/index.cfm?fuseaction=Listing.MultiImageViewer&amp;ListingID=19295761&amp;ln=28017708&amp;pub_mls=1","More")</f>
        <v>More</v>
      </c>
      <c r="AI272" t="s">
        <v>66</v>
      </c>
      <c r="AJ272">
        <v>98117</v>
      </c>
      <c r="AS272" t="s">
        <v>284</v>
      </c>
      <c r="AT272">
        <v>19295761</v>
      </c>
      <c r="AU272" s="12">
        <v>39495</v>
      </c>
      <c r="BB272" t="s">
        <v>912</v>
      </c>
      <c r="BC272" s="7">
        <v>39477</v>
      </c>
      <c r="BG272">
        <v>18</v>
      </c>
      <c r="BH272" s="17">
        <f t="shared" ca="1" si="4"/>
        <v>50</v>
      </c>
      <c r="BI272" s="17"/>
      <c r="BJ272" s="17"/>
    </row>
    <row r="273" spans="1:63" hidden="1">
      <c r="A273">
        <v>27198190</v>
      </c>
      <c r="B273" s="4" t="str">
        <f>HYPERLINK("http://www.windermere.com/index.cfm?fuseaction=Listing.ListingDetail&amp;ListingID=18927434","Subject To Inspection")</f>
        <v>Subject To Inspection</v>
      </c>
      <c r="D273" t="s">
        <v>920</v>
      </c>
      <c r="E273" t="s">
        <v>775</v>
      </c>
      <c r="F273" s="10">
        <v>449990</v>
      </c>
      <c r="G273" t="s">
        <v>143</v>
      </c>
      <c r="H273" s="1">
        <v>2130</v>
      </c>
      <c r="I273">
        <v>6187</v>
      </c>
      <c r="J273">
        <v>5</v>
      </c>
      <c r="K273">
        <v>3</v>
      </c>
      <c r="M273" s="2" t="str">
        <f>HYPERLINK("http://www.windermere.com/index.cfm?fuseaction=Listing.MapPropertyInteractive&amp;ListingID=18927434&amp;resize=true&amp;windowWidth=800&amp;windowHeight=600","Map")</f>
        <v>Map</v>
      </c>
      <c r="O273" s="2" t="str">
        <f>HYPERLINK("http://www.windermere.com/index.cfm?fuseaction=Listing.MultiImageViewer&amp;ListingID=18927434&amp;ln=27198190&amp;pub_mls=1","More")</f>
        <v>More</v>
      </c>
      <c r="AI273" t="s">
        <v>66</v>
      </c>
      <c r="AJ273">
        <v>98125</v>
      </c>
      <c r="AS273" t="s">
        <v>776</v>
      </c>
      <c r="AT273">
        <v>18927434</v>
      </c>
      <c r="AU273" s="12">
        <v>39495</v>
      </c>
      <c r="BB273" t="s">
        <v>912</v>
      </c>
      <c r="BC273" s="7">
        <v>39393</v>
      </c>
      <c r="BG273">
        <v>102</v>
      </c>
      <c r="BH273" s="17">
        <f t="shared" ca="1" si="4"/>
        <v>134</v>
      </c>
      <c r="BI273" s="17"/>
      <c r="BJ273" s="17"/>
    </row>
    <row r="274" spans="1:63" hidden="1">
      <c r="A274">
        <v>27208224</v>
      </c>
      <c r="B274" s="2" t="str">
        <f>HYPERLINK("http://www.windermere.com/index.cfm?fuseaction=Listing.ListingDetail&amp;ListingID=19037181","Active")</f>
        <v>Active</v>
      </c>
      <c r="D274" t="s">
        <v>218</v>
      </c>
      <c r="E274" t="s">
        <v>773</v>
      </c>
      <c r="F274" s="10">
        <v>449990</v>
      </c>
      <c r="G274" t="s">
        <v>176</v>
      </c>
      <c r="I274">
        <v>5659</v>
      </c>
      <c r="J274">
        <v>2</v>
      </c>
      <c r="K274">
        <v>1</v>
      </c>
      <c r="M274" s="2" t="str">
        <f>HYPERLINK("http://www.windermere.com/index.cfm?fuseaction=Listing.MapPropertyInteractive&amp;ListingID=19037181&amp;resize=true&amp;windowWidth=800&amp;windowHeight=600","Map")</f>
        <v>Map</v>
      </c>
      <c r="O274" s="2" t="str">
        <f>HYPERLINK("http://www.windermere.com/index.cfm?fuseaction=Listing.MultiImageViewer&amp;ListingID=19037181&amp;ln=27208224&amp;pub_mls=1","More")</f>
        <v>More</v>
      </c>
      <c r="P274" t="s">
        <v>44</v>
      </c>
      <c r="AI274" t="s">
        <v>66</v>
      </c>
      <c r="AJ274">
        <v>98115</v>
      </c>
      <c r="AS274" t="s">
        <v>774</v>
      </c>
      <c r="AT274">
        <v>19037181</v>
      </c>
      <c r="AU274" s="12">
        <v>39495</v>
      </c>
      <c r="BB274" t="s">
        <v>912</v>
      </c>
      <c r="BC274" s="7">
        <v>39417</v>
      </c>
      <c r="BG274">
        <v>78</v>
      </c>
      <c r="BH274" s="17">
        <f t="shared" ca="1" si="4"/>
        <v>110</v>
      </c>
      <c r="BI274" s="17"/>
      <c r="BJ274" s="17"/>
    </row>
    <row r="275" spans="1:63" hidden="1">
      <c r="A275">
        <v>27187495</v>
      </c>
      <c r="B275" s="2" t="str">
        <f>HYPERLINK("http://www.windermere.com/index.cfm?fuseaction=Listing.ListingDetail&amp;ListingID=18820818","Active")</f>
        <v>Active</v>
      </c>
      <c r="D275" t="s">
        <v>283</v>
      </c>
      <c r="E275" t="s">
        <v>158</v>
      </c>
      <c r="F275" s="10">
        <v>450000</v>
      </c>
      <c r="G275" t="s">
        <v>126</v>
      </c>
      <c r="H275" s="1">
        <v>1830</v>
      </c>
      <c r="I275">
        <v>4284</v>
      </c>
      <c r="J275">
        <v>2</v>
      </c>
      <c r="K275">
        <v>1</v>
      </c>
      <c r="M275" s="2" t="str">
        <f>HYPERLINK("http://www.windermere.com/index.cfm?fuseaction=Listing.MapPropertyInteractive&amp;ListingID=18820818&amp;resize=true&amp;windowWidth=800&amp;windowHeight=600","Map")</f>
        <v>Map</v>
      </c>
      <c r="O275" s="2" t="str">
        <f>HYPERLINK("http://www.windermere.com/index.cfm?fuseaction=viewGallery.Home&amp;customTourID=197661&amp;wvt=0","More")</f>
        <v>More</v>
      </c>
      <c r="P275" t="s">
        <v>44</v>
      </c>
      <c r="AI275" t="s">
        <v>66</v>
      </c>
      <c r="AJ275">
        <v>98117</v>
      </c>
      <c r="AS275" t="s">
        <v>282</v>
      </c>
      <c r="AT275">
        <v>18820818</v>
      </c>
      <c r="AU275" s="12">
        <v>39495</v>
      </c>
      <c r="BB275" t="s">
        <v>912</v>
      </c>
      <c r="BC275" s="7">
        <v>39372</v>
      </c>
      <c r="BG275">
        <v>123</v>
      </c>
      <c r="BH275" s="17">
        <f t="shared" ca="1" si="4"/>
        <v>155</v>
      </c>
      <c r="BI275" s="17"/>
      <c r="BJ275" s="17"/>
    </row>
    <row r="276" spans="1:63" hidden="1">
      <c r="A276">
        <v>28002721</v>
      </c>
      <c r="B276" s="2" t="str">
        <f>HYPERLINK("http://www.windermere.com/index.cfm?fuseaction=Listing.ListingDetail&amp;ListingID=19533879","Active")</f>
        <v>Active</v>
      </c>
      <c r="D276" t="s">
        <v>63</v>
      </c>
      <c r="E276" t="s">
        <v>148</v>
      </c>
      <c r="F276" s="18">
        <v>439000</v>
      </c>
      <c r="G276" t="s">
        <v>144</v>
      </c>
      <c r="H276" s="1">
        <v>1520</v>
      </c>
      <c r="I276">
        <v>4000</v>
      </c>
      <c r="J276">
        <v>3</v>
      </c>
      <c r="K276">
        <v>1.75</v>
      </c>
      <c r="M276" s="2" t="str">
        <f>HYPERLINK("http://www.windermere.com/index.cfm?fuseaction=Listing.MapPropertyInteractive&amp;ListingID=19533879&amp;resize=true&amp;windowWidth=800&amp;windowHeight=600","Map")</f>
        <v>Map</v>
      </c>
      <c r="O276" s="2" t="str">
        <f>HYPERLINK("http://www.windermere.com/index.cfm?fuseaction=Listing.MultiImageViewer&amp;ListingID=19533879&amp;ln=28002721&amp;pub_mls=1","More")</f>
        <v>More</v>
      </c>
      <c r="AI276" t="s">
        <v>66</v>
      </c>
      <c r="AJ276">
        <v>98107</v>
      </c>
      <c r="AS276" s="3" t="s">
        <v>1821</v>
      </c>
      <c r="AT276" s="3">
        <v>19533879</v>
      </c>
      <c r="AU276" s="12">
        <v>39495</v>
      </c>
      <c r="BB276" t="s">
        <v>912</v>
      </c>
      <c r="BC276" s="7">
        <v>39451</v>
      </c>
      <c r="BG276">
        <v>44</v>
      </c>
      <c r="BH276" s="17">
        <f t="shared" ca="1" si="4"/>
        <v>76</v>
      </c>
      <c r="BI276" s="17"/>
      <c r="BJ276" s="17"/>
    </row>
    <row r="277" spans="1:63" hidden="1">
      <c r="A277">
        <v>28014610</v>
      </c>
      <c r="B277" s="2" t="str">
        <f>HYPERLINK("http://www.windermere.com/index.cfm?fuseaction=Listing.ListingDetail&amp;ListingID=19281742","Active")</f>
        <v>Active</v>
      </c>
      <c r="D277" t="s">
        <v>42</v>
      </c>
      <c r="E277" t="s">
        <v>777</v>
      </c>
      <c r="F277" s="10">
        <v>450000</v>
      </c>
      <c r="G277" t="s">
        <v>778</v>
      </c>
      <c r="H277" s="1">
        <v>2670</v>
      </c>
      <c r="I277">
        <v>9102</v>
      </c>
      <c r="J277">
        <v>4</v>
      </c>
      <c r="K277">
        <v>2.75</v>
      </c>
      <c r="M277" s="2" t="str">
        <f>HYPERLINK("http://www.windermere.com/index.cfm?fuseaction=Listing.MapPropertyInteractive&amp;ListingID=19281742&amp;resize=true&amp;windowWidth=800&amp;windowHeight=600","Map")</f>
        <v>Map</v>
      </c>
      <c r="O277" s="2" t="str">
        <f>HYPERLINK("http://www.windermere.com/index.cfm?fuseaction=viewGallery.Home&amp;customTourID=205265&amp;wvt=0","More")</f>
        <v>More</v>
      </c>
      <c r="AI277" t="s">
        <v>66</v>
      </c>
      <c r="AJ277">
        <v>98133</v>
      </c>
      <c r="AS277" t="s">
        <v>779</v>
      </c>
      <c r="AT277">
        <v>19281742</v>
      </c>
      <c r="AU277" s="12">
        <v>39495</v>
      </c>
      <c r="BB277" t="s">
        <v>912</v>
      </c>
      <c r="BC277" s="7">
        <v>39473</v>
      </c>
      <c r="BG277">
        <v>22</v>
      </c>
      <c r="BH277" s="17">
        <f t="shared" ca="1" si="4"/>
        <v>54</v>
      </c>
      <c r="BI277" s="17"/>
      <c r="BJ277" s="17"/>
    </row>
    <row r="278" spans="1:63" hidden="1">
      <c r="A278">
        <v>28014838</v>
      </c>
      <c r="B278" s="2" t="str">
        <f>HYPERLINK("http://www.windermere.com/index.cfm?fuseaction=Listing.ListingDetail&amp;ListingID=19272515","Active")</f>
        <v>Active</v>
      </c>
      <c r="D278" t="s">
        <v>66</v>
      </c>
      <c r="E278" t="s">
        <v>174</v>
      </c>
      <c r="F278" s="10">
        <v>450000</v>
      </c>
      <c r="G278" t="s">
        <v>130</v>
      </c>
      <c r="H278" s="1">
        <v>2590</v>
      </c>
      <c r="I278">
        <v>6480</v>
      </c>
      <c r="J278">
        <v>4</v>
      </c>
      <c r="K278">
        <v>1.75</v>
      </c>
      <c r="M278" s="2" t="str">
        <f>HYPERLINK("http://www.windermere.com/index.cfm?fuseaction=Listing.MapPropertyInteractive&amp;ListingID=19272515&amp;resize=true&amp;windowWidth=800&amp;windowHeight=600","Map")</f>
        <v>Map</v>
      </c>
      <c r="O278" s="2" t="str">
        <f>HYPERLINK("http://www.windermere.com/index.cfm?fuseaction=Listing.MultiImageViewer&amp;ListingID=19272515&amp;ln=28014838&amp;pub_mls=1","More")</f>
        <v>More</v>
      </c>
      <c r="AI278" t="s">
        <v>66</v>
      </c>
      <c r="AJ278">
        <v>98115</v>
      </c>
      <c r="AS278" t="s">
        <v>780</v>
      </c>
      <c r="AT278">
        <v>19272515</v>
      </c>
      <c r="AU278" s="12">
        <v>39495</v>
      </c>
      <c r="BB278" t="s">
        <v>912</v>
      </c>
      <c r="BC278" s="7">
        <v>39471</v>
      </c>
      <c r="BG278">
        <v>24</v>
      </c>
      <c r="BH278" s="17">
        <f t="shared" ca="1" si="4"/>
        <v>56</v>
      </c>
      <c r="BI278" s="17"/>
      <c r="BJ278" s="17"/>
    </row>
    <row r="279" spans="1:63" hidden="1">
      <c r="A279">
        <v>27091504</v>
      </c>
      <c r="B279" s="2" t="str">
        <f>HYPERLINK("http://www.windermere.com/index.cfm?fuseaction=Listing.ListingDetail&amp;ListingID=19342509","Active")</f>
        <v>Active</v>
      </c>
      <c r="D279" t="s">
        <v>70</v>
      </c>
      <c r="E279" t="s">
        <v>150</v>
      </c>
      <c r="F279" s="10">
        <v>455000</v>
      </c>
      <c r="G279" t="s">
        <v>151</v>
      </c>
      <c r="H279" s="1">
        <v>2800</v>
      </c>
      <c r="I279">
        <v>6591</v>
      </c>
      <c r="J279">
        <v>5</v>
      </c>
      <c r="K279">
        <v>1.75</v>
      </c>
      <c r="M279" s="2" t="str">
        <f>HYPERLINK("http://www.windermere.com/index.cfm?fuseaction=Listing.MapPropertyInteractive&amp;ListingID=19342509&amp;resize=true&amp;windowWidth=800&amp;windowHeight=600","Map")</f>
        <v>Map</v>
      </c>
      <c r="O279" s="2" t="str">
        <f>HYPERLINK("http://www.windermere.com/index.cfm?fuseaction=Listing.MultiImageViewer&amp;ListingID=19342509&amp;ln=27091504&amp;pub_mls=1","More")</f>
        <v>More</v>
      </c>
      <c r="P279" t="s">
        <v>44</v>
      </c>
      <c r="AI279" t="s">
        <v>66</v>
      </c>
      <c r="AJ279">
        <v>98133</v>
      </c>
      <c r="AS279" t="s">
        <v>782</v>
      </c>
      <c r="AT279">
        <v>19342509</v>
      </c>
      <c r="AU279" s="12">
        <v>39495</v>
      </c>
      <c r="BB279" t="s">
        <v>912</v>
      </c>
      <c r="BC279" s="7">
        <v>39225</v>
      </c>
      <c r="BD279">
        <v>2</v>
      </c>
      <c r="BE279" s="6" t="s">
        <v>1312</v>
      </c>
      <c r="BG279">
        <v>270</v>
      </c>
      <c r="BH279" s="17">
        <f t="shared" ca="1" si="4"/>
        <v>302</v>
      </c>
      <c r="BI279" s="17"/>
      <c r="BJ279" s="17"/>
    </row>
    <row r="280" spans="1:63" hidden="1">
      <c r="A280">
        <v>27208590</v>
      </c>
      <c r="B280" s="2" t="str">
        <f>HYPERLINK("http://www.windermere.com/index.cfm?fuseaction=Listing.ListingDetail&amp;ListingID=19041872","Active")</f>
        <v>Active</v>
      </c>
      <c r="D280" t="s">
        <v>920</v>
      </c>
      <c r="E280" t="s">
        <v>783</v>
      </c>
      <c r="F280" s="18">
        <v>449900</v>
      </c>
      <c r="G280" t="s">
        <v>137</v>
      </c>
      <c r="H280" s="1">
        <v>2200</v>
      </c>
      <c r="I280">
        <v>6720</v>
      </c>
      <c r="J280">
        <v>3</v>
      </c>
      <c r="K280">
        <v>1.75</v>
      </c>
      <c r="M280" s="2" t="str">
        <f>HYPERLINK("http://www.windermere.com/index.cfm?fuseaction=Listing.MapPropertyInteractive&amp;ListingID=19041872&amp;resize=true&amp;windowWidth=800&amp;windowHeight=600","Map")</f>
        <v>Map</v>
      </c>
      <c r="O280" s="2" t="str">
        <f>HYPERLINK("http://www.windermere.com/index.cfm?fuseaction=Listing.MultiImageViewer&amp;ListingID=19041872&amp;ln=27208590&amp;pub_mls=1","More")</f>
        <v>More</v>
      </c>
      <c r="AI280" t="s">
        <v>66</v>
      </c>
      <c r="AJ280">
        <v>98125</v>
      </c>
      <c r="AS280" t="s">
        <v>784</v>
      </c>
      <c r="AT280">
        <v>19041872</v>
      </c>
      <c r="AU280" s="12">
        <v>39495</v>
      </c>
      <c r="BB280" t="s">
        <v>912</v>
      </c>
      <c r="BC280" s="7">
        <v>39418</v>
      </c>
      <c r="BG280">
        <v>77</v>
      </c>
      <c r="BH280" s="17">
        <f t="shared" ca="1" si="4"/>
        <v>109</v>
      </c>
      <c r="BI280" s="17"/>
      <c r="BJ280" s="17"/>
    </row>
    <row r="281" spans="1:63" hidden="1">
      <c r="A281">
        <v>28011566</v>
      </c>
      <c r="B281" s="2" t="str">
        <f>HYPERLINK("http://www.windermere.com/index.cfm?fuseaction=Listing.ListingDetail&amp;ListingID=19246332","Active")</f>
        <v>Active</v>
      </c>
      <c r="D281" t="s">
        <v>60</v>
      </c>
      <c r="E281" t="s">
        <v>785</v>
      </c>
      <c r="F281" s="18">
        <v>439000</v>
      </c>
      <c r="G281" t="s">
        <v>143</v>
      </c>
      <c r="H281" s="1">
        <v>1420</v>
      </c>
      <c r="I281">
        <v>2550</v>
      </c>
      <c r="J281">
        <v>3</v>
      </c>
      <c r="K281">
        <v>2</v>
      </c>
      <c r="M281" s="2" t="str">
        <f>HYPERLINK("http://www.windermere.com/index.cfm?fuseaction=Listing.MapPropertyInteractive&amp;ListingID=19246332&amp;resize=true&amp;windowWidth=800&amp;windowHeight=600","Map")</f>
        <v>Map</v>
      </c>
      <c r="O281" s="2" t="str">
        <f>HYPERLINK("http://www.windermere.com/index.cfm?fuseaction=Listing.MultiImageViewer&amp;ListingID=19246332&amp;ln=28011566&amp;pub_mls=1","More")</f>
        <v>More</v>
      </c>
      <c r="P281" t="s">
        <v>44</v>
      </c>
      <c r="AI281" t="s">
        <v>66</v>
      </c>
      <c r="AJ281">
        <v>98103</v>
      </c>
      <c r="AS281" t="s">
        <v>786</v>
      </c>
      <c r="AT281">
        <v>19246332</v>
      </c>
      <c r="AU281" s="12">
        <v>39495</v>
      </c>
      <c r="BB281" t="s">
        <v>912</v>
      </c>
      <c r="BC281" s="7">
        <v>39465</v>
      </c>
      <c r="BG281">
        <v>30</v>
      </c>
      <c r="BH281" s="17">
        <f t="shared" ca="1" si="4"/>
        <v>62</v>
      </c>
      <c r="BI281" s="17"/>
      <c r="BJ281" s="17"/>
    </row>
    <row r="282" spans="1:63" hidden="1">
      <c r="A282">
        <v>28008189</v>
      </c>
      <c r="B282" s="2" t="str">
        <f>HYPERLINK("http://www.windermere.com/index.cfm?fuseaction=Listing.ListingDetail&amp;ListingID=19288456","Contingent")</f>
        <v>Contingent</v>
      </c>
      <c r="D282" t="s">
        <v>100</v>
      </c>
      <c r="E282" t="s">
        <v>787</v>
      </c>
      <c r="F282" s="10">
        <v>459000</v>
      </c>
      <c r="G282" t="s">
        <v>132</v>
      </c>
      <c r="H282" s="1">
        <v>1030</v>
      </c>
      <c r="I282">
        <v>4792</v>
      </c>
      <c r="J282">
        <v>2</v>
      </c>
      <c r="K282">
        <v>1</v>
      </c>
      <c r="M282" s="2" t="str">
        <f>HYPERLINK("http://www.windermere.com/index.cfm?fuseaction=Listing.MapPropertyInteractive&amp;ListingID=19288456&amp;resize=true&amp;windowWidth=800&amp;windowHeight=600","Map")</f>
        <v>Map</v>
      </c>
      <c r="O282" s="2" t="str">
        <f>HYPERLINK("http://www.windermere.com/index.cfm?fuseaction=Listing.MultiImageViewer&amp;ListingID=19288456&amp;ln=28008189&amp;pub_mls=1","More")</f>
        <v>More</v>
      </c>
      <c r="P282" t="s">
        <v>44</v>
      </c>
      <c r="AI282" t="s">
        <v>66</v>
      </c>
      <c r="AJ282">
        <v>98107</v>
      </c>
      <c r="AS282" t="s">
        <v>788</v>
      </c>
      <c r="AT282">
        <v>19288456</v>
      </c>
      <c r="AU282" s="12">
        <v>39495</v>
      </c>
      <c r="BB282" t="s">
        <v>912</v>
      </c>
      <c r="BC282" s="7">
        <v>39475</v>
      </c>
      <c r="BG282">
        <v>20</v>
      </c>
      <c r="BH282" s="17">
        <f t="shared" ca="1" si="4"/>
        <v>52</v>
      </c>
      <c r="BI282" s="17"/>
      <c r="BJ282" s="17"/>
      <c r="BK282" t="str">
        <f>B282</f>
        <v>Contingent</v>
      </c>
    </row>
    <row r="283" spans="1:63" hidden="1">
      <c r="A283">
        <v>28027410</v>
      </c>
      <c r="B283" s="15" t="str">
        <f>HYPERLINK("http://www.windermere.com/index.cfm?fuseaction=Listing.ListingDetail&amp;ListingID=19375965","Subject To Inspection")</f>
        <v>Subject To Inspection</v>
      </c>
      <c r="D283" t="s">
        <v>78</v>
      </c>
      <c r="E283" t="s">
        <v>160</v>
      </c>
      <c r="F283" s="10">
        <v>459900</v>
      </c>
      <c r="G283" t="s">
        <v>161</v>
      </c>
      <c r="H283" s="1">
        <v>1950</v>
      </c>
      <c r="I283">
        <v>3880</v>
      </c>
      <c r="J283">
        <v>3</v>
      </c>
      <c r="K283">
        <v>1.75</v>
      </c>
      <c r="M283" s="2" t="str">
        <f>HYPERLINK("http://www.windermere.com/index.cfm?fuseaction=Listing.MapPropertyInteractive&amp;ListingID=19375965&amp;resize=true&amp;windowWidth=800&amp;windowHeight=600","Map")</f>
        <v>Map</v>
      </c>
      <c r="O283" s="2" t="str">
        <f>HYPERLINK("http://www.windermere.com/index.cfm?fuseaction=Listing.MultiImageViewer&amp;ListingID=19375965&amp;ln=28027410&amp;pub_mls=1","More")</f>
        <v>More</v>
      </c>
      <c r="AI283" t="s">
        <v>66</v>
      </c>
      <c r="AJ283">
        <v>98117</v>
      </c>
      <c r="AS283" t="s">
        <v>281</v>
      </c>
      <c r="AT283">
        <v>19375965</v>
      </c>
      <c r="AU283" s="12">
        <v>39495</v>
      </c>
      <c r="BB283" t="s">
        <v>912</v>
      </c>
      <c r="BC283" s="7">
        <v>39493</v>
      </c>
      <c r="BD283">
        <v>3</v>
      </c>
      <c r="BE283" t="s">
        <v>1443</v>
      </c>
      <c r="BF283" t="s">
        <v>1345</v>
      </c>
      <c r="BG283">
        <v>2</v>
      </c>
      <c r="BH283" s="17">
        <f t="shared" ca="1" si="4"/>
        <v>34</v>
      </c>
      <c r="BI283" s="17"/>
      <c r="BJ283" s="17"/>
      <c r="BK283" t="str">
        <f>B283</f>
        <v>Subject To Inspection</v>
      </c>
    </row>
    <row r="284" spans="1:63" hidden="1">
      <c r="A284">
        <v>27194855</v>
      </c>
      <c r="B284" s="4" t="str">
        <f>HYPERLINK("http://www.windermere.com/index.cfm?fuseaction=Listing.ListingDetail&amp;ListingID=18892582","Subject To Inspection")</f>
        <v>Subject To Inspection</v>
      </c>
      <c r="D284" t="s">
        <v>100</v>
      </c>
      <c r="E284" t="s">
        <v>793</v>
      </c>
      <c r="F284" s="13">
        <v>447950</v>
      </c>
      <c r="G284" t="s">
        <v>147</v>
      </c>
      <c r="H284" s="1">
        <v>1683</v>
      </c>
      <c r="J284">
        <v>3</v>
      </c>
      <c r="K284">
        <v>2.25</v>
      </c>
      <c r="M284" s="2" t="str">
        <f>HYPERLINK("http://www.windermere.com/index.cfm?fuseaction=Listing.MapPropertyInteractive&amp;ListingID=18892582&amp;resize=true&amp;windowWidth=800&amp;windowHeight=600","Map")</f>
        <v>Map</v>
      </c>
      <c r="O284" s="2" t="str">
        <f>HYPERLINK("http://www.windermere.com/index.cfm?fuseaction=Listing.MultiImageViewer&amp;ListingID=18892582&amp;ln=27194855&amp;pub_mls=1","More")</f>
        <v>More</v>
      </c>
      <c r="P284" t="s">
        <v>44</v>
      </c>
      <c r="AI284" t="s">
        <v>66</v>
      </c>
      <c r="AJ284">
        <v>98103</v>
      </c>
      <c r="AS284" t="s">
        <v>794</v>
      </c>
      <c r="AT284">
        <v>18892582</v>
      </c>
      <c r="AU284" s="12">
        <v>39495</v>
      </c>
      <c r="BB284" t="s">
        <v>912</v>
      </c>
      <c r="BC284" s="7">
        <v>39386</v>
      </c>
      <c r="BG284">
        <v>109</v>
      </c>
      <c r="BH284" s="17">
        <f t="shared" ca="1" si="4"/>
        <v>141</v>
      </c>
      <c r="BI284" s="17"/>
      <c r="BJ284" s="17"/>
    </row>
    <row r="285" spans="1:63" hidden="1">
      <c r="A285">
        <v>27197546</v>
      </c>
      <c r="B285" s="4" t="str">
        <f>HYPERLINK("http://www.windermere.com/index.cfm?fuseaction=Listing.ListingDetail&amp;ListingID=18918430","Subject To Inspection")</f>
        <v>Subject To Inspection</v>
      </c>
      <c r="D285" t="s">
        <v>63</v>
      </c>
      <c r="E285" t="s">
        <v>791</v>
      </c>
      <c r="F285" s="13">
        <v>409950</v>
      </c>
      <c r="G285" t="s">
        <v>247</v>
      </c>
      <c r="H285" s="1">
        <v>1490</v>
      </c>
      <c r="J285">
        <v>3</v>
      </c>
      <c r="K285">
        <v>2.5</v>
      </c>
      <c r="M285" s="2" t="str">
        <f>HYPERLINK("http://www.windermere.com/index.cfm?fuseaction=Listing.MapPropertyInteractive&amp;ListingID=18918430&amp;resize=true&amp;windowWidth=800&amp;windowHeight=600","Map")</f>
        <v>Map</v>
      </c>
      <c r="O285" s="2" t="str">
        <f>HYPERLINK("http://www.windermere.com/index.cfm?fuseaction=Listing.MultiImageViewer&amp;ListingID=18918430&amp;ln=27197546&amp;pub_mls=1","More")</f>
        <v>More</v>
      </c>
      <c r="P285" t="s">
        <v>44</v>
      </c>
      <c r="AI285" t="s">
        <v>66</v>
      </c>
      <c r="AJ285">
        <v>98107</v>
      </c>
      <c r="AS285" t="s">
        <v>792</v>
      </c>
      <c r="AT285">
        <v>18918430</v>
      </c>
      <c r="AU285" s="12">
        <v>39495</v>
      </c>
      <c r="BB285" t="s">
        <v>912</v>
      </c>
      <c r="BC285" s="7">
        <v>39391</v>
      </c>
      <c r="BG285">
        <v>104</v>
      </c>
      <c r="BH285" s="17">
        <f t="shared" ca="1" si="4"/>
        <v>136</v>
      </c>
      <c r="BI285" s="17"/>
      <c r="BJ285" s="17"/>
    </row>
    <row r="286" spans="1:63" hidden="1">
      <c r="A286">
        <v>28017697</v>
      </c>
      <c r="B286" s="2" t="str">
        <f>HYPERLINK("http://www.windermere.com/index.cfm?fuseaction=Listing.ListingDetail&amp;ListingID=19295722","Active")</f>
        <v>Active</v>
      </c>
      <c r="D286" t="s">
        <v>60</v>
      </c>
      <c r="E286" t="s">
        <v>789</v>
      </c>
      <c r="F286" s="10">
        <v>459950</v>
      </c>
      <c r="G286" t="s">
        <v>236</v>
      </c>
      <c r="H286" s="1">
        <v>1900</v>
      </c>
      <c r="I286">
        <v>5164</v>
      </c>
      <c r="J286">
        <v>4</v>
      </c>
      <c r="K286">
        <v>2</v>
      </c>
      <c r="M286" s="2" t="str">
        <f>HYPERLINK("http://www.windermere.com/index.cfm?fuseaction=Listing.MapPropertyInteractive&amp;ListingID=19295722&amp;resize=true&amp;windowWidth=800&amp;windowHeight=600","Map")</f>
        <v>Map</v>
      </c>
      <c r="O286" s="2" t="str">
        <f>HYPERLINK("http://www.windermere.com/index.cfm?fuseaction=Listing.MultiImageViewer&amp;ListingID=19295722&amp;ln=28017697&amp;pub_mls=1","More")</f>
        <v>More</v>
      </c>
      <c r="P286" t="s">
        <v>44</v>
      </c>
      <c r="AI286" t="s">
        <v>66</v>
      </c>
      <c r="AJ286">
        <v>98103</v>
      </c>
      <c r="AS286" t="s">
        <v>790</v>
      </c>
      <c r="AT286">
        <v>19295722</v>
      </c>
      <c r="AU286" s="12">
        <v>39495</v>
      </c>
      <c r="BB286" t="s">
        <v>912</v>
      </c>
      <c r="BC286" s="7">
        <v>39477</v>
      </c>
      <c r="BG286">
        <v>18</v>
      </c>
      <c r="BH286" s="17">
        <f t="shared" ca="1" si="4"/>
        <v>50</v>
      </c>
      <c r="BI286" s="17"/>
      <c r="BJ286" s="17"/>
    </row>
    <row r="287" spans="1:63" hidden="1">
      <c r="A287">
        <v>28028559</v>
      </c>
      <c r="B287" s="2" t="str">
        <f>HYPERLINK("http://www.windermere.com/index.cfm?fuseaction=Listing.ListingDetail&amp;ListingID=19383016","Active")</f>
        <v>Active</v>
      </c>
      <c r="D287" t="s">
        <v>60</v>
      </c>
      <c r="E287" t="s">
        <v>795</v>
      </c>
      <c r="F287" s="13">
        <v>429000</v>
      </c>
      <c r="G287" t="s">
        <v>796</v>
      </c>
      <c r="J287">
        <v>3</v>
      </c>
      <c r="K287">
        <v>2.5</v>
      </c>
      <c r="M287" s="2" t="str">
        <f>HYPERLINK("http://www.windermere.com/index.cfm?fuseaction=Listing.MapPropertyInteractive&amp;ListingID=19383016&amp;resize=true&amp;windowWidth=800&amp;windowHeight=600","Map")</f>
        <v>Map</v>
      </c>
      <c r="O287" s="2" t="str">
        <f>HYPERLINK("http://www.windermere.com/index.cfm?fuseaction=Listing.MultiImageViewer&amp;ListingID=19383016&amp;ln=28028559&amp;pub_mls=1","More")</f>
        <v>More</v>
      </c>
      <c r="P287" t="s">
        <v>44</v>
      </c>
      <c r="AI287" t="s">
        <v>66</v>
      </c>
      <c r="AJ287">
        <v>98103</v>
      </c>
      <c r="AS287" t="s">
        <v>797</v>
      </c>
      <c r="AT287">
        <v>19383016</v>
      </c>
      <c r="AU287" s="12">
        <v>39495</v>
      </c>
      <c r="BB287" t="s">
        <v>912</v>
      </c>
      <c r="BC287" s="7">
        <v>39494</v>
      </c>
      <c r="BG287">
        <v>1</v>
      </c>
      <c r="BH287" s="17">
        <f t="shared" ca="1" si="4"/>
        <v>33</v>
      </c>
      <c r="BI287" s="17"/>
      <c r="BJ287" s="17"/>
    </row>
    <row r="288" spans="1:63" hidden="1">
      <c r="A288">
        <v>28026521</v>
      </c>
      <c r="B288" s="15" t="str">
        <f>HYPERLINK("http://www.windermere.com/index.cfm?fuseaction=Listing.ListingDetail&amp;ListingID=19365702","Subject To Inspection")</f>
        <v>Subject To Inspection</v>
      </c>
      <c r="D288" t="s">
        <v>109</v>
      </c>
      <c r="E288" t="s">
        <v>798</v>
      </c>
      <c r="F288" s="10">
        <v>464950</v>
      </c>
      <c r="G288" t="s">
        <v>247</v>
      </c>
      <c r="J288">
        <v>3</v>
      </c>
      <c r="K288">
        <v>2.5</v>
      </c>
      <c r="M288" s="2" t="str">
        <f>HYPERLINK("http://www.windermere.com/index.cfm?fuseaction=Listing.MapPropertyInteractive&amp;ListingID=19365702&amp;resize=true&amp;windowWidth=800&amp;windowHeight=600","Map")</f>
        <v>Map</v>
      </c>
      <c r="O288" s="2" t="str">
        <f>HYPERLINK("http://www.windermere.com/index.cfm?fuseaction=viewGallery.Home&amp;customTourID=207552&amp;wvt=0","More")</f>
        <v>More</v>
      </c>
      <c r="P288" t="s">
        <v>44</v>
      </c>
      <c r="AI288" t="s">
        <v>66</v>
      </c>
      <c r="AJ288">
        <v>98103</v>
      </c>
      <c r="AS288" t="s">
        <v>799</v>
      </c>
      <c r="AT288">
        <v>19365702</v>
      </c>
      <c r="AU288" s="12">
        <v>39495</v>
      </c>
      <c r="BB288" t="s">
        <v>912</v>
      </c>
      <c r="BC288" s="7">
        <v>39491</v>
      </c>
      <c r="BG288">
        <v>4</v>
      </c>
      <c r="BH288" s="17">
        <f t="shared" ca="1" si="4"/>
        <v>36</v>
      </c>
      <c r="BI288" s="17"/>
      <c r="BJ288" s="17"/>
    </row>
    <row r="289" spans="1:63" hidden="1">
      <c r="A289">
        <v>27124334</v>
      </c>
      <c r="B289" s="2" t="str">
        <f>HYPERLINK("http://www.windermere.com/index.cfm?fuseaction=Listing.ListingDetail&amp;ListingID=18293706","Active")</f>
        <v>Active</v>
      </c>
      <c r="D289" t="s">
        <v>194</v>
      </c>
      <c r="E289" t="s">
        <v>1145</v>
      </c>
      <c r="F289" s="18">
        <v>449500</v>
      </c>
      <c r="G289" t="s">
        <v>674</v>
      </c>
      <c r="H289" s="1">
        <v>1570</v>
      </c>
      <c r="J289">
        <v>3</v>
      </c>
      <c r="K289">
        <v>2.5</v>
      </c>
      <c r="M289" s="2" t="str">
        <f>HYPERLINK("http://www.windermere.com/index.cfm?fuseaction=Listing.MapPropertyInteractive&amp;ListingID=18293706&amp;resize=true&amp;windowWidth=800&amp;windowHeight=600","Map")</f>
        <v>Map</v>
      </c>
      <c r="O289" s="2" t="str">
        <f>HYPERLINK("http://www.windermere.com/index.cfm?fuseaction=viewGallery.Home&amp;customTourID=185883&amp;wvt=0","More")</f>
        <v>More</v>
      </c>
      <c r="AI289" t="s">
        <v>66</v>
      </c>
      <c r="AJ289">
        <v>98115</v>
      </c>
      <c r="AS289" t="s">
        <v>1146</v>
      </c>
      <c r="AT289">
        <v>18293706</v>
      </c>
      <c r="AU289" s="12">
        <v>39495</v>
      </c>
      <c r="BB289" t="s">
        <v>912</v>
      </c>
      <c r="BC289" s="7">
        <v>39277</v>
      </c>
      <c r="BD289">
        <v>1</v>
      </c>
      <c r="BE289" s="6" t="s">
        <v>1316</v>
      </c>
      <c r="BG289">
        <v>218</v>
      </c>
      <c r="BH289" s="17">
        <f t="shared" ca="1" si="4"/>
        <v>250</v>
      </c>
      <c r="BI289" s="17"/>
      <c r="BJ289" s="17"/>
    </row>
    <row r="290" spans="1:63" hidden="1">
      <c r="A290">
        <v>27190700</v>
      </c>
      <c r="B290" s="2" t="str">
        <f>HYPERLINK("http://www.windermere.com/index.cfm?fuseaction=Listing.ListingDetail&amp;ListingID=19298354","Active")</f>
        <v>Active</v>
      </c>
      <c r="D290" t="s">
        <v>109</v>
      </c>
      <c r="E290" t="s">
        <v>800</v>
      </c>
      <c r="F290" s="10">
        <v>465000</v>
      </c>
      <c r="G290" t="s">
        <v>180</v>
      </c>
      <c r="I290">
        <v>4465</v>
      </c>
      <c r="J290">
        <v>4</v>
      </c>
      <c r="K290">
        <v>1.75</v>
      </c>
      <c r="M290" s="2" t="str">
        <f>HYPERLINK("http://www.windermere.com/index.cfm?fuseaction=Listing.MapPropertyInteractive&amp;ListingID=19298354&amp;resize=true&amp;windowWidth=800&amp;windowHeight=600","Map")</f>
        <v>Map</v>
      </c>
      <c r="O290" s="2" t="str">
        <f>HYPERLINK("http://www.windermere.com/index.cfm?fuseaction=Listing.MultiImageViewer&amp;ListingID=19298354&amp;ln=27190700&amp;pub_mls=1","More")</f>
        <v>More</v>
      </c>
      <c r="P290" t="s">
        <v>44</v>
      </c>
      <c r="AI290" t="s">
        <v>66</v>
      </c>
      <c r="AJ290">
        <v>98105</v>
      </c>
      <c r="AS290" t="s">
        <v>801</v>
      </c>
      <c r="AT290">
        <v>19298354</v>
      </c>
      <c r="AU290" s="12">
        <v>39495</v>
      </c>
      <c r="BB290" t="s">
        <v>912</v>
      </c>
      <c r="BC290" s="7">
        <v>39378</v>
      </c>
      <c r="BG290">
        <v>117</v>
      </c>
      <c r="BH290" s="17">
        <f t="shared" ca="1" si="4"/>
        <v>149</v>
      </c>
      <c r="BI290" s="17"/>
      <c r="BJ290" s="17"/>
    </row>
    <row r="291" spans="1:63" hidden="1">
      <c r="A291">
        <v>27192222</v>
      </c>
      <c r="B291" s="4" t="str">
        <f>HYPERLINK("http://www.windermere.com/index.cfm?fuseaction=Listing.ListingDetail&amp;ListingID=18867060","Subject To Inspection")</f>
        <v>Subject To Inspection</v>
      </c>
      <c r="D291" t="s">
        <v>60</v>
      </c>
      <c r="E291" t="s">
        <v>165</v>
      </c>
      <c r="F291" s="13">
        <v>459000</v>
      </c>
      <c r="G291" t="s">
        <v>154</v>
      </c>
      <c r="H291" s="1">
        <v>1860</v>
      </c>
      <c r="I291">
        <v>4080</v>
      </c>
      <c r="J291">
        <v>3</v>
      </c>
      <c r="K291">
        <v>1</v>
      </c>
      <c r="M291" s="2" t="str">
        <f>HYPERLINK("http://www.windermere.com/index.cfm?fuseaction=Listing.MapPropertyInteractive&amp;ListingID=18867060&amp;resize=true&amp;windowWidth=800&amp;windowHeight=600","Map")</f>
        <v>Map</v>
      </c>
      <c r="O291" s="2" t="str">
        <f>HYPERLINK("http://www.windermere.com/index.cfm?fuseaction=Listing.MultiImageViewer&amp;ListingID=18867060&amp;ln=27192222&amp;pub_mls=1","More")</f>
        <v>More</v>
      </c>
      <c r="P291" t="s">
        <v>44</v>
      </c>
      <c r="AI291" t="s">
        <v>66</v>
      </c>
      <c r="AJ291">
        <v>98103</v>
      </c>
      <c r="AS291" t="s">
        <v>802</v>
      </c>
      <c r="AT291">
        <v>18867060</v>
      </c>
      <c r="AU291" s="12">
        <v>39495</v>
      </c>
      <c r="BB291" t="s">
        <v>912</v>
      </c>
      <c r="BC291" s="7">
        <v>39380</v>
      </c>
      <c r="BG291">
        <v>115</v>
      </c>
      <c r="BH291" s="17">
        <f t="shared" ca="1" si="4"/>
        <v>147</v>
      </c>
      <c r="BI291" s="17"/>
      <c r="BJ291" s="17"/>
    </row>
    <row r="292" spans="1:63" hidden="1">
      <c r="A292">
        <v>27198830</v>
      </c>
      <c r="B292" s="2" t="str">
        <f>HYPERLINK("http://www.windermere.com/index.cfm?fuseaction=Listing.ListingDetail&amp;ListingID=18930083","Active")</f>
        <v>Active</v>
      </c>
      <c r="D292" t="s">
        <v>63</v>
      </c>
      <c r="E292" t="s">
        <v>803</v>
      </c>
      <c r="F292" s="10">
        <v>465000</v>
      </c>
      <c r="G292" t="s">
        <v>170</v>
      </c>
      <c r="H292" s="1">
        <v>1950</v>
      </c>
      <c r="I292">
        <v>3844</v>
      </c>
      <c r="J292">
        <v>4</v>
      </c>
      <c r="K292">
        <v>1.75</v>
      </c>
      <c r="M292" s="2" t="str">
        <f>HYPERLINK("http://www.windermere.com/index.cfm?fuseaction=Listing.MapPropertyInteractive&amp;ListingID=18930083&amp;resize=true&amp;windowWidth=800&amp;windowHeight=600","Map")</f>
        <v>Map</v>
      </c>
      <c r="O292" s="2" t="str">
        <f>HYPERLINK("http://www.windermere.com/index.cfm?fuseaction=Listing.MultiImageViewer&amp;ListingID=18930083&amp;ln=27198830&amp;pub_mls=1","More")</f>
        <v>More</v>
      </c>
      <c r="AI292" t="s">
        <v>66</v>
      </c>
      <c r="AJ292">
        <v>98133</v>
      </c>
      <c r="AS292" t="s">
        <v>804</v>
      </c>
      <c r="AT292">
        <v>18930083</v>
      </c>
      <c r="AU292" s="12">
        <v>39495</v>
      </c>
      <c r="BB292" t="s">
        <v>912</v>
      </c>
      <c r="BC292" s="7">
        <v>39393</v>
      </c>
      <c r="BG292">
        <v>102</v>
      </c>
      <c r="BH292" s="17">
        <f t="shared" ca="1" si="4"/>
        <v>134</v>
      </c>
      <c r="BI292" s="17"/>
      <c r="BJ292" s="17"/>
    </row>
    <row r="293" spans="1:63" hidden="1">
      <c r="A293">
        <v>28011759</v>
      </c>
      <c r="B293" s="2" t="str">
        <f>HYPERLINK("http://www.windermere.com/index.cfm?fuseaction=Listing.ListingDetail&amp;ListingID=19247940","Active")</f>
        <v>Active</v>
      </c>
      <c r="D293" t="s">
        <v>70</v>
      </c>
      <c r="E293" t="s">
        <v>806</v>
      </c>
      <c r="F293" s="10">
        <v>465000</v>
      </c>
      <c r="G293" t="s">
        <v>164</v>
      </c>
      <c r="H293" s="1">
        <v>2120</v>
      </c>
      <c r="I293">
        <v>4000</v>
      </c>
      <c r="J293">
        <v>3</v>
      </c>
      <c r="K293">
        <v>1.75</v>
      </c>
      <c r="M293" s="2" t="str">
        <f>HYPERLINK("http://www.windermere.com/index.cfm?fuseaction=Listing.MapPropertyInteractive&amp;ListingID=19247940&amp;resize=true&amp;windowWidth=800&amp;windowHeight=600","Map")</f>
        <v>Map</v>
      </c>
      <c r="O293" s="2" t="str">
        <f>HYPERLINK("http://www.windermere.com/index.cfm?fuseaction=Listing.MultiImageViewer&amp;ListingID=19247940&amp;ln=28011759&amp;pub_mls=1","More")</f>
        <v>More</v>
      </c>
      <c r="P293" t="s">
        <v>44</v>
      </c>
      <c r="AI293" t="s">
        <v>66</v>
      </c>
      <c r="AJ293">
        <v>98133</v>
      </c>
      <c r="AS293" t="s">
        <v>807</v>
      </c>
      <c r="AT293">
        <v>19247940</v>
      </c>
      <c r="AU293" s="12">
        <v>39495</v>
      </c>
      <c r="BB293" t="s">
        <v>912</v>
      </c>
      <c r="BC293" s="7">
        <v>39465</v>
      </c>
      <c r="BG293">
        <v>30</v>
      </c>
      <c r="BH293" s="17">
        <f t="shared" ca="1" si="4"/>
        <v>62</v>
      </c>
      <c r="BI293" s="17"/>
      <c r="BJ293" s="17"/>
    </row>
    <row r="294" spans="1:63" hidden="1">
      <c r="A294">
        <v>28015172</v>
      </c>
      <c r="B294" s="2" t="str">
        <f>HYPERLINK("http://www.windermere.com/index.cfm?fuseaction=Listing.ListingDetail&amp;ListingID=19278049","Active")</f>
        <v>Active</v>
      </c>
      <c r="D294" t="s">
        <v>70</v>
      </c>
      <c r="E294" t="s">
        <v>155</v>
      </c>
      <c r="F294" s="18">
        <v>445000</v>
      </c>
      <c r="G294" t="s">
        <v>156</v>
      </c>
      <c r="H294" s="1">
        <v>2280</v>
      </c>
      <c r="I294">
        <v>7020</v>
      </c>
      <c r="J294">
        <v>3</v>
      </c>
      <c r="K294">
        <v>2.5</v>
      </c>
      <c r="M294" s="2" t="str">
        <f>HYPERLINK("http://www.windermere.com/index.cfm?fuseaction=Listing.MapPropertyInteractive&amp;ListingID=19278049&amp;resize=true&amp;windowWidth=800&amp;windowHeight=600","Map")</f>
        <v>Map</v>
      </c>
      <c r="O294" s="2" t="str">
        <f>HYPERLINK("http://www.windermere.com/index.cfm?fuseaction=Listing.MultiImageViewer&amp;ListingID=19278049&amp;ln=28015172&amp;pub_mls=1","More")</f>
        <v>More</v>
      </c>
      <c r="P294" t="s">
        <v>44</v>
      </c>
      <c r="AI294" t="s">
        <v>66</v>
      </c>
      <c r="AJ294">
        <v>98177</v>
      </c>
      <c r="AS294" t="s">
        <v>805</v>
      </c>
      <c r="AT294">
        <v>19278049</v>
      </c>
      <c r="AU294" s="12">
        <v>39495</v>
      </c>
      <c r="BB294" t="s">
        <v>912</v>
      </c>
      <c r="BC294" s="7">
        <v>39472</v>
      </c>
      <c r="BG294">
        <v>23</v>
      </c>
      <c r="BH294" s="17">
        <f t="shared" ca="1" si="4"/>
        <v>55</v>
      </c>
      <c r="BI294" s="17"/>
      <c r="BJ294" s="17"/>
    </row>
    <row r="295" spans="1:63" hidden="1">
      <c r="A295">
        <v>27210470</v>
      </c>
      <c r="B295" s="4" t="str">
        <f>HYPERLINK("http://www.windermere.com/index.cfm?fuseaction=Listing.ListingDetail&amp;ListingID=19064728","Subject To Inspection")</f>
        <v>Subject To Inspection</v>
      </c>
      <c r="D295" t="s">
        <v>109</v>
      </c>
      <c r="E295" t="s">
        <v>816</v>
      </c>
      <c r="F295" s="13">
        <v>449950</v>
      </c>
      <c r="G295" t="s">
        <v>147</v>
      </c>
      <c r="H295" s="1">
        <v>1357</v>
      </c>
      <c r="J295">
        <v>3</v>
      </c>
      <c r="K295">
        <v>2.25</v>
      </c>
      <c r="M295" s="2" t="str">
        <f>HYPERLINK("http://www.windermere.com/index.cfm?fuseaction=Listing.MapPropertyInteractive&amp;ListingID=19064728&amp;resize=true&amp;windowWidth=800&amp;windowHeight=600","Map")</f>
        <v>Map</v>
      </c>
      <c r="O295" s="2" t="str">
        <f>HYPERLINK("http://www.windermere.com/index.cfm?fuseaction=Listing.MultiImageViewer&amp;ListingID=19064728&amp;ln=27210470&amp;pub_mls=1","More")</f>
        <v>More</v>
      </c>
      <c r="AI295" t="s">
        <v>66</v>
      </c>
      <c r="AJ295">
        <v>98103</v>
      </c>
      <c r="AS295" t="s">
        <v>817</v>
      </c>
      <c r="AT295">
        <v>19064728</v>
      </c>
      <c r="AU295" s="12">
        <v>39495</v>
      </c>
      <c r="BB295" t="s">
        <v>912</v>
      </c>
      <c r="BC295" s="7">
        <v>39423</v>
      </c>
      <c r="BG295">
        <v>72</v>
      </c>
      <c r="BH295" s="17">
        <f t="shared" ca="1" si="4"/>
        <v>104</v>
      </c>
      <c r="BI295" s="17"/>
      <c r="BJ295" s="17"/>
    </row>
    <row r="296" spans="1:63" hidden="1">
      <c r="A296">
        <v>28011932</v>
      </c>
      <c r="B296" s="4" t="str">
        <f>HYPERLINK("http://www.windermere.com/index.cfm?fuseaction=Listing.ListingDetail&amp;ListingID=19248438","Subject To Inspection")</f>
        <v>Subject To Inspection</v>
      </c>
      <c r="D296" t="s">
        <v>63</v>
      </c>
      <c r="E296" t="s">
        <v>810</v>
      </c>
      <c r="F296" s="13">
        <v>449000</v>
      </c>
      <c r="G296" t="s">
        <v>147</v>
      </c>
      <c r="H296" s="1">
        <v>1391</v>
      </c>
      <c r="J296">
        <v>2</v>
      </c>
      <c r="K296">
        <v>1.5</v>
      </c>
      <c r="M296" s="2" t="str">
        <f>HYPERLINK("http://www.windermere.com/index.cfm?fuseaction=Listing.MapPropertyInteractive&amp;ListingID=19248438&amp;resize=true&amp;windowWidth=800&amp;windowHeight=600","Map")</f>
        <v>Map</v>
      </c>
      <c r="O296" s="2" t="str">
        <f>HYPERLINK("http://www.windermere.com/index.cfm?fuseaction=Listing.MultiImageViewer&amp;ListingID=19248438&amp;ln=28011932&amp;pub_mls=1","More")</f>
        <v>More</v>
      </c>
      <c r="P296" t="s">
        <v>44</v>
      </c>
      <c r="AI296" t="s">
        <v>66</v>
      </c>
      <c r="AJ296">
        <v>98107</v>
      </c>
      <c r="AS296" t="s">
        <v>811</v>
      </c>
      <c r="AT296">
        <v>19248438</v>
      </c>
      <c r="AU296" s="12">
        <v>39495</v>
      </c>
      <c r="BB296" t="s">
        <v>912</v>
      </c>
      <c r="BC296" s="7">
        <v>39465</v>
      </c>
      <c r="BG296">
        <v>30</v>
      </c>
      <c r="BH296" s="17">
        <f t="shared" ca="1" si="4"/>
        <v>62</v>
      </c>
      <c r="BI296" s="17"/>
      <c r="BJ296" s="17"/>
    </row>
    <row r="297" spans="1:63" hidden="1">
      <c r="A297">
        <v>28011933</v>
      </c>
      <c r="B297" s="2" t="str">
        <f>HYPERLINK("http://www.windermere.com/index.cfm?fuseaction=Listing.ListingDetail&amp;ListingID=19248441","Active")</f>
        <v>Active</v>
      </c>
      <c r="D297" t="s">
        <v>63</v>
      </c>
      <c r="E297" t="s">
        <v>808</v>
      </c>
      <c r="F297" s="13">
        <v>449000</v>
      </c>
      <c r="G297" t="s">
        <v>147</v>
      </c>
      <c r="H297" s="1">
        <v>1391</v>
      </c>
      <c r="J297">
        <v>2</v>
      </c>
      <c r="K297">
        <v>1.5</v>
      </c>
      <c r="M297" s="2" t="str">
        <f>HYPERLINK("http://www.windermere.com/index.cfm?fuseaction=Listing.MapPropertyInteractive&amp;ListingID=19248441&amp;resize=true&amp;windowWidth=800&amp;windowHeight=600","Map")</f>
        <v>Map</v>
      </c>
      <c r="O297" s="2" t="str">
        <f>HYPERLINK("http://www.windermere.com/index.cfm?fuseaction=Listing.MultiImageViewer&amp;ListingID=19248441&amp;ln=28011933&amp;pub_mls=1","More")</f>
        <v>More</v>
      </c>
      <c r="P297" t="s">
        <v>44</v>
      </c>
      <c r="AI297" t="s">
        <v>66</v>
      </c>
      <c r="AJ297">
        <v>98107</v>
      </c>
      <c r="AS297" t="s">
        <v>809</v>
      </c>
      <c r="AT297">
        <v>19248441</v>
      </c>
      <c r="AU297" s="12">
        <v>39495</v>
      </c>
      <c r="BB297" t="s">
        <v>912</v>
      </c>
      <c r="BC297" s="7">
        <v>39465</v>
      </c>
      <c r="BG297">
        <v>30</v>
      </c>
      <c r="BH297" s="17">
        <f t="shared" ca="1" si="4"/>
        <v>62</v>
      </c>
      <c r="BI297" s="17"/>
      <c r="BJ297" s="17"/>
    </row>
    <row r="298" spans="1:63" hidden="1">
      <c r="A298">
        <v>28011938</v>
      </c>
      <c r="B298" s="2" t="str">
        <f>HYPERLINK("http://www.windermere.com/index.cfm?fuseaction=Listing.ListingDetail&amp;ListingID=19248416","Active")</f>
        <v>Active</v>
      </c>
      <c r="D298" t="s">
        <v>63</v>
      </c>
      <c r="E298" t="s">
        <v>812</v>
      </c>
      <c r="F298" s="13">
        <v>449000</v>
      </c>
      <c r="G298" t="s">
        <v>147</v>
      </c>
      <c r="H298" s="1">
        <v>1391</v>
      </c>
      <c r="J298">
        <v>2</v>
      </c>
      <c r="K298">
        <v>1.5</v>
      </c>
      <c r="M298" s="2" t="str">
        <f>HYPERLINK("http://www.windermere.com/index.cfm?fuseaction=Listing.MapPropertyInteractive&amp;ListingID=19248416&amp;resize=true&amp;windowWidth=800&amp;windowHeight=600","Map")</f>
        <v>Map</v>
      </c>
      <c r="O298" s="2" t="str">
        <f>HYPERLINK("http://www.windermere.com/index.cfm?fuseaction=Listing.MultiImageViewer&amp;ListingID=19248416&amp;ln=28011938&amp;pub_mls=1","More")</f>
        <v>More</v>
      </c>
      <c r="P298" t="s">
        <v>44</v>
      </c>
      <c r="AI298" t="s">
        <v>66</v>
      </c>
      <c r="AJ298">
        <v>98107</v>
      </c>
      <c r="AS298" t="s">
        <v>813</v>
      </c>
      <c r="AT298">
        <v>19248416</v>
      </c>
      <c r="AU298" s="12">
        <v>39495</v>
      </c>
      <c r="BB298" t="s">
        <v>912</v>
      </c>
      <c r="BC298" s="7">
        <v>39465</v>
      </c>
      <c r="BG298">
        <v>30</v>
      </c>
      <c r="BH298" s="17">
        <f t="shared" ca="1" si="4"/>
        <v>62</v>
      </c>
      <c r="BI298" s="17"/>
      <c r="BJ298" s="17"/>
    </row>
    <row r="299" spans="1:63" hidden="1">
      <c r="A299">
        <v>28011942</v>
      </c>
      <c r="B299" s="2" t="str">
        <f>HYPERLINK("http://www.windermere.com/index.cfm?fuseaction=Listing.ListingDetail&amp;ListingID=19248425","Active")</f>
        <v>Active</v>
      </c>
      <c r="D299" t="s">
        <v>63</v>
      </c>
      <c r="E299" t="s">
        <v>814</v>
      </c>
      <c r="F299" s="13">
        <v>449000</v>
      </c>
      <c r="G299" t="s">
        <v>147</v>
      </c>
      <c r="H299" s="1">
        <v>1391</v>
      </c>
      <c r="J299">
        <v>2</v>
      </c>
      <c r="K299">
        <v>1.5</v>
      </c>
      <c r="M299" s="2" t="str">
        <f>HYPERLINK("http://www.windermere.com/index.cfm?fuseaction=Listing.MapPropertyInteractive&amp;ListingID=19248425&amp;resize=true&amp;windowWidth=800&amp;windowHeight=600","Map")</f>
        <v>Map</v>
      </c>
      <c r="O299" s="2" t="str">
        <f>HYPERLINK("http://www.windermere.com/index.cfm?fuseaction=Listing.MultiImageViewer&amp;ListingID=19248425&amp;ln=28011942&amp;pub_mls=1","More")</f>
        <v>More</v>
      </c>
      <c r="P299" t="s">
        <v>44</v>
      </c>
      <c r="AI299" t="s">
        <v>66</v>
      </c>
      <c r="AJ299">
        <v>98107</v>
      </c>
      <c r="AS299" t="s">
        <v>815</v>
      </c>
      <c r="AT299">
        <v>19248425</v>
      </c>
      <c r="AU299" s="12">
        <v>39495</v>
      </c>
      <c r="BB299" t="s">
        <v>912</v>
      </c>
      <c r="BC299" s="7">
        <v>39465</v>
      </c>
      <c r="BG299">
        <v>30</v>
      </c>
      <c r="BH299" s="17">
        <f t="shared" ca="1" si="4"/>
        <v>62</v>
      </c>
      <c r="BI299" s="17"/>
      <c r="BJ299" s="17"/>
    </row>
    <row r="300" spans="1:63" hidden="1">
      <c r="A300">
        <v>28010106</v>
      </c>
      <c r="B300" s="2" t="str">
        <f>HYPERLINK("http://www.windermere.com/index.cfm?fuseaction=Listing.ListingDetail&amp;ListingID=19241094","Active")</f>
        <v>Active</v>
      </c>
      <c r="D300" t="s">
        <v>194</v>
      </c>
      <c r="E300" t="s">
        <v>1147</v>
      </c>
      <c r="F300" s="10">
        <v>469950</v>
      </c>
      <c r="G300" t="s">
        <v>124</v>
      </c>
      <c r="H300" s="1">
        <v>1760</v>
      </c>
      <c r="I300">
        <v>6660</v>
      </c>
      <c r="J300">
        <v>2</v>
      </c>
      <c r="K300">
        <v>1</v>
      </c>
      <c r="M300" s="2" t="str">
        <f>HYPERLINK("http://www.windermere.com/index.cfm?fuseaction=Listing.MapPropertyInteractive&amp;ListingID=19241094&amp;resize=true&amp;windowWidth=800&amp;windowHeight=600","Map")</f>
        <v>Map</v>
      </c>
      <c r="O300" s="2" t="str">
        <f>HYPERLINK("http://www.windermere.com/index.cfm?fuseaction=viewGallery.Home&amp;customTourID=204488&amp;wvt=0","More")</f>
        <v>More</v>
      </c>
      <c r="P300" t="s">
        <v>44</v>
      </c>
      <c r="AI300" t="s">
        <v>66</v>
      </c>
      <c r="AJ300">
        <v>98115</v>
      </c>
      <c r="AS300" t="s">
        <v>1148</v>
      </c>
      <c r="AT300">
        <v>19241094</v>
      </c>
      <c r="AU300" s="12">
        <v>39495</v>
      </c>
      <c r="BB300" t="s">
        <v>912</v>
      </c>
      <c r="BC300" s="7">
        <v>77068</v>
      </c>
      <c r="BG300">
        <v>0</v>
      </c>
      <c r="BH300" s="17">
        <f t="shared" ca="1" si="4"/>
        <v>-37541</v>
      </c>
      <c r="BI300" s="17"/>
      <c r="BJ300" s="17"/>
    </row>
    <row r="301" spans="1:63" hidden="1">
      <c r="A301">
        <v>28017596</v>
      </c>
      <c r="B301" s="2" t="str">
        <f>HYPERLINK("http://www.windermere.com/index.cfm?fuseaction=Listing.ListingDetail&amp;ListingID=19309006","Active")</f>
        <v>Active</v>
      </c>
      <c r="D301" t="s">
        <v>63</v>
      </c>
      <c r="E301" t="s">
        <v>821</v>
      </c>
      <c r="F301" s="18">
        <v>454950</v>
      </c>
      <c r="G301" t="s">
        <v>247</v>
      </c>
      <c r="H301" s="1">
        <v>1530</v>
      </c>
      <c r="J301">
        <v>3</v>
      </c>
      <c r="K301">
        <v>2.25</v>
      </c>
      <c r="M301" s="2" t="str">
        <f>HYPERLINK("http://www.windermere.com/index.cfm?fuseaction=Listing.MapPropertyInteractive&amp;ListingID=19309006&amp;resize=true&amp;windowWidth=800&amp;windowHeight=600","Map")</f>
        <v>Map</v>
      </c>
      <c r="P301" t="s">
        <v>44</v>
      </c>
      <c r="AI301" t="s">
        <v>66</v>
      </c>
      <c r="AJ301">
        <v>98107</v>
      </c>
      <c r="AS301" t="s">
        <v>822</v>
      </c>
      <c r="AT301">
        <v>19309006</v>
      </c>
      <c r="AU301" s="12">
        <v>39495</v>
      </c>
      <c r="BB301" t="s">
        <v>912</v>
      </c>
      <c r="BC301" s="7">
        <v>39479</v>
      </c>
      <c r="BG301">
        <v>16</v>
      </c>
      <c r="BH301" s="17">
        <f t="shared" ca="1" si="4"/>
        <v>48</v>
      </c>
      <c r="BI301" s="17"/>
      <c r="BJ301" s="17"/>
    </row>
    <row r="302" spans="1:63" hidden="1">
      <c r="A302">
        <v>28020826</v>
      </c>
      <c r="B302" s="2" t="str">
        <f>HYPERLINK("http://www.windermere.com/index.cfm?fuseaction=Listing.ListingDetail&amp;ListingID=19320889","Subject To Inspection")</f>
        <v>Subject To Inspection</v>
      </c>
      <c r="C302">
        <v>705</v>
      </c>
      <c r="D302" t="s">
        <v>63</v>
      </c>
      <c r="E302" t="s">
        <v>239</v>
      </c>
      <c r="F302" s="10">
        <v>469950</v>
      </c>
      <c r="G302" t="s">
        <v>240</v>
      </c>
      <c r="H302" s="1">
        <v>2380</v>
      </c>
      <c r="I302">
        <v>3960</v>
      </c>
      <c r="J302">
        <v>4</v>
      </c>
      <c r="K302">
        <v>2</v>
      </c>
      <c r="L302">
        <v>2</v>
      </c>
      <c r="M302" s="2" t="str">
        <f>HYPERLINK("http://www.windermere.com/index.cfm?fuseaction=Listing.MapPropertyInteractive&amp;ListingID=19320889&amp;resize=true&amp;windowWidth=800&amp;windowHeight=600","Map")</f>
        <v>Map</v>
      </c>
      <c r="N302" s="2" t="str">
        <f>HYPERLINK("http://locmedia.nwmls.com/DO_NOT_LINK/bigphoto/826/28020826.jpg?tsp=20080205093513","Photo")</f>
        <v>Photo</v>
      </c>
      <c r="O302" s="2" t="str">
        <f>HYPERLINK("http://www.windermere.com/index.cfm?fuseaction=viewGallery.Home&amp;customTourID=206388&amp;wvt=0","More")</f>
        <v>More</v>
      </c>
      <c r="Q302" t="s">
        <v>56</v>
      </c>
      <c r="R302" t="s">
        <v>72</v>
      </c>
      <c r="S302" t="s">
        <v>84</v>
      </c>
      <c r="T302" t="s">
        <v>77</v>
      </c>
      <c r="U302" t="s">
        <v>44</v>
      </c>
      <c r="X302" t="s">
        <v>47</v>
      </c>
      <c r="Y302" t="s">
        <v>48</v>
      </c>
      <c r="Z302" t="s">
        <v>98</v>
      </c>
      <c r="AA302" t="s">
        <v>1008</v>
      </c>
      <c r="AB302">
        <v>2007</v>
      </c>
      <c r="AC302">
        <v>3531</v>
      </c>
      <c r="AD302" t="s">
        <v>1009</v>
      </c>
      <c r="AE302" t="s">
        <v>112</v>
      </c>
      <c r="AF302" t="s">
        <v>114</v>
      </c>
      <c r="AG302">
        <v>47.690109</v>
      </c>
      <c r="AH302">
        <v>-122.389808</v>
      </c>
      <c r="AI302" t="s">
        <v>66</v>
      </c>
      <c r="AJ302">
        <v>98117</v>
      </c>
      <c r="AK302" t="s">
        <v>41</v>
      </c>
      <c r="AL302">
        <v>23</v>
      </c>
      <c r="AM302" t="s">
        <v>40</v>
      </c>
      <c r="AO302">
        <v>9.0999999999999998E-2</v>
      </c>
      <c r="AP302" t="s">
        <v>1010</v>
      </c>
      <c r="AQ302">
        <v>534</v>
      </c>
      <c r="AR302" t="s">
        <v>89</v>
      </c>
      <c r="AS302" t="s">
        <v>280</v>
      </c>
      <c r="AT302">
        <v>19320889</v>
      </c>
      <c r="AU302" s="12">
        <v>39495</v>
      </c>
      <c r="BA302" t="s">
        <v>912</v>
      </c>
      <c r="BB302" t="s">
        <v>912</v>
      </c>
      <c r="BC302" s="7">
        <v>39482</v>
      </c>
      <c r="BG302">
        <v>13</v>
      </c>
      <c r="BH302" s="17">
        <f t="shared" ca="1" si="4"/>
        <v>45</v>
      </c>
      <c r="BI302" s="17"/>
      <c r="BJ302" s="17"/>
      <c r="BK302" t="str">
        <f>B302</f>
        <v>Subject To Inspection</v>
      </c>
    </row>
    <row r="303" spans="1:63" hidden="1">
      <c r="A303">
        <v>28022230</v>
      </c>
      <c r="B303" s="2" t="str">
        <f>HYPERLINK("http://www.windermere.com/index.cfm?fuseaction=Listing.ListingDetail&amp;ListingID=19353991","Active")</f>
        <v>Active</v>
      </c>
      <c r="D303" t="s">
        <v>63</v>
      </c>
      <c r="E303" t="s">
        <v>818</v>
      </c>
      <c r="F303" s="10">
        <v>469950</v>
      </c>
      <c r="G303" t="s">
        <v>128</v>
      </c>
      <c r="J303">
        <v>3</v>
      </c>
      <c r="K303">
        <v>3.25</v>
      </c>
      <c r="M303" s="2" t="str">
        <f>HYPERLINK("http://www.windermere.com/index.cfm?fuseaction=Listing.MapPropertyInteractive&amp;ListingID=19353991&amp;resize=true&amp;windowWidth=800&amp;windowHeight=600","Map")</f>
        <v>Map</v>
      </c>
      <c r="O303" s="2" t="str">
        <f>HYPERLINK("http://www.windermere.com/index.cfm?fuseaction=Listing.MultiImageViewer&amp;ListingID=19353991&amp;ln=28022230&amp;pub_mls=1","More")</f>
        <v>More</v>
      </c>
      <c r="P303" t="s">
        <v>44</v>
      </c>
      <c r="AI303" t="s">
        <v>66</v>
      </c>
      <c r="AJ303">
        <v>98107</v>
      </c>
      <c r="AS303" t="s">
        <v>819</v>
      </c>
      <c r="AT303">
        <v>19353991</v>
      </c>
      <c r="AU303" s="12">
        <v>39495</v>
      </c>
      <c r="BB303" t="s">
        <v>912</v>
      </c>
      <c r="BC303" s="7">
        <v>39489</v>
      </c>
      <c r="BG303">
        <v>6</v>
      </c>
      <c r="BH303" s="17">
        <f t="shared" ca="1" si="4"/>
        <v>38</v>
      </c>
      <c r="BI303" s="17"/>
      <c r="BJ303" s="17"/>
    </row>
    <row r="304" spans="1:63" hidden="1">
      <c r="A304">
        <v>28024288</v>
      </c>
      <c r="B304" s="4" t="str">
        <f>HYPERLINK("http://www.windermere.com/index.cfm?fuseaction=Listing.ListingDetail&amp;ListingID=19345067","Active")</f>
        <v>Active</v>
      </c>
      <c r="D304" t="s">
        <v>218</v>
      </c>
      <c r="E304" s="3" t="s">
        <v>1464</v>
      </c>
      <c r="F304" s="13">
        <v>429000</v>
      </c>
      <c r="G304" t="s">
        <v>135</v>
      </c>
      <c r="H304" s="21">
        <v>1700</v>
      </c>
      <c r="I304">
        <v>4500</v>
      </c>
      <c r="J304">
        <v>3</v>
      </c>
      <c r="K304">
        <v>1.75</v>
      </c>
      <c r="M304" s="2" t="str">
        <f>HYPERLINK("http://www.windermere.com/index.cfm?fuseaction=Listing.MapPropertyInteractive&amp;ListingID=19345067&amp;resize=true&amp;windowWidth=800&amp;windowHeight=600","Map")</f>
        <v>Map</v>
      </c>
      <c r="O304" s="2" t="str">
        <f>HYPERLINK("http://www.windermere.com/index.cfm?fuseaction=Listing.MultiImageViewer&amp;ListingID=19345067&amp;ln=28024288&amp;pub_mls=1","More")</f>
        <v>More</v>
      </c>
      <c r="P304" t="s">
        <v>44</v>
      </c>
      <c r="AI304" t="s">
        <v>66</v>
      </c>
      <c r="AJ304">
        <v>98105</v>
      </c>
      <c r="AS304" t="s">
        <v>820</v>
      </c>
      <c r="AT304">
        <v>19345067</v>
      </c>
      <c r="AU304" s="12">
        <v>39495</v>
      </c>
      <c r="BB304" t="s">
        <v>912</v>
      </c>
      <c r="BC304" s="7">
        <v>39487</v>
      </c>
      <c r="BG304">
        <v>8</v>
      </c>
      <c r="BH304" s="17">
        <f t="shared" ca="1" si="4"/>
        <v>40</v>
      </c>
      <c r="BI304" s="17"/>
      <c r="BJ304" s="17"/>
    </row>
    <row r="305" spans="1:63" hidden="1">
      <c r="A305">
        <v>28025011</v>
      </c>
      <c r="B305" s="2" t="str">
        <f>HYPERLINK("http://www.windermere.com/index.cfm?fuseaction=Listing.ListingDetail&amp;ListingID=19351629","Active")</f>
        <v>Active</v>
      </c>
      <c r="D305" t="s">
        <v>63</v>
      </c>
      <c r="E305" t="s">
        <v>278</v>
      </c>
      <c r="F305" s="18">
        <v>459000</v>
      </c>
      <c r="G305" t="s">
        <v>176</v>
      </c>
      <c r="H305" s="1">
        <v>1760</v>
      </c>
      <c r="I305">
        <v>4479</v>
      </c>
      <c r="J305">
        <v>2</v>
      </c>
      <c r="K305">
        <v>1</v>
      </c>
      <c r="M305" s="2" t="str">
        <f>HYPERLINK("http://www.windermere.com/index.cfm?fuseaction=Listing.MapPropertyInteractive&amp;ListingID=19351629&amp;resize=true&amp;windowWidth=800&amp;windowHeight=600","Map")</f>
        <v>Map</v>
      </c>
      <c r="O305" s="2" t="str">
        <f>HYPERLINK("http://www.windermere.com/index.cfm?fuseaction=viewGallery.Home&amp;customTourID=207287&amp;wvt=0","More")</f>
        <v>More</v>
      </c>
      <c r="AI305" t="s">
        <v>66</v>
      </c>
      <c r="AJ305">
        <v>98117</v>
      </c>
      <c r="AS305" t="s">
        <v>279</v>
      </c>
      <c r="AT305">
        <v>19351629</v>
      </c>
      <c r="AU305" s="12">
        <v>39495</v>
      </c>
      <c r="BB305" t="s">
        <v>912</v>
      </c>
      <c r="BC305" s="7">
        <v>39489</v>
      </c>
      <c r="BD305">
        <v>4</v>
      </c>
      <c r="BE305" t="s">
        <v>1341</v>
      </c>
      <c r="BF305" s="7">
        <v>39129</v>
      </c>
      <c r="BG305">
        <v>6</v>
      </c>
      <c r="BH305" s="17">
        <f t="shared" ca="1" si="4"/>
        <v>38</v>
      </c>
      <c r="BI305" s="17"/>
      <c r="BJ305" s="17"/>
    </row>
    <row r="306" spans="1:63" hidden="1">
      <c r="A306">
        <v>28028113</v>
      </c>
      <c r="B306" s="2" t="str">
        <f>HYPERLINK("http://www.windermere.com/index.cfm?fuseaction=Listing.ListingDetail&amp;ListingID=19379075","Active")</f>
        <v>Active</v>
      </c>
      <c r="D306" t="s">
        <v>204</v>
      </c>
      <c r="E306" t="s">
        <v>823</v>
      </c>
      <c r="F306" s="18">
        <v>450000</v>
      </c>
      <c r="G306" t="s">
        <v>419</v>
      </c>
      <c r="H306" s="1">
        <v>2450</v>
      </c>
      <c r="I306">
        <v>8350</v>
      </c>
      <c r="J306">
        <v>3</v>
      </c>
      <c r="K306">
        <v>1.75</v>
      </c>
      <c r="M306" s="2" t="str">
        <f>HYPERLINK("http://www.windermere.com/index.cfm?fuseaction=Listing.MapPropertyInteractive&amp;ListingID=19379075&amp;resize=true&amp;windowWidth=800&amp;windowHeight=600","Map")</f>
        <v>Map</v>
      </c>
      <c r="O306" s="2" t="str">
        <f>HYPERLINK("http://www.windermere.com/index.cfm?fuseaction=Listing.MultiImageViewer&amp;ListingID=19379075&amp;ln=28028113&amp;pub_mls=1","More")</f>
        <v>More</v>
      </c>
      <c r="P306" t="s">
        <v>44</v>
      </c>
      <c r="AI306" t="s">
        <v>66</v>
      </c>
      <c r="AJ306">
        <v>98125</v>
      </c>
      <c r="AS306" t="s">
        <v>824</v>
      </c>
      <c r="AT306">
        <v>19379075</v>
      </c>
      <c r="AU306" s="12">
        <v>39495</v>
      </c>
      <c r="BB306" t="s">
        <v>912</v>
      </c>
      <c r="BC306" s="7">
        <v>39493</v>
      </c>
      <c r="BG306">
        <v>2</v>
      </c>
      <c r="BH306" s="17">
        <f t="shared" ca="1" si="4"/>
        <v>34</v>
      </c>
      <c r="BI306" s="17"/>
      <c r="BJ306" s="17"/>
    </row>
    <row r="307" spans="1:63" hidden="1">
      <c r="A307">
        <v>27207001</v>
      </c>
      <c r="B307" s="2" t="str">
        <f>HYPERLINK("http://www.windermere.com/index.cfm?fuseaction=Listing.ListingDetail&amp;ListingID=19025633","Active")</f>
        <v>Active</v>
      </c>
      <c r="D307" t="s">
        <v>100</v>
      </c>
      <c r="E307" t="s">
        <v>833</v>
      </c>
      <c r="F307" s="13">
        <v>449950</v>
      </c>
      <c r="G307" t="s">
        <v>147</v>
      </c>
      <c r="H307" s="1">
        <v>1586</v>
      </c>
      <c r="J307">
        <v>3</v>
      </c>
      <c r="K307">
        <v>2.25</v>
      </c>
      <c r="M307" s="2" t="str">
        <f>HYPERLINK("http://www.windermere.com/index.cfm?fuseaction=Listing.MapPropertyInteractive&amp;ListingID=19025633&amp;resize=true&amp;windowWidth=800&amp;windowHeight=600","Map")</f>
        <v>Map</v>
      </c>
      <c r="O307" s="2" t="str">
        <f>HYPERLINK("http://www.windermere.com/index.cfm?fuseaction=Listing.MultiImageViewer&amp;ListingID=19025633&amp;ln=27207001&amp;pub_mls=1","More")</f>
        <v>More</v>
      </c>
      <c r="P307" t="s">
        <v>44</v>
      </c>
      <c r="AI307" t="s">
        <v>66</v>
      </c>
      <c r="AJ307">
        <v>98103</v>
      </c>
      <c r="AS307" t="s">
        <v>834</v>
      </c>
      <c r="AT307">
        <v>19025633</v>
      </c>
      <c r="AU307" s="12">
        <v>39495</v>
      </c>
      <c r="BB307" t="s">
        <v>912</v>
      </c>
      <c r="BC307" s="7">
        <v>39414</v>
      </c>
      <c r="BG307">
        <v>81</v>
      </c>
      <c r="BH307" s="17">
        <f t="shared" ca="1" si="4"/>
        <v>113</v>
      </c>
      <c r="BI307" s="17"/>
      <c r="BJ307" s="17"/>
    </row>
    <row r="308" spans="1:63" hidden="1">
      <c r="A308">
        <v>28013532</v>
      </c>
      <c r="B308" s="2" t="str">
        <f>HYPERLINK("http://www.windermere.com/index.cfm?fuseaction=Listing.ListingDetail&amp;ListingID=19262687","Active")</f>
        <v>Active</v>
      </c>
      <c r="D308" t="s">
        <v>199</v>
      </c>
      <c r="E308" t="s">
        <v>825</v>
      </c>
      <c r="F308" s="10">
        <v>475000</v>
      </c>
      <c r="G308" t="s">
        <v>156</v>
      </c>
      <c r="H308" s="1">
        <v>2740</v>
      </c>
      <c r="I308">
        <v>9657</v>
      </c>
      <c r="J308">
        <v>3</v>
      </c>
      <c r="K308">
        <v>2</v>
      </c>
      <c r="M308" s="2" t="str">
        <f>HYPERLINK("http://www.windermere.com/index.cfm?fuseaction=Listing.MapPropertyInteractive&amp;ListingID=19262687&amp;resize=true&amp;windowWidth=800&amp;windowHeight=600","Map")</f>
        <v>Map</v>
      </c>
      <c r="O308" s="2" t="str">
        <f>HYPERLINK("http://www.windermere.com/index.cfm?fuseaction=Listing.MultiImageViewer&amp;ListingID=19262687&amp;ln=28013532&amp;pub_mls=1","More")</f>
        <v>More</v>
      </c>
      <c r="P308" t="s">
        <v>44</v>
      </c>
      <c r="AI308" t="s">
        <v>66</v>
      </c>
      <c r="AJ308">
        <v>98125</v>
      </c>
      <c r="AS308" t="s">
        <v>826</v>
      </c>
      <c r="AT308">
        <v>19262687</v>
      </c>
      <c r="AU308" s="12">
        <v>39495</v>
      </c>
      <c r="BB308" t="s">
        <v>912</v>
      </c>
      <c r="BC308" s="7">
        <v>39469</v>
      </c>
      <c r="BG308">
        <v>26</v>
      </c>
      <c r="BH308" s="17">
        <f t="shared" ca="1" si="4"/>
        <v>58</v>
      </c>
      <c r="BI308" s="17"/>
      <c r="BJ308" s="17"/>
    </row>
    <row r="309" spans="1:63" hidden="1">
      <c r="A309">
        <v>28015635</v>
      </c>
      <c r="B309" s="2" t="str">
        <f>HYPERLINK("http://www.windermere.com/index.cfm?fuseaction=Listing.ListingDetail&amp;ListingID=19288452","Active")</f>
        <v>Active</v>
      </c>
      <c r="D309" t="s">
        <v>63</v>
      </c>
      <c r="E309" t="s">
        <v>827</v>
      </c>
      <c r="F309" s="18">
        <v>450000</v>
      </c>
      <c r="G309" t="s">
        <v>186</v>
      </c>
      <c r="H309" s="1">
        <v>2480</v>
      </c>
      <c r="I309">
        <v>4000</v>
      </c>
      <c r="J309">
        <v>4</v>
      </c>
      <c r="K309">
        <v>1.75</v>
      </c>
      <c r="M309" s="2" t="str">
        <f>HYPERLINK("http://www.windermere.com/index.cfm?fuseaction=Listing.MapPropertyInteractive&amp;ListingID=19288452&amp;resize=true&amp;windowWidth=800&amp;windowHeight=600","Map")</f>
        <v>Map</v>
      </c>
      <c r="O309" s="2" t="str">
        <f>HYPERLINK("http://www.windermere.com/index.cfm?fuseaction=Listing.MultiImageViewer&amp;ListingID=19288452&amp;ln=28015635&amp;pub_mls=1","More")</f>
        <v>More</v>
      </c>
      <c r="AI309" t="s">
        <v>66</v>
      </c>
      <c r="AJ309">
        <v>98107</v>
      </c>
      <c r="AS309" t="s">
        <v>828</v>
      </c>
      <c r="AT309">
        <v>19288452</v>
      </c>
      <c r="AU309" s="12">
        <v>39495</v>
      </c>
      <c r="BB309" t="s">
        <v>912</v>
      </c>
      <c r="BC309" s="7">
        <v>39475</v>
      </c>
      <c r="BG309">
        <v>20</v>
      </c>
      <c r="BH309" s="17">
        <f t="shared" ca="1" si="4"/>
        <v>52</v>
      </c>
      <c r="BI309" s="17"/>
      <c r="BJ309" s="17"/>
    </row>
    <row r="310" spans="1:63" hidden="1">
      <c r="A310">
        <v>28017287</v>
      </c>
      <c r="B310" s="15" t="str">
        <f>HYPERLINK("http://www.windermere.com/index.cfm?fuseaction=Listing.ListingDetail&amp;ListingID=19307351","Subject To Inspection")</f>
        <v>Subject To Inspection</v>
      </c>
      <c r="D310" t="s">
        <v>60</v>
      </c>
      <c r="E310" t="s">
        <v>831</v>
      </c>
      <c r="F310" s="10">
        <v>475000</v>
      </c>
      <c r="G310" t="s">
        <v>176</v>
      </c>
      <c r="H310" s="1">
        <v>1010</v>
      </c>
      <c r="I310">
        <v>3876</v>
      </c>
      <c r="J310">
        <v>2</v>
      </c>
      <c r="K310">
        <v>1</v>
      </c>
      <c r="M310" s="2" t="str">
        <f>HYPERLINK("http://www.windermere.com/index.cfm?fuseaction=Listing.MapPropertyInteractive&amp;ListingID=19307351&amp;resize=true&amp;windowWidth=800&amp;windowHeight=600","Map")</f>
        <v>Map</v>
      </c>
      <c r="O310" s="2" t="str">
        <f>HYPERLINK("http://www.windermere.com/index.cfm?fuseaction=Listing.MultiImageViewer&amp;ListingID=19307351&amp;ln=28017287&amp;pub_mls=1","More")</f>
        <v>More</v>
      </c>
      <c r="P310" t="s">
        <v>44</v>
      </c>
      <c r="AI310" t="s">
        <v>66</v>
      </c>
      <c r="AJ310">
        <v>98103</v>
      </c>
      <c r="AS310" t="s">
        <v>832</v>
      </c>
      <c r="AT310">
        <v>19307351</v>
      </c>
      <c r="AU310" s="12">
        <v>39495</v>
      </c>
      <c r="BB310" t="s">
        <v>912</v>
      </c>
      <c r="BC310" s="7">
        <v>39479</v>
      </c>
      <c r="BD310">
        <v>3</v>
      </c>
      <c r="BE310" t="s">
        <v>1380</v>
      </c>
      <c r="BG310">
        <v>16</v>
      </c>
      <c r="BH310" s="17">
        <f t="shared" ca="1" si="4"/>
        <v>48</v>
      </c>
      <c r="BI310" s="17"/>
      <c r="BJ310" s="17"/>
    </row>
    <row r="311" spans="1:63" hidden="1">
      <c r="A311">
        <v>28024819</v>
      </c>
      <c r="B311" s="2" t="str">
        <f>HYPERLINK("http://www.windermere.com/index.cfm?fuseaction=Listing.ListingDetail&amp;ListingID=19350454","Subject To Inspection")</f>
        <v>Subject To Inspection</v>
      </c>
      <c r="D311" t="s">
        <v>109</v>
      </c>
      <c r="E311" t="s">
        <v>829</v>
      </c>
      <c r="F311" s="10">
        <v>475000</v>
      </c>
      <c r="G311" t="s">
        <v>227</v>
      </c>
      <c r="H311" s="1">
        <v>2120</v>
      </c>
      <c r="I311">
        <v>4080</v>
      </c>
      <c r="J311">
        <v>3</v>
      </c>
      <c r="K311">
        <v>1</v>
      </c>
      <c r="M311" s="2" t="str">
        <f>HYPERLINK("http://www.windermere.com/index.cfm?fuseaction=Listing.MapPropertyInteractive&amp;ListingID=19350454&amp;resize=true&amp;windowWidth=800&amp;windowHeight=600","Map")</f>
        <v>Map</v>
      </c>
      <c r="O311" s="2" t="str">
        <f>HYPERLINK("http://www.windermere.com/index.cfm?fuseaction=viewGallery.Home&amp;customTourID=207209&amp;wvt=0","More")</f>
        <v>More</v>
      </c>
      <c r="AI311" t="s">
        <v>66</v>
      </c>
      <c r="AJ311">
        <v>98105</v>
      </c>
      <c r="AS311" t="s">
        <v>830</v>
      </c>
      <c r="AT311">
        <v>19350454</v>
      </c>
      <c r="AU311" s="12">
        <v>39495</v>
      </c>
      <c r="BB311" t="s">
        <v>912</v>
      </c>
      <c r="BC311" s="7">
        <v>39489</v>
      </c>
      <c r="BD311">
        <v>3</v>
      </c>
      <c r="BE311" t="s">
        <v>1381</v>
      </c>
      <c r="BG311">
        <v>6</v>
      </c>
      <c r="BH311" s="17">
        <f t="shared" ca="1" si="4"/>
        <v>38</v>
      </c>
      <c r="BI311" s="17"/>
      <c r="BJ311" s="17"/>
      <c r="BK311" t="str">
        <f>B311</f>
        <v>Subject To Inspection</v>
      </c>
    </row>
    <row r="312" spans="1:63" hidden="1">
      <c r="A312">
        <v>28025604</v>
      </c>
      <c r="B312" s="2" t="str">
        <f>HYPERLINK("http://www.windermere.com/index.cfm?fuseaction=Listing.ListingDetail&amp;ListingID=19408406","Active")</f>
        <v>Active</v>
      </c>
      <c r="D312" t="s">
        <v>63</v>
      </c>
      <c r="E312" t="s">
        <v>277</v>
      </c>
      <c r="F312" s="18">
        <v>464950</v>
      </c>
      <c r="G312" t="s">
        <v>144</v>
      </c>
      <c r="H312" s="1">
        <v>1720</v>
      </c>
      <c r="I312">
        <v>3676</v>
      </c>
      <c r="J312">
        <v>3</v>
      </c>
      <c r="K312">
        <v>1.5</v>
      </c>
      <c r="M312" s="2" t="str">
        <f>HYPERLINK("http://www.windermere.com/index.cfm?fuseaction=Listing.MapPropertyInteractive&amp;ListingID=19408406&amp;resize=true&amp;windowWidth=800&amp;windowHeight=600","Map")</f>
        <v>Map</v>
      </c>
      <c r="O312" s="2" t="str">
        <f>HYPERLINK("http://www.windermere.com/index.cfm?fuseaction=Listing.MultiImageViewer&amp;ListingID=19408406&amp;ln=28025604&amp;pub_mls=1","More")</f>
        <v>More</v>
      </c>
      <c r="P312" t="s">
        <v>44</v>
      </c>
      <c r="AI312" t="s">
        <v>66</v>
      </c>
      <c r="AJ312">
        <v>98117</v>
      </c>
      <c r="AS312" s="19" t="s">
        <v>1469</v>
      </c>
      <c r="AT312" s="19">
        <v>19408406</v>
      </c>
      <c r="AU312" s="12">
        <v>39495</v>
      </c>
      <c r="BB312" t="s">
        <v>912</v>
      </c>
      <c r="BC312" s="7">
        <v>39490</v>
      </c>
      <c r="BD312">
        <v>4</v>
      </c>
      <c r="BE312" t="s">
        <v>1342</v>
      </c>
      <c r="BF312" s="7">
        <v>39494</v>
      </c>
      <c r="BG312">
        <v>5</v>
      </c>
      <c r="BH312" s="17">
        <f t="shared" ca="1" si="4"/>
        <v>37</v>
      </c>
      <c r="BI312" s="17"/>
      <c r="BJ312" s="17"/>
    </row>
    <row r="313" spans="1:63" hidden="1">
      <c r="A313">
        <v>27187856</v>
      </c>
      <c r="B313" s="4" t="str">
        <f>HYPERLINK("http://www.windermere.com/index.cfm?fuseaction=Listing.ListingDetail&amp;ListingID=18827147","Active")</f>
        <v>Active</v>
      </c>
      <c r="D313" t="s">
        <v>63</v>
      </c>
      <c r="E313" t="s">
        <v>837</v>
      </c>
      <c r="F313" s="10">
        <v>479000</v>
      </c>
      <c r="G313" t="s">
        <v>147</v>
      </c>
      <c r="H313" s="1">
        <v>1900</v>
      </c>
      <c r="J313">
        <v>3</v>
      </c>
      <c r="K313">
        <v>3.5</v>
      </c>
      <c r="M313" s="2" t="str">
        <f>HYPERLINK("http://www.windermere.com/index.cfm?fuseaction=Listing.MapPropertyInteractive&amp;ListingID=18827147&amp;resize=true&amp;windowWidth=800&amp;windowHeight=600","Map")</f>
        <v>Map</v>
      </c>
      <c r="O313" s="2" t="str">
        <f>HYPERLINK("http://www.windermere.com/index.cfm?fuseaction=Listing.MultiImageViewer&amp;ListingID=18827147&amp;ln=27187856&amp;pub_mls=1","More")</f>
        <v>More</v>
      </c>
      <c r="P313" t="s">
        <v>44</v>
      </c>
      <c r="AI313" t="s">
        <v>66</v>
      </c>
      <c r="AJ313">
        <v>98107</v>
      </c>
      <c r="AS313" t="s">
        <v>838</v>
      </c>
      <c r="AT313">
        <v>18827147</v>
      </c>
      <c r="AU313" s="12">
        <v>39495</v>
      </c>
      <c r="BB313" t="s">
        <v>912</v>
      </c>
      <c r="BC313" s="7">
        <v>39372</v>
      </c>
      <c r="BG313">
        <v>123</v>
      </c>
      <c r="BH313" s="17">
        <f t="shared" ca="1" si="4"/>
        <v>155</v>
      </c>
      <c r="BI313" s="17"/>
      <c r="BJ313" s="17"/>
    </row>
    <row r="314" spans="1:63" hidden="1">
      <c r="A314">
        <v>27187865</v>
      </c>
      <c r="B314" s="4" t="str">
        <f>HYPERLINK("http://www.windermere.com/index.cfm?fuseaction=Listing.ListingDetail&amp;ListingID=18827156","Active")</f>
        <v>Active</v>
      </c>
      <c r="D314" t="s">
        <v>63</v>
      </c>
      <c r="E314" t="s">
        <v>839</v>
      </c>
      <c r="F314" s="10">
        <v>479000</v>
      </c>
      <c r="G314" t="s">
        <v>147</v>
      </c>
      <c r="H314" s="1">
        <v>1900</v>
      </c>
      <c r="J314">
        <v>3</v>
      </c>
      <c r="K314">
        <v>3.5</v>
      </c>
      <c r="M314" s="2" t="str">
        <f>HYPERLINK("http://www.windermere.com/index.cfm?fuseaction=Listing.MapPropertyInteractive&amp;ListingID=18827156&amp;resize=true&amp;windowWidth=800&amp;windowHeight=600","Map")</f>
        <v>Map</v>
      </c>
      <c r="O314" s="2" t="str">
        <f>HYPERLINK("http://www.windermere.com/index.cfm?fuseaction=Listing.MultiImageViewer&amp;ListingID=18827156&amp;ln=27187865&amp;pub_mls=1","More")</f>
        <v>More</v>
      </c>
      <c r="P314" t="s">
        <v>44</v>
      </c>
      <c r="AI314" t="s">
        <v>66</v>
      </c>
      <c r="AJ314">
        <v>98107</v>
      </c>
      <c r="AS314" t="s">
        <v>840</v>
      </c>
      <c r="AT314">
        <v>18827156</v>
      </c>
      <c r="AU314" s="12">
        <v>39495</v>
      </c>
      <c r="BB314" t="s">
        <v>912</v>
      </c>
      <c r="BC314" s="7">
        <v>39372</v>
      </c>
      <c r="BD314">
        <v>-4</v>
      </c>
      <c r="BE314" t="s">
        <v>1444</v>
      </c>
      <c r="BG314">
        <v>123</v>
      </c>
      <c r="BH314" s="17">
        <f t="shared" ca="1" si="4"/>
        <v>155</v>
      </c>
      <c r="BI314" s="17"/>
      <c r="BJ314" s="17"/>
    </row>
    <row r="315" spans="1:63" hidden="1">
      <c r="A315">
        <v>28007508</v>
      </c>
      <c r="B315" s="2" t="str">
        <f>HYPERLINK("http://www.windermere.com/index.cfm?fuseaction=Listing.ListingDetail&amp;ListingID=19212618","Active")</f>
        <v>Active</v>
      </c>
      <c r="D315" t="s">
        <v>109</v>
      </c>
      <c r="E315" t="s">
        <v>835</v>
      </c>
      <c r="F315" s="10">
        <v>479000</v>
      </c>
      <c r="G315" t="s">
        <v>147</v>
      </c>
      <c r="H315" s="1">
        <v>1350</v>
      </c>
      <c r="J315">
        <v>3</v>
      </c>
      <c r="K315">
        <v>2.5</v>
      </c>
      <c r="M315" s="2" t="str">
        <f>HYPERLINK("http://www.windermere.com/index.cfm?fuseaction=Listing.MapPropertyInteractive&amp;ListingID=19212618&amp;resize=true&amp;windowWidth=800&amp;windowHeight=600","Map")</f>
        <v>Map</v>
      </c>
      <c r="O315" s="2" t="str">
        <f>HYPERLINK("http://www.windermere.com/index.cfm?fuseaction=Listing.MultiImageViewer&amp;ListingID=19212618&amp;ln=28007508&amp;pub_mls=1","More")</f>
        <v>More</v>
      </c>
      <c r="P315" t="s">
        <v>44</v>
      </c>
      <c r="AI315" t="s">
        <v>66</v>
      </c>
      <c r="AJ315">
        <v>98103</v>
      </c>
      <c r="AS315" t="s">
        <v>836</v>
      </c>
      <c r="AT315">
        <v>19212618</v>
      </c>
      <c r="AU315" s="12">
        <v>39495</v>
      </c>
      <c r="BB315" t="s">
        <v>912</v>
      </c>
      <c r="BC315" s="7">
        <v>39458</v>
      </c>
      <c r="BG315">
        <v>37</v>
      </c>
      <c r="BH315" s="17">
        <f t="shared" ca="1" si="4"/>
        <v>69</v>
      </c>
      <c r="BI315" s="17"/>
      <c r="BJ315" s="17"/>
    </row>
    <row r="316" spans="1:63" hidden="1">
      <c r="A316">
        <v>27183898</v>
      </c>
      <c r="B316" s="2" t="str">
        <f>HYPERLINK("http://www.windermere.com/index.cfm?fuseaction=Listing.ListingDetail&amp;ListingID=18790899","Active")</f>
        <v>Active</v>
      </c>
      <c r="D316" t="s">
        <v>109</v>
      </c>
      <c r="E316" t="s">
        <v>166</v>
      </c>
      <c r="F316" s="10">
        <v>479450</v>
      </c>
      <c r="G316" t="s">
        <v>181</v>
      </c>
      <c r="H316" s="1">
        <v>1200</v>
      </c>
      <c r="I316">
        <v>3400</v>
      </c>
      <c r="J316">
        <v>3</v>
      </c>
      <c r="K316">
        <v>3</v>
      </c>
      <c r="M316" s="2" t="str">
        <f>HYPERLINK("http://www.windermere.com/index.cfm?fuseaction=Listing.MapPropertyInteractive&amp;ListingID=18790899&amp;resize=true&amp;windowWidth=800&amp;windowHeight=600","Map")</f>
        <v>Map</v>
      </c>
      <c r="P316" t="s">
        <v>44</v>
      </c>
      <c r="AI316" t="s">
        <v>66</v>
      </c>
      <c r="AJ316">
        <v>98103</v>
      </c>
      <c r="AS316" t="s">
        <v>841</v>
      </c>
      <c r="AT316">
        <v>18790899</v>
      </c>
      <c r="AU316" s="12">
        <v>39495</v>
      </c>
      <c r="BB316" t="s">
        <v>912</v>
      </c>
      <c r="BC316" s="7">
        <v>39365</v>
      </c>
      <c r="BG316">
        <v>130</v>
      </c>
      <c r="BH316" s="17">
        <f t="shared" ca="1" si="4"/>
        <v>162</v>
      </c>
      <c r="BI316" s="17"/>
      <c r="BJ316" s="17"/>
    </row>
    <row r="317" spans="1:63" hidden="1">
      <c r="A317">
        <v>27195187</v>
      </c>
      <c r="B317" s="2" t="str">
        <f>HYPERLINK("http://www.windermere.com/index.cfm?fuseaction=Listing.ListingDetail&amp;ListingID=18894488","Active")</f>
        <v>Active</v>
      </c>
      <c r="D317" t="s">
        <v>63</v>
      </c>
      <c r="E317" t="s">
        <v>169</v>
      </c>
      <c r="F317" s="13">
        <v>450000</v>
      </c>
      <c r="G317" t="s">
        <v>182</v>
      </c>
      <c r="H317" s="1">
        <v>2060</v>
      </c>
      <c r="I317">
        <v>5000</v>
      </c>
      <c r="J317">
        <v>4</v>
      </c>
      <c r="K317">
        <v>1</v>
      </c>
      <c r="M317" s="2" t="str">
        <f>HYPERLINK("http://www.windermere.com/index.cfm?fuseaction=Listing.MapPropertyInteractive&amp;ListingID=18894488&amp;resize=true&amp;windowWidth=800&amp;windowHeight=600","Map")</f>
        <v>Map</v>
      </c>
      <c r="AI317" t="s">
        <v>66</v>
      </c>
      <c r="AJ317">
        <v>98117</v>
      </c>
      <c r="AS317" t="s">
        <v>276</v>
      </c>
      <c r="AT317">
        <v>18894488</v>
      </c>
      <c r="AU317" s="12">
        <v>39495</v>
      </c>
      <c r="BB317" t="s">
        <v>912</v>
      </c>
      <c r="BC317" s="7">
        <v>39386</v>
      </c>
      <c r="BG317">
        <v>109</v>
      </c>
      <c r="BH317" s="17">
        <f t="shared" ca="1" si="4"/>
        <v>141</v>
      </c>
      <c r="BI317" s="17"/>
      <c r="BJ317" s="17"/>
    </row>
    <row r="318" spans="1:63" hidden="1">
      <c r="A318">
        <v>27211024</v>
      </c>
      <c r="B318" s="2" t="str">
        <f>HYPERLINK("http://www.windermere.com/index.cfm?fuseaction=Listing.ListingDetail&amp;ListingID=19072165","Active")</f>
        <v>Active</v>
      </c>
      <c r="D318" t="s">
        <v>60</v>
      </c>
      <c r="E318" t="s">
        <v>842</v>
      </c>
      <c r="F318" s="10">
        <v>479900</v>
      </c>
      <c r="G318" t="s">
        <v>129</v>
      </c>
      <c r="H318" s="1">
        <v>2080</v>
      </c>
      <c r="I318">
        <v>3000</v>
      </c>
      <c r="J318">
        <v>3</v>
      </c>
      <c r="K318">
        <v>1.5</v>
      </c>
      <c r="M318" s="2" t="str">
        <f>HYPERLINK("http://www.windermere.com/index.cfm?fuseaction=Listing.MapPropertyInteractive&amp;ListingID=19072165&amp;resize=true&amp;windowWidth=800&amp;windowHeight=600","Map")</f>
        <v>Map</v>
      </c>
      <c r="O318" s="2" t="str">
        <f>HYPERLINK("http://www.windermere.com/index.cfm?fuseaction=Listing.MultiImageViewer&amp;ListingID=19072165&amp;ln=27211024&amp;pub_mls=1","More")</f>
        <v>More</v>
      </c>
      <c r="AI318" t="s">
        <v>66</v>
      </c>
      <c r="AJ318">
        <v>98103</v>
      </c>
      <c r="AS318" t="s">
        <v>843</v>
      </c>
      <c r="AT318">
        <v>19072165</v>
      </c>
      <c r="AU318" s="12">
        <v>39495</v>
      </c>
      <c r="BB318" t="s">
        <v>912</v>
      </c>
      <c r="BC318" s="7">
        <v>39425</v>
      </c>
      <c r="BG318">
        <v>70</v>
      </c>
      <c r="BH318" s="17">
        <f t="shared" ca="1" si="4"/>
        <v>102</v>
      </c>
      <c r="BI318" s="17"/>
      <c r="BJ318" s="17"/>
    </row>
    <row r="319" spans="1:63" hidden="1">
      <c r="A319">
        <v>28007148</v>
      </c>
      <c r="B319" s="2" t="str">
        <f>HYPERLINK("http://www.windermere.com/index.cfm?fuseaction=Listing.ListingDetail&amp;ListingID=19212202","Subject To Inspection")</f>
        <v>Subject To Inspection</v>
      </c>
      <c r="D319" t="s">
        <v>99</v>
      </c>
      <c r="E319" t="s">
        <v>274</v>
      </c>
      <c r="F319" s="10">
        <v>479922</v>
      </c>
      <c r="G319" t="s">
        <v>176</v>
      </c>
      <c r="H319" s="1">
        <v>2240</v>
      </c>
      <c r="I319">
        <v>6800</v>
      </c>
      <c r="J319">
        <v>3</v>
      </c>
      <c r="K319">
        <v>1.75</v>
      </c>
      <c r="M319" s="2" t="str">
        <f>HYPERLINK("http://www.windermere.com/index.cfm?fuseaction=Listing.MapPropertyInteractive&amp;ListingID=19212202&amp;resize=true&amp;windowWidth=800&amp;windowHeight=600","Map")</f>
        <v>Map</v>
      </c>
      <c r="O319" s="2" t="str">
        <f>HYPERLINK("http://www.windermere.com/index.cfm?fuseaction=viewGallery.Home&amp;customTourID=204141&amp;wvt=0","More")</f>
        <v>More</v>
      </c>
      <c r="P319" t="s">
        <v>44</v>
      </c>
      <c r="AI319" t="s">
        <v>66</v>
      </c>
      <c r="AJ319">
        <v>98117</v>
      </c>
      <c r="AS319" t="s">
        <v>275</v>
      </c>
      <c r="AT319">
        <v>19212202</v>
      </c>
      <c r="AU319" s="12">
        <v>39495</v>
      </c>
      <c r="BB319" t="s">
        <v>912</v>
      </c>
      <c r="BC319" s="7">
        <v>39458</v>
      </c>
      <c r="BG319">
        <v>37</v>
      </c>
      <c r="BH319" s="17">
        <f t="shared" ca="1" si="4"/>
        <v>69</v>
      </c>
      <c r="BI319" s="17"/>
      <c r="BJ319" s="17"/>
      <c r="BK319" t="str">
        <f>B319</f>
        <v>Subject To Inspection</v>
      </c>
    </row>
    <row r="320" spans="1:63" hidden="1">
      <c r="A320">
        <v>27194846</v>
      </c>
      <c r="B320" s="2" t="str">
        <f>HYPERLINK("http://www.windermere.com/index.cfm?fuseaction=Listing.ListingDetail&amp;ListingID=18892529","Active")</f>
        <v>Active</v>
      </c>
      <c r="D320" t="s">
        <v>100</v>
      </c>
      <c r="E320" t="s">
        <v>850</v>
      </c>
      <c r="F320" s="13">
        <v>447950</v>
      </c>
      <c r="G320" t="s">
        <v>147</v>
      </c>
      <c r="H320" s="1">
        <v>1671</v>
      </c>
      <c r="J320">
        <v>3</v>
      </c>
      <c r="K320">
        <v>2.25</v>
      </c>
      <c r="M320" s="2" t="str">
        <f>HYPERLINK("http://www.windermere.com/index.cfm?fuseaction=Listing.MapPropertyInteractive&amp;ListingID=18892529&amp;resize=true&amp;windowWidth=800&amp;windowHeight=600","Map")</f>
        <v>Map</v>
      </c>
      <c r="O320" s="2" t="str">
        <f>HYPERLINK("http://www.windermere.com/index.cfm?fuseaction=Listing.MultiImageViewer&amp;ListingID=18892529&amp;ln=27194846&amp;pub_mls=1","More")</f>
        <v>More</v>
      </c>
      <c r="P320" t="s">
        <v>44</v>
      </c>
      <c r="AI320" t="s">
        <v>66</v>
      </c>
      <c r="AJ320">
        <v>98103</v>
      </c>
      <c r="AS320" t="s">
        <v>851</v>
      </c>
      <c r="AT320">
        <v>18892529</v>
      </c>
      <c r="AU320" s="12">
        <v>39495</v>
      </c>
      <c r="BB320" t="s">
        <v>912</v>
      </c>
      <c r="BC320" s="7">
        <v>39386</v>
      </c>
      <c r="BG320">
        <v>109</v>
      </c>
      <c r="BH320" s="17">
        <f t="shared" ca="1" si="4"/>
        <v>141</v>
      </c>
      <c r="BI320" s="17"/>
      <c r="BJ320" s="17"/>
    </row>
    <row r="321" spans="1:63" hidden="1">
      <c r="A321">
        <v>27212456</v>
      </c>
      <c r="B321" s="2" t="str">
        <f>HYPERLINK("http://www.windermere.com/index.cfm?fuseaction=Listing.ListingDetail&amp;ListingID=19088651","Active")</f>
        <v>Active</v>
      </c>
      <c r="D321" t="s">
        <v>100</v>
      </c>
      <c r="E321" t="s">
        <v>848</v>
      </c>
      <c r="F321" s="10">
        <v>479950</v>
      </c>
      <c r="G321" t="s">
        <v>147</v>
      </c>
      <c r="J321">
        <v>3</v>
      </c>
      <c r="K321">
        <v>2.5</v>
      </c>
      <c r="M321" s="2" t="str">
        <f>HYPERLINK("http://www.windermere.com/index.cfm?fuseaction=Listing.MapPropertyInteractive&amp;ListingID=19088651&amp;resize=true&amp;windowWidth=800&amp;windowHeight=600","Map")</f>
        <v>Map</v>
      </c>
      <c r="O321" s="2" t="str">
        <f>HYPERLINK("http://www.windermere.com/index.cfm?fuseaction=Listing.MultiImageViewer&amp;ListingID=19088651&amp;ln=27212456&amp;pub_mls=1","More")</f>
        <v>More</v>
      </c>
      <c r="AI321" t="s">
        <v>66</v>
      </c>
      <c r="AJ321">
        <v>98103</v>
      </c>
      <c r="AS321" t="s">
        <v>849</v>
      </c>
      <c r="AT321">
        <v>19088651</v>
      </c>
      <c r="AU321" s="12">
        <v>39495</v>
      </c>
      <c r="BB321" t="s">
        <v>912</v>
      </c>
      <c r="BC321" s="7">
        <v>39428</v>
      </c>
      <c r="BG321">
        <v>67</v>
      </c>
      <c r="BH321" s="17">
        <f t="shared" ca="1" si="4"/>
        <v>99</v>
      </c>
      <c r="BI321" s="17"/>
      <c r="BJ321" s="17"/>
    </row>
    <row r="322" spans="1:63" hidden="1">
      <c r="A322">
        <v>27212458</v>
      </c>
      <c r="B322" s="2" t="str">
        <f>HYPERLINK("http://www.windermere.com/index.cfm?fuseaction=Listing.ListingDetail&amp;ListingID=19088652","Active")</f>
        <v>Active</v>
      </c>
      <c r="D322" t="s">
        <v>100</v>
      </c>
      <c r="E322" t="s">
        <v>854</v>
      </c>
      <c r="F322" s="10">
        <v>479950</v>
      </c>
      <c r="G322" t="s">
        <v>147</v>
      </c>
      <c r="J322">
        <v>3</v>
      </c>
      <c r="K322">
        <v>2.5</v>
      </c>
      <c r="M322" s="2" t="str">
        <f>HYPERLINK("http://www.windermere.com/index.cfm?fuseaction=Listing.MapPropertyInteractive&amp;ListingID=19088652&amp;resize=true&amp;windowWidth=800&amp;windowHeight=600","Map")</f>
        <v>Map</v>
      </c>
      <c r="O322" s="2" t="str">
        <f>HYPERLINK("http://www.windermere.com/index.cfm?fuseaction=Listing.MultiImageViewer&amp;ListingID=19088652&amp;ln=27212458&amp;pub_mls=1","More")</f>
        <v>More</v>
      </c>
      <c r="AI322" t="s">
        <v>66</v>
      </c>
      <c r="AJ322">
        <v>98103</v>
      </c>
      <c r="AS322" t="s">
        <v>855</v>
      </c>
      <c r="AT322">
        <v>19088652</v>
      </c>
      <c r="AU322" s="12">
        <v>39495</v>
      </c>
      <c r="BB322" t="s">
        <v>912</v>
      </c>
      <c r="BC322" s="7">
        <v>39428</v>
      </c>
      <c r="BG322">
        <v>67</v>
      </c>
      <c r="BH322" s="17">
        <f t="shared" ca="1" si="4"/>
        <v>99</v>
      </c>
      <c r="BI322" s="17"/>
      <c r="BJ322" s="17"/>
    </row>
    <row r="323" spans="1:63" hidden="1">
      <c r="A323">
        <v>28004347</v>
      </c>
      <c r="B323" s="2" t="str">
        <f>HYPERLINK("http://www.windermere.com/index.cfm?fuseaction=Listing.ListingDetail&amp;ListingID=19175636","Subject To Inspection")</f>
        <v>Subject To Inspection</v>
      </c>
      <c r="D323" t="s">
        <v>63</v>
      </c>
      <c r="E323" t="s">
        <v>864</v>
      </c>
      <c r="F323" s="10">
        <v>479950</v>
      </c>
      <c r="G323" t="s">
        <v>247</v>
      </c>
      <c r="H323" s="1">
        <v>1796</v>
      </c>
      <c r="J323">
        <v>3</v>
      </c>
      <c r="K323">
        <v>2.5</v>
      </c>
      <c r="M323" s="2" t="str">
        <f>HYPERLINK("http://www.windermere.com/index.cfm?fuseaction=Listing.MapPropertyInteractive&amp;ListingID=19175636&amp;resize=true&amp;windowWidth=800&amp;windowHeight=600","Map")</f>
        <v>Map</v>
      </c>
      <c r="O323" s="2" t="str">
        <f>HYPERLINK("http://www.windermere.com/index.cfm?fuseaction=Listing.MultiImageViewer&amp;ListingID=19175636&amp;ln=28004347&amp;pub_mls=1","More")</f>
        <v>More</v>
      </c>
      <c r="P323" t="s">
        <v>44</v>
      </c>
      <c r="AI323" t="s">
        <v>66</v>
      </c>
      <c r="AJ323">
        <v>98107</v>
      </c>
      <c r="AS323" t="s">
        <v>865</v>
      </c>
      <c r="AT323">
        <v>19175636</v>
      </c>
      <c r="AU323" s="12">
        <v>39495</v>
      </c>
      <c r="BB323" t="s">
        <v>912</v>
      </c>
      <c r="BC323" s="7">
        <v>39454</v>
      </c>
      <c r="BG323">
        <v>41</v>
      </c>
      <c r="BH323" s="17">
        <f t="shared" ref="BH323:BH386" ca="1" si="5">TODAY()-BC323</f>
        <v>73</v>
      </c>
      <c r="BI323" s="17"/>
      <c r="BJ323" s="17"/>
      <c r="BK323" t="str">
        <f>B323</f>
        <v>Subject To Inspection</v>
      </c>
    </row>
    <row r="324" spans="1:63" hidden="1">
      <c r="A324">
        <v>28008698</v>
      </c>
      <c r="B324" s="4" t="str">
        <f>HYPERLINK("http://www.windermere.com/index.cfm?fuseaction=Listing.ListingDetail&amp;ListingID=19221882","Subject To Inspection")</f>
        <v>Subject To Inspection</v>
      </c>
      <c r="D324" t="s">
        <v>100</v>
      </c>
      <c r="E324" t="s">
        <v>846</v>
      </c>
      <c r="F324" s="10">
        <v>479950</v>
      </c>
      <c r="G324" t="s">
        <v>147</v>
      </c>
      <c r="J324">
        <v>3</v>
      </c>
      <c r="K324">
        <v>2.5</v>
      </c>
      <c r="M324" s="2" t="str">
        <f>HYPERLINK("http://www.windermere.com/index.cfm?fuseaction=Listing.MapPropertyInteractive&amp;ListingID=19221882&amp;resize=true&amp;windowWidth=800&amp;windowHeight=600","Map")</f>
        <v>Map</v>
      </c>
      <c r="O324" s="2" t="str">
        <f>HYPERLINK("http://www.windermere.com/index.cfm?fuseaction=Listing.MultiImageViewer&amp;ListingID=19221882&amp;ln=28008698&amp;pub_mls=1","More")</f>
        <v>More</v>
      </c>
      <c r="AI324" t="s">
        <v>66</v>
      </c>
      <c r="AJ324">
        <v>98103</v>
      </c>
      <c r="AS324" t="s">
        <v>847</v>
      </c>
      <c r="AT324">
        <v>19221882</v>
      </c>
      <c r="AU324" s="12">
        <v>39495</v>
      </c>
      <c r="BB324" t="s">
        <v>912</v>
      </c>
      <c r="BC324" s="7">
        <v>39461</v>
      </c>
      <c r="BG324">
        <v>34</v>
      </c>
      <c r="BH324" s="17">
        <f t="shared" ca="1" si="5"/>
        <v>66</v>
      </c>
      <c r="BI324" s="17"/>
      <c r="BJ324" s="17"/>
    </row>
    <row r="325" spans="1:63" hidden="1">
      <c r="A325">
        <v>28010411</v>
      </c>
      <c r="B325" s="2" t="str">
        <f>HYPERLINK("http://www.windermere.com/index.cfm?fuseaction=Listing.ListingDetail&amp;ListingID=19235916","Active")</f>
        <v>Active</v>
      </c>
      <c r="D325" t="s">
        <v>63</v>
      </c>
      <c r="E325" t="s">
        <v>858</v>
      </c>
      <c r="F325" s="10">
        <v>479950</v>
      </c>
      <c r="G325" t="s">
        <v>147</v>
      </c>
      <c r="H325" s="1">
        <v>2219</v>
      </c>
      <c r="J325">
        <v>3</v>
      </c>
      <c r="K325">
        <v>2.5</v>
      </c>
      <c r="M325" s="2" t="str">
        <f>HYPERLINK("http://www.windermere.com/index.cfm?fuseaction=Listing.MapPropertyInteractive&amp;ListingID=19235916&amp;resize=true&amp;windowWidth=800&amp;windowHeight=600","Map")</f>
        <v>Map</v>
      </c>
      <c r="O325" s="2" t="str">
        <f>HYPERLINK("http://www.windermere.com/index.cfm?fuseaction=Listing.MultiImageViewer&amp;ListingID=19235916&amp;ln=28010411&amp;pub_mls=1","More")</f>
        <v>More</v>
      </c>
      <c r="P325" t="s">
        <v>44</v>
      </c>
      <c r="AI325" t="s">
        <v>66</v>
      </c>
      <c r="AJ325">
        <v>98107</v>
      </c>
      <c r="AS325" t="s">
        <v>859</v>
      </c>
      <c r="AT325">
        <v>19235916</v>
      </c>
      <c r="AU325" s="12">
        <v>39495</v>
      </c>
      <c r="BB325" t="s">
        <v>912</v>
      </c>
      <c r="BC325" s="7">
        <v>39463</v>
      </c>
      <c r="BG325">
        <v>32</v>
      </c>
      <c r="BH325" s="17">
        <f t="shared" ca="1" si="5"/>
        <v>64</v>
      </c>
      <c r="BI325" s="17"/>
      <c r="BJ325" s="17"/>
    </row>
    <row r="326" spans="1:63" hidden="1">
      <c r="A326">
        <v>28010430</v>
      </c>
      <c r="B326" s="4" t="str">
        <f>HYPERLINK("http://www.windermere.com/index.cfm?fuseaction=Listing.ListingDetail&amp;ListingID=19236131","Subject To Inspection")</f>
        <v>Subject To Inspection</v>
      </c>
      <c r="D326" t="s">
        <v>63</v>
      </c>
      <c r="E326" t="s">
        <v>860</v>
      </c>
      <c r="F326" s="10">
        <v>479950</v>
      </c>
      <c r="G326" t="s">
        <v>147</v>
      </c>
      <c r="H326" s="1">
        <v>2219</v>
      </c>
      <c r="J326">
        <v>3</v>
      </c>
      <c r="K326">
        <v>2.5</v>
      </c>
      <c r="M326" s="2" t="str">
        <f>HYPERLINK("http://www.windermere.com/index.cfm?fuseaction=Listing.MapPropertyInteractive&amp;ListingID=19236131&amp;resize=true&amp;windowWidth=800&amp;windowHeight=600","Map")</f>
        <v>Map</v>
      </c>
      <c r="O326" s="2" t="str">
        <f>HYPERLINK("http://www.windermere.com/index.cfm?fuseaction=Listing.MultiImageViewer&amp;ListingID=19236131&amp;ln=28010430&amp;pub_mls=1","More")</f>
        <v>More</v>
      </c>
      <c r="P326" t="s">
        <v>44</v>
      </c>
      <c r="AI326" t="s">
        <v>66</v>
      </c>
      <c r="AJ326">
        <v>98107</v>
      </c>
      <c r="AS326" t="s">
        <v>861</v>
      </c>
      <c r="AT326">
        <v>19236131</v>
      </c>
      <c r="AU326" s="12">
        <v>39495</v>
      </c>
      <c r="BB326" t="s">
        <v>912</v>
      </c>
      <c r="BC326" s="7">
        <v>39463</v>
      </c>
      <c r="BG326">
        <v>32</v>
      </c>
      <c r="BH326" s="17">
        <f t="shared" ca="1" si="5"/>
        <v>64</v>
      </c>
      <c r="BI326" s="17"/>
      <c r="BJ326" s="17"/>
    </row>
    <row r="327" spans="1:63" hidden="1">
      <c r="A327">
        <v>28010441</v>
      </c>
      <c r="B327" s="2" t="str">
        <f>HYPERLINK("http://www.windermere.com/index.cfm?fuseaction=Listing.ListingDetail&amp;ListingID=19236178","Active")</f>
        <v>Active</v>
      </c>
      <c r="D327" t="s">
        <v>63</v>
      </c>
      <c r="E327" t="s">
        <v>862</v>
      </c>
      <c r="F327" s="10">
        <v>479950</v>
      </c>
      <c r="G327" t="s">
        <v>147</v>
      </c>
      <c r="H327" s="1">
        <v>2219</v>
      </c>
      <c r="J327">
        <v>3</v>
      </c>
      <c r="K327">
        <v>2.5</v>
      </c>
      <c r="M327" s="2" t="str">
        <f>HYPERLINK("http://www.windermere.com/index.cfm?fuseaction=Listing.MapPropertyInteractive&amp;ListingID=19236178&amp;resize=true&amp;windowWidth=800&amp;windowHeight=600","Map")</f>
        <v>Map</v>
      </c>
      <c r="O327" s="2" t="str">
        <f>HYPERLINK("http://www.windermere.com/index.cfm?fuseaction=Listing.MultiImageViewer&amp;ListingID=19236178&amp;ln=28010441&amp;pub_mls=1","More")</f>
        <v>More</v>
      </c>
      <c r="P327" t="s">
        <v>44</v>
      </c>
      <c r="AI327" t="s">
        <v>66</v>
      </c>
      <c r="AJ327">
        <v>98107</v>
      </c>
      <c r="AS327" t="s">
        <v>863</v>
      </c>
      <c r="AT327">
        <v>19236178</v>
      </c>
      <c r="AU327" s="12">
        <v>39495</v>
      </c>
      <c r="BB327" t="s">
        <v>912</v>
      </c>
      <c r="BC327" s="7">
        <v>39463</v>
      </c>
      <c r="BG327">
        <v>32</v>
      </c>
      <c r="BH327" s="17">
        <f t="shared" ca="1" si="5"/>
        <v>64</v>
      </c>
      <c r="BI327" s="17"/>
      <c r="BJ327" s="17"/>
    </row>
    <row r="328" spans="1:63" hidden="1">
      <c r="A328">
        <v>28011848</v>
      </c>
      <c r="B328" s="2" t="str">
        <f>HYPERLINK("http://www.windermere.com/index.cfm?fuseaction=Listing.ListingDetail&amp;ListingID=19247757","Subject To Inspection")</f>
        <v>Subject To Inspection</v>
      </c>
      <c r="D328" t="s">
        <v>100</v>
      </c>
      <c r="E328" t="s">
        <v>852</v>
      </c>
      <c r="F328" s="10">
        <v>479950</v>
      </c>
      <c r="G328" t="s">
        <v>147</v>
      </c>
      <c r="H328" s="1">
        <v>1350</v>
      </c>
      <c r="J328">
        <v>3</v>
      </c>
      <c r="K328">
        <v>2.25</v>
      </c>
      <c r="M328" s="2" t="str">
        <f>HYPERLINK("http://www.windermere.com/index.cfm?fuseaction=Listing.MapPropertyInteractive&amp;ListingID=19247757&amp;resize=true&amp;windowWidth=800&amp;windowHeight=600","Map")</f>
        <v>Map</v>
      </c>
      <c r="O328" s="2" t="str">
        <f>HYPERLINK("http://www.windermere.com/index.cfm?fuseaction=Listing.MultiImageViewer&amp;ListingID=19247757&amp;ln=28011848&amp;pub_mls=1","More")</f>
        <v>More</v>
      </c>
      <c r="P328" t="s">
        <v>44</v>
      </c>
      <c r="AI328" t="s">
        <v>66</v>
      </c>
      <c r="AJ328">
        <v>98103</v>
      </c>
      <c r="AS328" t="s">
        <v>853</v>
      </c>
      <c r="AT328">
        <v>19247757</v>
      </c>
      <c r="AU328" s="12">
        <v>39495</v>
      </c>
      <c r="BB328" t="s">
        <v>912</v>
      </c>
      <c r="BC328" s="7">
        <v>39465</v>
      </c>
      <c r="BG328">
        <v>30</v>
      </c>
      <c r="BH328" s="17">
        <f t="shared" ca="1" si="5"/>
        <v>62</v>
      </c>
      <c r="BI328" s="17"/>
      <c r="BJ328" s="17"/>
      <c r="BK328" t="str">
        <f>B328</f>
        <v>Subject To Inspection</v>
      </c>
    </row>
    <row r="329" spans="1:63" hidden="1">
      <c r="A329">
        <v>28018532</v>
      </c>
      <c r="B329" s="2" t="str">
        <f>HYPERLINK("http://www.windermere.com/index.cfm?fuseaction=Listing.ListingDetail&amp;ListingID=19303298","Active")</f>
        <v>Active</v>
      </c>
      <c r="D329" t="s">
        <v>109</v>
      </c>
      <c r="E329" t="s">
        <v>856</v>
      </c>
      <c r="F329" s="18">
        <v>469950</v>
      </c>
      <c r="G329" t="s">
        <v>440</v>
      </c>
      <c r="H329" s="1">
        <v>1150</v>
      </c>
      <c r="I329">
        <v>2940</v>
      </c>
      <c r="J329">
        <v>2</v>
      </c>
      <c r="K329">
        <v>1</v>
      </c>
      <c r="M329" s="2" t="str">
        <f>HYPERLINK("http://www.windermere.com/index.cfm?fuseaction=Listing.MapPropertyInteractive&amp;ListingID=19303298&amp;resize=true&amp;windowWidth=800&amp;windowHeight=600","Map")</f>
        <v>Map</v>
      </c>
      <c r="O329" s="2" t="str">
        <f>HYPERLINK("http://www.windermere.com/index.cfm?fuseaction=Listing.MultiImageViewer&amp;ListingID=19303298&amp;ln=28018532&amp;pub_mls=1","More")</f>
        <v>More</v>
      </c>
      <c r="AI329" t="s">
        <v>66</v>
      </c>
      <c r="AJ329">
        <v>98105</v>
      </c>
      <c r="AS329" t="s">
        <v>857</v>
      </c>
      <c r="AT329">
        <v>19303298</v>
      </c>
      <c r="AU329" s="12">
        <v>39495</v>
      </c>
      <c r="BB329" t="s">
        <v>912</v>
      </c>
      <c r="BC329" s="7">
        <v>39478</v>
      </c>
      <c r="BG329">
        <v>17</v>
      </c>
      <c r="BH329" s="17">
        <f t="shared" ca="1" si="5"/>
        <v>49</v>
      </c>
      <c r="BI329" s="17"/>
      <c r="BJ329" s="17"/>
    </row>
    <row r="330" spans="1:63" hidden="1">
      <c r="A330">
        <v>28024487</v>
      </c>
      <c r="B330" s="15" t="str">
        <f>HYPERLINK("http://www.windermere.com/index.cfm?fuseaction=Listing.ListingDetail&amp;ListingID=19376128","Subject To Inspection")</f>
        <v>Subject To Inspection</v>
      </c>
      <c r="D330" t="s">
        <v>60</v>
      </c>
      <c r="E330" t="s">
        <v>844</v>
      </c>
      <c r="F330" s="10">
        <v>479950</v>
      </c>
      <c r="G330" t="s">
        <v>208</v>
      </c>
      <c r="I330">
        <v>5000</v>
      </c>
      <c r="J330">
        <v>3</v>
      </c>
      <c r="K330">
        <v>2.75</v>
      </c>
      <c r="M330" s="2" t="str">
        <f>HYPERLINK("http://www.windermere.com/index.cfm?fuseaction=Listing.MapPropertyInteractive&amp;ListingID=19376128&amp;resize=true&amp;windowWidth=800&amp;windowHeight=600","Map")</f>
        <v>Map</v>
      </c>
      <c r="O330" s="2" t="str">
        <f>HYPERLINK("http://www.windermere.com/index.cfm?fuseaction=viewGallery.Home&amp;customTourID=207723&amp;wvt=0","More")</f>
        <v>More</v>
      </c>
      <c r="AI330" t="s">
        <v>66</v>
      </c>
      <c r="AJ330">
        <v>98103</v>
      </c>
      <c r="AS330" t="s">
        <v>845</v>
      </c>
      <c r="AT330">
        <v>19376128</v>
      </c>
      <c r="AU330" s="12">
        <v>39495</v>
      </c>
      <c r="BB330" t="s">
        <v>912</v>
      </c>
      <c r="BC330" s="7">
        <v>39493</v>
      </c>
      <c r="BG330">
        <v>2</v>
      </c>
      <c r="BH330" s="17">
        <f t="shared" ca="1" si="5"/>
        <v>34</v>
      </c>
      <c r="BI330" s="17"/>
      <c r="BJ330" s="17"/>
    </row>
    <row r="331" spans="1:63" hidden="1">
      <c r="A331">
        <v>28021035</v>
      </c>
      <c r="B331" s="15" t="str">
        <f>HYPERLINK("http://www.windermere.com/index.cfm?fuseaction=Listing.ListingDetail&amp;ListingID=19321902","Active")</f>
        <v>Active</v>
      </c>
      <c r="D331" t="s">
        <v>920</v>
      </c>
      <c r="E331" t="s">
        <v>866</v>
      </c>
      <c r="F331" s="10">
        <v>480000</v>
      </c>
      <c r="G331" t="s">
        <v>778</v>
      </c>
      <c r="H331" s="1">
        <v>1900</v>
      </c>
      <c r="I331">
        <v>5000</v>
      </c>
      <c r="J331">
        <v>4</v>
      </c>
      <c r="K331">
        <v>2</v>
      </c>
      <c r="M331" s="2" t="str">
        <f>HYPERLINK("http://www.windermere.com/index.cfm?fuseaction=Listing.MapPropertyInteractive&amp;ListingID=19321902&amp;resize=true&amp;windowWidth=800&amp;windowHeight=600","Map")</f>
        <v>Map</v>
      </c>
      <c r="O331" s="2" t="str">
        <f>HYPERLINK("http://www.windermere.com/index.cfm?fuseaction=Listing.MultiImageViewer&amp;ListingID=19321902&amp;ln=28021035&amp;pub_mls=1","More")</f>
        <v>More</v>
      </c>
      <c r="AI331" t="s">
        <v>66</v>
      </c>
      <c r="AJ331">
        <v>98103</v>
      </c>
      <c r="AS331" t="s">
        <v>867</v>
      </c>
      <c r="AT331">
        <v>19321902</v>
      </c>
      <c r="AU331" s="12">
        <v>39495</v>
      </c>
      <c r="BB331" t="s">
        <v>912</v>
      </c>
      <c r="BC331" s="7">
        <v>39482</v>
      </c>
      <c r="BG331">
        <v>13</v>
      </c>
      <c r="BH331" s="17">
        <f t="shared" ca="1" si="5"/>
        <v>45</v>
      </c>
      <c r="BI331" s="17"/>
      <c r="BJ331" s="17"/>
      <c r="BK331" t="str">
        <f>B331</f>
        <v>Active</v>
      </c>
    </row>
    <row r="332" spans="1:63" hidden="1">
      <c r="A332">
        <v>27183963</v>
      </c>
      <c r="B332" s="15" t="str">
        <f>HYPERLINK("http://www.windermere.com/index.cfm?fuseaction=Listing.ListingDetail&amp;ListingID=18791183","Subject To Inspection")</f>
        <v>Subject To Inspection</v>
      </c>
      <c r="D332" t="s">
        <v>207</v>
      </c>
      <c r="E332" t="s">
        <v>868</v>
      </c>
      <c r="F332" s="10">
        <v>484900</v>
      </c>
      <c r="G332" t="s">
        <v>154</v>
      </c>
      <c r="H332" s="1">
        <v>1405</v>
      </c>
      <c r="I332">
        <v>4840</v>
      </c>
      <c r="J332">
        <v>3</v>
      </c>
      <c r="K332">
        <v>1</v>
      </c>
      <c r="M332" s="2" t="str">
        <f>HYPERLINK("http://www.windermere.com/index.cfm?fuseaction=Listing.MapPropertyInteractive&amp;ListingID=18791183&amp;resize=true&amp;windowWidth=800&amp;windowHeight=600","Map")</f>
        <v>Map</v>
      </c>
      <c r="O332" s="2" t="str">
        <f>HYPERLINK("http://www.windermere.com/index.cfm?fuseaction=Listing.MultiImageViewer&amp;ListingID=18791183&amp;ln=27183963&amp;pub_mls=1","More")</f>
        <v>More</v>
      </c>
      <c r="P332" t="s">
        <v>44</v>
      </c>
      <c r="AI332" t="s">
        <v>66</v>
      </c>
      <c r="AJ332">
        <v>98115</v>
      </c>
      <c r="AS332" t="s">
        <v>869</v>
      </c>
      <c r="AT332">
        <v>18791183</v>
      </c>
      <c r="AU332" s="12">
        <v>39495</v>
      </c>
      <c r="BB332" t="s">
        <v>912</v>
      </c>
      <c r="BC332" s="7">
        <v>39365</v>
      </c>
      <c r="BG332">
        <v>130</v>
      </c>
      <c r="BH332" s="17">
        <f t="shared" ca="1" si="5"/>
        <v>162</v>
      </c>
      <c r="BI332" s="17"/>
      <c r="BJ332" s="17"/>
    </row>
    <row r="333" spans="1:63" hidden="1">
      <c r="A333">
        <v>28002558</v>
      </c>
      <c r="B333" s="15" t="str">
        <f>HYPERLINK("http://www.windermere.com/index.cfm?fuseaction=Listing.ListingDetail&amp;ListingID=19174633","Subject To Inspection")</f>
        <v>Subject To Inspection</v>
      </c>
      <c r="D333" t="s">
        <v>194</v>
      </c>
      <c r="E333" t="s">
        <v>1149</v>
      </c>
      <c r="F333" s="10">
        <v>485000</v>
      </c>
      <c r="G333" t="s">
        <v>186</v>
      </c>
      <c r="H333" s="1">
        <v>1950</v>
      </c>
      <c r="I333">
        <v>6262</v>
      </c>
      <c r="J333">
        <v>3</v>
      </c>
      <c r="K333">
        <v>1.75</v>
      </c>
      <c r="M333" s="2" t="str">
        <f>HYPERLINK("http://www.windermere.com/index.cfm?fuseaction=Listing.MapPropertyInteractive&amp;ListingID=19174633&amp;resize=true&amp;windowWidth=800&amp;windowHeight=600","Map")</f>
        <v>Map</v>
      </c>
      <c r="O333" s="2" t="str">
        <f>HYPERLINK("http://www.windermere.com/index.cfm?fuseaction=viewGallery.Home&amp;customTourID=203655&amp;wvt=0","More")</f>
        <v>More</v>
      </c>
      <c r="AI333" t="s">
        <v>66</v>
      </c>
      <c r="AJ333">
        <v>98115</v>
      </c>
      <c r="AS333" t="s">
        <v>1150</v>
      </c>
      <c r="AT333">
        <v>19174633</v>
      </c>
      <c r="AU333" s="12">
        <v>39495</v>
      </c>
      <c r="BB333" t="s">
        <v>912</v>
      </c>
      <c r="BC333" s="7">
        <v>39454</v>
      </c>
      <c r="BG333">
        <v>41</v>
      </c>
      <c r="BH333" s="17">
        <f t="shared" ca="1" si="5"/>
        <v>73</v>
      </c>
      <c r="BI333" s="17"/>
      <c r="BJ333" s="17"/>
    </row>
    <row r="334" spans="1:63" hidden="1">
      <c r="A334">
        <v>28004733</v>
      </c>
      <c r="B334" s="2" t="str">
        <f>HYPERLINK("http://www.windermere.com/index.cfm?fuseaction=Listing.ListingDetail&amp;ListingID=19179645","Active")</f>
        <v>Active</v>
      </c>
      <c r="D334" t="s">
        <v>192</v>
      </c>
      <c r="E334" t="s">
        <v>217</v>
      </c>
      <c r="F334" s="18">
        <v>469000</v>
      </c>
      <c r="G334" t="s">
        <v>140</v>
      </c>
      <c r="H334" s="1">
        <v>2840</v>
      </c>
      <c r="I334">
        <v>7548</v>
      </c>
      <c r="J334">
        <v>4</v>
      </c>
      <c r="K334">
        <v>2</v>
      </c>
      <c r="M334" s="2" t="str">
        <f>HYPERLINK("http://www.windermere.com/index.cfm?fuseaction=Listing.MapPropertyInteractive&amp;ListingID=19179645&amp;resize=true&amp;windowWidth=800&amp;windowHeight=600","Map")</f>
        <v>Map</v>
      </c>
      <c r="O334" s="2" t="str">
        <f>HYPERLINK("http://www.windermere.com/index.cfm?fuseaction=Listing.MultiImageViewer&amp;ListingID=19179645&amp;ln=28004733&amp;pub_mls=1","More")</f>
        <v>More</v>
      </c>
      <c r="P334" t="s">
        <v>44</v>
      </c>
      <c r="AI334" t="s">
        <v>66</v>
      </c>
      <c r="AJ334">
        <v>98115</v>
      </c>
      <c r="AS334" t="s">
        <v>870</v>
      </c>
      <c r="AT334">
        <v>19179645</v>
      </c>
      <c r="AU334" s="12">
        <v>39495</v>
      </c>
      <c r="BB334" t="s">
        <v>912</v>
      </c>
      <c r="BC334" s="7">
        <v>39455</v>
      </c>
      <c r="BG334">
        <v>40</v>
      </c>
      <c r="BH334" s="17">
        <f t="shared" ca="1" si="5"/>
        <v>72</v>
      </c>
      <c r="BI334" s="17"/>
      <c r="BJ334" s="17"/>
    </row>
    <row r="335" spans="1:63" hidden="1">
      <c r="A335">
        <v>27187573</v>
      </c>
      <c r="B335" s="2" t="str">
        <f>HYPERLINK("http://www.windermere.com/index.cfm?fuseaction=Listing.ListingDetail&amp;ListingID=18825808","Active")</f>
        <v>Active</v>
      </c>
      <c r="D335" t="s">
        <v>63</v>
      </c>
      <c r="E335" t="s">
        <v>272</v>
      </c>
      <c r="F335" s="10">
        <v>488500</v>
      </c>
      <c r="G335" t="s">
        <v>147</v>
      </c>
      <c r="H335" s="1">
        <v>1746</v>
      </c>
      <c r="J335">
        <v>2</v>
      </c>
      <c r="K335">
        <v>2.5</v>
      </c>
      <c r="M335" s="2" t="str">
        <f>HYPERLINK("http://www.windermere.com/index.cfm?fuseaction=Listing.MapPropertyInteractive&amp;ListingID=18825808&amp;resize=true&amp;windowWidth=800&amp;windowHeight=600","Map")</f>
        <v>Map</v>
      </c>
      <c r="O335" s="2" t="str">
        <f>HYPERLINK("http://www.windermere.com/index.cfm?fuseaction=viewGallery.Home&amp;customTourID=197399&amp;wvt=0","More")</f>
        <v>More</v>
      </c>
      <c r="AI335" t="s">
        <v>66</v>
      </c>
      <c r="AJ335">
        <v>98117</v>
      </c>
      <c r="AS335" t="s">
        <v>273</v>
      </c>
      <c r="AT335">
        <v>18825808</v>
      </c>
      <c r="AU335" s="12">
        <v>39495</v>
      </c>
      <c r="BB335" t="s">
        <v>912</v>
      </c>
      <c r="BC335" s="7">
        <v>39372</v>
      </c>
      <c r="BG335">
        <v>123</v>
      </c>
      <c r="BH335" s="17">
        <f t="shared" ca="1" si="5"/>
        <v>155</v>
      </c>
      <c r="BI335" s="17"/>
      <c r="BJ335" s="17"/>
    </row>
    <row r="336" spans="1:63" hidden="1">
      <c r="A336">
        <v>28002418</v>
      </c>
      <c r="B336" s="2" t="str">
        <f>HYPERLINK("http://www.windermere.com/index.cfm?fuseaction=Listing.ListingDetail&amp;ListingID=19161435","Active")</f>
        <v>Active</v>
      </c>
      <c r="C336">
        <v>705</v>
      </c>
      <c r="D336" t="s">
        <v>63</v>
      </c>
      <c r="E336" t="s">
        <v>238</v>
      </c>
      <c r="F336" s="10">
        <v>488888</v>
      </c>
      <c r="G336" t="s">
        <v>142</v>
      </c>
      <c r="H336" s="1">
        <v>1780</v>
      </c>
      <c r="I336">
        <v>4608</v>
      </c>
      <c r="J336">
        <v>3</v>
      </c>
      <c r="K336">
        <v>2</v>
      </c>
      <c r="M336" s="2" t="str">
        <f>HYPERLINK("http://www.windermere.com/index.cfm?fuseaction=Listing.MapPropertyInteractive&amp;ListingID=19161435&amp;resize=true&amp;windowWidth=800&amp;windowHeight=600","Map")</f>
        <v>Map</v>
      </c>
      <c r="N336" s="2" t="str">
        <f>HYPERLINK("http://locmedia.nwmls.com/DO_NOT_LINK/bigphoto/418/28002418.jpg?tsp=20080203093902","Photo")</f>
        <v>Photo</v>
      </c>
      <c r="O336" s="2" t="str">
        <f>HYPERLINK("http://www.windermere.com/index.cfm?fuseaction=Listing.MultiImageViewer&amp;ListingID=19161435&amp;ln=28002418&amp;pub_mls=1","More")</f>
        <v>More</v>
      </c>
      <c r="Q336" t="s">
        <v>45</v>
      </c>
      <c r="R336" t="s">
        <v>46</v>
      </c>
      <c r="S336" t="s">
        <v>106</v>
      </c>
      <c r="T336" t="s">
        <v>62</v>
      </c>
      <c r="U336" t="s">
        <v>44</v>
      </c>
      <c r="X336" t="s">
        <v>47</v>
      </c>
      <c r="Y336" t="s">
        <v>48</v>
      </c>
      <c r="Z336" t="s">
        <v>963</v>
      </c>
      <c r="AA336" t="s">
        <v>964</v>
      </c>
      <c r="AB336">
        <v>2007</v>
      </c>
      <c r="AC336">
        <v>2529</v>
      </c>
      <c r="AD336" t="s">
        <v>965</v>
      </c>
      <c r="AE336" t="s">
        <v>966</v>
      </c>
      <c r="AF336" t="s">
        <v>201</v>
      </c>
      <c r="AG336">
        <v>47.692819</v>
      </c>
      <c r="AH336">
        <v>-122.363113</v>
      </c>
      <c r="AI336" t="s">
        <v>66</v>
      </c>
      <c r="AJ336">
        <v>98117</v>
      </c>
      <c r="AK336" t="s">
        <v>41</v>
      </c>
      <c r="AL336">
        <v>12</v>
      </c>
      <c r="AM336" t="s">
        <v>40</v>
      </c>
      <c r="AO336">
        <v>0.106</v>
      </c>
      <c r="AP336" t="s">
        <v>967</v>
      </c>
      <c r="AQ336">
        <v>534</v>
      </c>
      <c r="AR336" t="s">
        <v>97</v>
      </c>
      <c r="AS336" t="s">
        <v>271</v>
      </c>
      <c r="AT336">
        <v>19161435</v>
      </c>
      <c r="AU336" s="12">
        <v>39495</v>
      </c>
      <c r="BA336" t="s">
        <v>912</v>
      </c>
      <c r="BB336" t="s">
        <v>912</v>
      </c>
      <c r="BC336" s="7">
        <v>39451</v>
      </c>
      <c r="BD336">
        <v>4</v>
      </c>
      <c r="BE336" t="s">
        <v>1343</v>
      </c>
      <c r="BF336" s="7">
        <v>39494</v>
      </c>
      <c r="BG336">
        <v>44</v>
      </c>
      <c r="BH336" s="17">
        <f t="shared" ca="1" si="5"/>
        <v>76</v>
      </c>
      <c r="BI336" s="17"/>
      <c r="BJ336" s="17"/>
    </row>
    <row r="337" spans="1:63" hidden="1">
      <c r="A337">
        <v>27199788</v>
      </c>
      <c r="B337" s="2" t="str">
        <f>HYPERLINK("http://www.windermere.com/index.cfm?fuseaction=Listing.ListingDetail&amp;ListingID=18940217","Active")</f>
        <v>Active</v>
      </c>
      <c r="D337" t="s">
        <v>100</v>
      </c>
      <c r="E337" t="s">
        <v>875</v>
      </c>
      <c r="F337" s="13">
        <v>479950</v>
      </c>
      <c r="G337" t="s">
        <v>147</v>
      </c>
      <c r="H337" s="1">
        <v>1586</v>
      </c>
      <c r="J337">
        <v>3</v>
      </c>
      <c r="K337">
        <v>2.25</v>
      </c>
      <c r="M337" s="2" t="str">
        <f>HYPERLINK("http://www.windermere.com/index.cfm?fuseaction=Listing.MapPropertyInteractive&amp;ListingID=18940217&amp;resize=true&amp;windowWidth=800&amp;windowHeight=600","Map")</f>
        <v>Map</v>
      </c>
      <c r="O337" s="2" t="str">
        <f>HYPERLINK("http://www.windermere.com/index.cfm?fuseaction=Listing.MultiImageViewer&amp;ListingID=18940217&amp;ln=27199788&amp;pub_mls=1","More")</f>
        <v>More</v>
      </c>
      <c r="P337" t="s">
        <v>44</v>
      </c>
      <c r="AI337" t="s">
        <v>66</v>
      </c>
      <c r="AJ337">
        <v>98103</v>
      </c>
      <c r="AS337" t="s">
        <v>876</v>
      </c>
      <c r="AT337">
        <v>18940217</v>
      </c>
      <c r="AU337" s="12">
        <v>39495</v>
      </c>
      <c r="BB337" t="s">
        <v>912</v>
      </c>
      <c r="BC337" s="7">
        <v>39395</v>
      </c>
      <c r="BG337">
        <v>100</v>
      </c>
      <c r="BH337" s="17">
        <f t="shared" ca="1" si="5"/>
        <v>132</v>
      </c>
      <c r="BI337" s="17"/>
      <c r="BJ337" s="17"/>
    </row>
    <row r="338" spans="1:63" hidden="1">
      <c r="A338">
        <v>28018983</v>
      </c>
      <c r="B338" s="4" t="str">
        <f>HYPERLINK("http://www.windermere.com/index.cfm?fuseaction=Listing.ListingDetail&amp;ListingID=19312722","Subject To Inspection")</f>
        <v>Subject To Inspection</v>
      </c>
      <c r="C338">
        <v>710</v>
      </c>
      <c r="D338" t="s">
        <v>192</v>
      </c>
      <c r="E338" t="s">
        <v>871</v>
      </c>
      <c r="F338" s="13">
        <v>474950</v>
      </c>
      <c r="G338" t="s">
        <v>227</v>
      </c>
      <c r="H338" s="1">
        <v>2400</v>
      </c>
      <c r="I338">
        <v>2980</v>
      </c>
      <c r="J338">
        <v>4</v>
      </c>
      <c r="K338">
        <v>1</v>
      </c>
      <c r="L338">
        <v>1</v>
      </c>
      <c r="M338" s="2" t="str">
        <f>HYPERLINK("http://www.windermere.com/index.cfm?fuseaction=Listing.MapPropertyInteractive&amp;ListingID=19312722&amp;resize=true&amp;windowWidth=800&amp;windowHeight=600","Map")</f>
        <v>Map</v>
      </c>
      <c r="N338" s="2" t="str">
        <f>HYPERLINK("http://locmedia.nwmls.com/DO_NOT_LINK/bigphoto/983/28018983.jpg?tsp=20080204214901","Photo")</f>
        <v>Photo</v>
      </c>
      <c r="O338" s="2" t="str">
        <f>HYPERLINK("http://www.windermere.com/index.cfm?fuseaction=Listing.MultiImageViewer&amp;ListingID=19312722&amp;ln=28018983&amp;pub_mls=1","More")</f>
        <v>More</v>
      </c>
      <c r="Q338" t="s">
        <v>56</v>
      </c>
      <c r="R338" t="s">
        <v>67</v>
      </c>
      <c r="S338" t="s">
        <v>53</v>
      </c>
      <c r="T338" t="s">
        <v>95</v>
      </c>
      <c r="U338" t="s">
        <v>44</v>
      </c>
      <c r="X338" t="s">
        <v>47</v>
      </c>
      <c r="Y338" t="s">
        <v>48</v>
      </c>
      <c r="Z338" t="s">
        <v>68</v>
      </c>
      <c r="AA338" t="s">
        <v>96</v>
      </c>
      <c r="AB338">
        <v>2007</v>
      </c>
      <c r="AC338">
        <v>2380</v>
      </c>
      <c r="AD338" t="s">
        <v>1000</v>
      </c>
      <c r="AE338" t="s">
        <v>1001</v>
      </c>
      <c r="AF338" t="s">
        <v>115</v>
      </c>
      <c r="AG338">
        <v>47.684269999999998</v>
      </c>
      <c r="AH338">
        <v>-122.316231</v>
      </c>
      <c r="AI338" t="s">
        <v>66</v>
      </c>
      <c r="AJ338">
        <v>98115</v>
      </c>
      <c r="AK338" t="s">
        <v>41</v>
      </c>
      <c r="AL338">
        <v>8</v>
      </c>
      <c r="AM338" t="s">
        <v>40</v>
      </c>
      <c r="AO338">
        <v>6.8000000000000005E-2</v>
      </c>
      <c r="AP338" t="s">
        <v>1002</v>
      </c>
      <c r="AQ338">
        <v>535</v>
      </c>
      <c r="AR338" t="s">
        <v>222</v>
      </c>
      <c r="AS338" t="s">
        <v>872</v>
      </c>
      <c r="AT338">
        <v>19312722</v>
      </c>
      <c r="AU338" s="12">
        <v>39495</v>
      </c>
      <c r="BA338" t="s">
        <v>912</v>
      </c>
      <c r="BB338" t="s">
        <v>912</v>
      </c>
      <c r="BC338" s="7">
        <v>39479</v>
      </c>
      <c r="BG338">
        <v>16</v>
      </c>
      <c r="BH338" s="17">
        <f t="shared" ca="1" si="5"/>
        <v>48</v>
      </c>
      <c r="BI338" s="17"/>
      <c r="BJ338" s="17"/>
    </row>
    <row r="339" spans="1:63" hidden="1">
      <c r="A339">
        <v>28019152</v>
      </c>
      <c r="B339" s="2" t="str">
        <f>HYPERLINK("http://www.windermere.com/index.cfm?fuseaction=Listing.ListingDetail&amp;ListingID=19308244","Contingent")</f>
        <v>Contingent</v>
      </c>
      <c r="D339" t="s">
        <v>920</v>
      </c>
      <c r="E339" t="s">
        <v>873</v>
      </c>
      <c r="F339" s="10">
        <v>489000</v>
      </c>
      <c r="G339" t="s">
        <v>641</v>
      </c>
      <c r="H339" s="1">
        <v>1643</v>
      </c>
      <c r="J339">
        <v>2</v>
      </c>
      <c r="K339">
        <v>2.5</v>
      </c>
      <c r="M339" s="2" t="str">
        <f>HYPERLINK("http://www.windermere.com/index.cfm?fuseaction=Listing.MapPropertyInteractive&amp;ListingID=19308244&amp;resize=true&amp;windowWidth=800&amp;windowHeight=600","Map")</f>
        <v>Map</v>
      </c>
      <c r="O339" s="2" t="str">
        <f>HYPERLINK("http://www.windermere.com/index.cfm?fuseaction=Listing.MultiImageViewer&amp;ListingID=19308244&amp;ln=28019152&amp;pub_mls=1","More")</f>
        <v>More</v>
      </c>
      <c r="AI339" t="s">
        <v>66</v>
      </c>
      <c r="AJ339">
        <v>98133</v>
      </c>
      <c r="AS339" t="s">
        <v>874</v>
      </c>
      <c r="AT339">
        <v>19308244</v>
      </c>
      <c r="AU339" s="12">
        <v>39495</v>
      </c>
      <c r="BB339" t="s">
        <v>912</v>
      </c>
      <c r="BC339" s="7">
        <v>39479</v>
      </c>
      <c r="BG339">
        <v>16</v>
      </c>
      <c r="BH339" s="17">
        <f t="shared" ca="1" si="5"/>
        <v>48</v>
      </c>
      <c r="BI339" s="17"/>
      <c r="BJ339" s="17"/>
      <c r="BK339" t="str">
        <f>B339</f>
        <v>Contingent</v>
      </c>
    </row>
    <row r="340" spans="1:63" hidden="1">
      <c r="A340">
        <v>27205600</v>
      </c>
      <c r="B340" s="2" t="str">
        <f>HYPERLINK("http://www.windermere.com/index.cfm?fuseaction=Listing.ListingDetail&amp;ListingID=19013395","Active")</f>
        <v>Active</v>
      </c>
      <c r="D340" t="s">
        <v>99</v>
      </c>
      <c r="E340" t="s">
        <v>269</v>
      </c>
      <c r="F340" s="10">
        <v>489500</v>
      </c>
      <c r="G340" t="s">
        <v>138</v>
      </c>
      <c r="H340" s="1">
        <v>1980</v>
      </c>
      <c r="I340">
        <v>8538</v>
      </c>
      <c r="J340">
        <v>3</v>
      </c>
      <c r="K340">
        <v>2</v>
      </c>
      <c r="M340" s="2" t="str">
        <f>HYPERLINK("http://www.windermere.com/index.cfm?fuseaction=Listing.MapPropertyInteractive&amp;ListingID=19013395&amp;resize=true&amp;windowWidth=800&amp;windowHeight=600","Map")</f>
        <v>Map</v>
      </c>
      <c r="O340" s="2" t="str">
        <f>HYPERLINK("http://www.windermere.com/index.cfm?fuseaction=Listing.MultiImageViewer&amp;ListingID=19013395&amp;ln=27205600&amp;pub_mls=1","More")</f>
        <v>More</v>
      </c>
      <c r="P340" t="s">
        <v>44</v>
      </c>
      <c r="AI340" t="s">
        <v>66</v>
      </c>
      <c r="AJ340">
        <v>98117</v>
      </c>
      <c r="AS340" t="s">
        <v>270</v>
      </c>
      <c r="AT340">
        <v>19013395</v>
      </c>
      <c r="AU340" s="12">
        <v>39495</v>
      </c>
      <c r="BB340" t="s">
        <v>912</v>
      </c>
      <c r="BC340" s="7">
        <v>39412</v>
      </c>
      <c r="BG340">
        <v>83</v>
      </c>
      <c r="BH340" s="17">
        <f t="shared" ca="1" si="5"/>
        <v>115</v>
      </c>
      <c r="BI340" s="17"/>
      <c r="BJ340" s="17"/>
    </row>
    <row r="341" spans="1:63" hidden="1">
      <c r="A341">
        <v>28002334</v>
      </c>
      <c r="B341" s="2" t="str">
        <f>HYPERLINK("http://www.windermere.com/index.cfm?fuseaction=Listing.ListingDetail&amp;ListingID=19158681","Subject To Inspection")</f>
        <v>Subject To Inspection</v>
      </c>
      <c r="D341" t="s">
        <v>202</v>
      </c>
      <c r="E341" t="s">
        <v>220</v>
      </c>
      <c r="F341" s="10">
        <v>489950</v>
      </c>
      <c r="G341" t="s">
        <v>161</v>
      </c>
      <c r="H341" s="1">
        <v>2050</v>
      </c>
      <c r="I341">
        <v>7241</v>
      </c>
      <c r="J341">
        <v>3</v>
      </c>
      <c r="K341">
        <v>2</v>
      </c>
      <c r="M341" s="2" t="str">
        <f>HYPERLINK("http://www.windermere.com/index.cfm?fuseaction=Listing.MapPropertyInteractive&amp;ListingID=19158681&amp;resize=true&amp;windowWidth=800&amp;windowHeight=600","Map")</f>
        <v>Map</v>
      </c>
      <c r="O341" s="2" t="str">
        <f>HYPERLINK("http://www.windermere.com/index.cfm?fuseaction=Listing.MultiImageViewer&amp;ListingID=19158681&amp;ln=28002334&amp;pub_mls=1","More")</f>
        <v>More</v>
      </c>
      <c r="AI341" t="s">
        <v>66</v>
      </c>
      <c r="AJ341">
        <v>98125</v>
      </c>
      <c r="AS341" t="s">
        <v>877</v>
      </c>
      <c r="AT341">
        <v>19158681</v>
      </c>
      <c r="AU341" s="12">
        <v>39495</v>
      </c>
      <c r="BB341" t="s">
        <v>912</v>
      </c>
      <c r="BC341" s="7">
        <v>39451</v>
      </c>
      <c r="BG341">
        <v>44</v>
      </c>
      <c r="BH341" s="17">
        <f t="shared" ca="1" si="5"/>
        <v>76</v>
      </c>
      <c r="BI341" s="17"/>
      <c r="BJ341" s="17"/>
      <c r="BK341" t="str">
        <f>B341</f>
        <v>Subject To Inspection</v>
      </c>
    </row>
    <row r="342" spans="1:63" hidden="1">
      <c r="A342">
        <v>28010699</v>
      </c>
      <c r="B342" s="2" t="str">
        <f>HYPERLINK("http://www.windermere.com/index.cfm?fuseaction=Listing.ListingDetail&amp;ListingID=19241417","Active")</f>
        <v>Active</v>
      </c>
      <c r="D342" t="s">
        <v>88</v>
      </c>
      <c r="E342" t="s">
        <v>267</v>
      </c>
      <c r="F342" s="10">
        <v>489950</v>
      </c>
      <c r="G342" t="s">
        <v>159</v>
      </c>
      <c r="H342" s="1">
        <v>1900</v>
      </c>
      <c r="I342">
        <v>4000</v>
      </c>
      <c r="J342">
        <v>3</v>
      </c>
      <c r="K342">
        <v>1</v>
      </c>
      <c r="M342" s="2" t="str">
        <f>HYPERLINK("http://www.windermere.com/index.cfm?fuseaction=Listing.MapPropertyInteractive&amp;ListingID=19241417&amp;resize=true&amp;windowWidth=800&amp;windowHeight=600","Map")</f>
        <v>Map</v>
      </c>
      <c r="O342" s="2" t="str">
        <f>HYPERLINK("http://www.windermere.com/index.cfm?fuseaction=Listing.MultiImageViewer&amp;ListingID=19241417&amp;ln=28010699&amp;pub_mls=1","More")</f>
        <v>More</v>
      </c>
      <c r="P342" t="s">
        <v>44</v>
      </c>
      <c r="AI342" t="s">
        <v>66</v>
      </c>
      <c r="AJ342">
        <v>98117</v>
      </c>
      <c r="AS342" t="s">
        <v>268</v>
      </c>
      <c r="AT342">
        <v>19241417</v>
      </c>
      <c r="AU342" s="12">
        <v>39495</v>
      </c>
      <c r="BB342" t="s">
        <v>912</v>
      </c>
      <c r="BC342" s="7">
        <v>39464</v>
      </c>
      <c r="BG342">
        <v>31</v>
      </c>
      <c r="BH342" s="17">
        <f t="shared" ca="1" si="5"/>
        <v>63</v>
      </c>
      <c r="BI342" s="17"/>
      <c r="BJ342" s="17"/>
    </row>
    <row r="343" spans="1:63" hidden="1">
      <c r="A343">
        <v>27194132</v>
      </c>
      <c r="B343" s="2" t="str">
        <f>HYPERLINK("http://www.windermere.com/index.cfm?fuseaction=Listing.ListingDetail&amp;ListingID=18892187","Subject To Inspection")</f>
        <v>Subject To Inspection</v>
      </c>
      <c r="D343" t="s">
        <v>101</v>
      </c>
      <c r="E343" t="s">
        <v>265</v>
      </c>
      <c r="F343" s="10">
        <v>490000</v>
      </c>
      <c r="G343" t="s">
        <v>149</v>
      </c>
      <c r="H343">
        <v>850</v>
      </c>
      <c r="I343">
        <v>16117</v>
      </c>
      <c r="J343">
        <v>2</v>
      </c>
      <c r="K343">
        <v>1</v>
      </c>
      <c r="M343" s="2" t="str">
        <f>HYPERLINK("http://www.windermere.com/index.cfm?fuseaction=Listing.MapPropertyInteractive&amp;ListingID=18892187&amp;resize=true&amp;windowWidth=800&amp;windowHeight=600","Map")</f>
        <v>Map</v>
      </c>
      <c r="O343" s="2" t="str">
        <f>HYPERLINK("http://www.windermere.com/index.cfm?fuseaction=Listing.MultiImageViewer&amp;ListingID=18892187&amp;ln=27194132&amp;pub_mls=1","More")</f>
        <v>More</v>
      </c>
      <c r="AI343" t="s">
        <v>66</v>
      </c>
      <c r="AJ343">
        <v>98117</v>
      </c>
      <c r="AS343" t="s">
        <v>266</v>
      </c>
      <c r="AT343">
        <v>18892187</v>
      </c>
      <c r="AU343" s="12">
        <v>39495</v>
      </c>
      <c r="BB343" t="s">
        <v>912</v>
      </c>
      <c r="BC343" s="7">
        <v>39386</v>
      </c>
      <c r="BG343">
        <v>109</v>
      </c>
      <c r="BH343" s="17">
        <f t="shared" ca="1" si="5"/>
        <v>141</v>
      </c>
      <c r="BI343" s="17"/>
      <c r="BJ343" s="17"/>
      <c r="BK343" t="str">
        <f>B343</f>
        <v>Subject To Inspection</v>
      </c>
    </row>
    <row r="344" spans="1:63" hidden="1">
      <c r="A344">
        <v>27166657</v>
      </c>
      <c r="B344" s="2" t="str">
        <f>HYPERLINK("http://www.windermere.com/index.cfm?fuseaction=Listing.ListingDetail&amp;ListingID=18620816","Active")</f>
        <v>Active</v>
      </c>
      <c r="D344" t="s">
        <v>60</v>
      </c>
      <c r="E344" t="s">
        <v>879</v>
      </c>
      <c r="F344" s="18">
        <v>492500</v>
      </c>
      <c r="G344" t="s">
        <v>177</v>
      </c>
      <c r="H344" s="1">
        <v>1484</v>
      </c>
      <c r="I344">
        <v>3720</v>
      </c>
      <c r="J344">
        <v>2</v>
      </c>
      <c r="K344">
        <v>1.5</v>
      </c>
      <c r="M344" s="2" t="str">
        <f>HYPERLINK("http://www.windermere.com/index.cfm?fuseaction=Listing.MapPropertyInteractive&amp;ListingID=18620816&amp;resize=true&amp;windowWidth=800&amp;windowHeight=600","Map")</f>
        <v>Map</v>
      </c>
      <c r="O344" s="2" t="str">
        <f>HYPERLINK("http://www.windermere.com/index.cfm?fuseaction=Listing.MultiImageViewer&amp;ListingID=18620816&amp;ln=27166657&amp;pub_mls=1","More")</f>
        <v>More</v>
      </c>
      <c r="P344" t="s">
        <v>44</v>
      </c>
      <c r="AI344" t="s">
        <v>66</v>
      </c>
      <c r="AJ344">
        <v>98103</v>
      </c>
      <c r="AS344" t="s">
        <v>880</v>
      </c>
      <c r="AT344">
        <v>18620816</v>
      </c>
      <c r="AU344" s="12">
        <v>39495</v>
      </c>
      <c r="BB344" t="s">
        <v>912</v>
      </c>
      <c r="BC344" s="7">
        <v>39337</v>
      </c>
      <c r="BD344">
        <v>1</v>
      </c>
      <c r="BE344" s="6" t="s">
        <v>1333</v>
      </c>
      <c r="BG344">
        <v>158</v>
      </c>
      <c r="BH344" s="17">
        <f t="shared" ca="1" si="5"/>
        <v>190</v>
      </c>
      <c r="BI344" s="17"/>
      <c r="BJ344" s="17"/>
    </row>
    <row r="345" spans="1:63" hidden="1">
      <c r="A345">
        <v>28001598</v>
      </c>
      <c r="B345" s="2" t="str">
        <f>HYPERLINK("http://www.windermere.com/index.cfm?fuseaction=Listing.ListingDetail&amp;ListingID=19153177","Active")</f>
        <v>Active</v>
      </c>
      <c r="D345" t="s">
        <v>100</v>
      </c>
      <c r="E345" t="s">
        <v>881</v>
      </c>
      <c r="F345" s="10">
        <v>495000</v>
      </c>
      <c r="G345" t="s">
        <v>124</v>
      </c>
      <c r="H345" s="1">
        <v>1240</v>
      </c>
      <c r="I345">
        <v>4000</v>
      </c>
      <c r="J345">
        <v>2</v>
      </c>
      <c r="K345">
        <v>2</v>
      </c>
      <c r="M345" s="2" t="str">
        <f>HYPERLINK("http://www.windermere.com/index.cfm?fuseaction=Listing.MapPropertyInteractive&amp;ListingID=19153177&amp;resize=true&amp;windowWidth=800&amp;windowHeight=600","Map")</f>
        <v>Map</v>
      </c>
      <c r="AI345" t="s">
        <v>66</v>
      </c>
      <c r="AJ345">
        <v>98107</v>
      </c>
      <c r="AS345" t="s">
        <v>882</v>
      </c>
      <c r="AT345">
        <v>19153177</v>
      </c>
      <c r="AU345" s="12">
        <v>39495</v>
      </c>
      <c r="BB345" t="s">
        <v>912</v>
      </c>
      <c r="BC345" s="7">
        <v>39450</v>
      </c>
      <c r="BG345">
        <v>45</v>
      </c>
      <c r="BH345" s="17">
        <f t="shared" ca="1" si="5"/>
        <v>77</v>
      </c>
      <c r="BI345" s="17"/>
      <c r="BJ345" s="17"/>
    </row>
    <row r="346" spans="1:63" hidden="1">
      <c r="A346">
        <v>28003291</v>
      </c>
      <c r="B346" s="2" t="str">
        <f>HYPERLINK("http://www.windermere.com/index.cfm?fuseaction=Listing.ListingDetail&amp;ListingID=19168304","Active")</f>
        <v>Active</v>
      </c>
      <c r="D346" t="s">
        <v>192</v>
      </c>
      <c r="E346" t="s">
        <v>883</v>
      </c>
      <c r="F346" s="10">
        <v>495000</v>
      </c>
      <c r="G346" t="s">
        <v>146</v>
      </c>
      <c r="H346" s="1">
        <v>1260</v>
      </c>
      <c r="I346">
        <v>7250</v>
      </c>
      <c r="J346">
        <v>2</v>
      </c>
      <c r="K346">
        <v>1</v>
      </c>
      <c r="M346" s="2" t="str">
        <f>HYPERLINK("http://www.windermere.com/index.cfm?fuseaction=Listing.MapPropertyInteractive&amp;ListingID=19168304&amp;resize=true&amp;windowWidth=800&amp;windowHeight=600","Map")</f>
        <v>Map</v>
      </c>
      <c r="O346" s="2" t="str">
        <f>HYPERLINK("http://www.windermere.com/index.cfm?fuseaction=Listing.MultiImageViewer&amp;ListingID=19168304&amp;ln=28003291&amp;pub_mls=1","More")</f>
        <v>More</v>
      </c>
      <c r="P346" t="s">
        <v>44</v>
      </c>
      <c r="AI346" t="s">
        <v>66</v>
      </c>
      <c r="AJ346">
        <v>98115</v>
      </c>
      <c r="AS346" t="s">
        <v>884</v>
      </c>
      <c r="AT346">
        <v>19168304</v>
      </c>
      <c r="AU346" s="12">
        <v>39495</v>
      </c>
      <c r="BB346" t="s">
        <v>912</v>
      </c>
      <c r="BC346" s="7">
        <v>39452</v>
      </c>
      <c r="BG346">
        <v>43</v>
      </c>
      <c r="BH346" s="17">
        <f t="shared" ca="1" si="5"/>
        <v>75</v>
      </c>
      <c r="BI346" s="17"/>
      <c r="BJ346" s="17"/>
    </row>
    <row r="347" spans="1:63" hidden="1">
      <c r="A347">
        <v>28013425</v>
      </c>
      <c r="B347" s="2" t="str">
        <f>HYPERLINK("http://www.windermere.com/index.cfm?fuseaction=Listing.ListingDetail&amp;ListingID=19261684","Active")</f>
        <v>Active</v>
      </c>
      <c r="D347" t="s">
        <v>984</v>
      </c>
      <c r="E347" t="s">
        <v>1151</v>
      </c>
      <c r="F347" s="10">
        <v>495000</v>
      </c>
      <c r="G347" t="s">
        <v>157</v>
      </c>
      <c r="H347" s="1">
        <v>1140</v>
      </c>
      <c r="I347">
        <v>7200</v>
      </c>
      <c r="J347">
        <v>3</v>
      </c>
      <c r="K347">
        <v>1</v>
      </c>
      <c r="M347" s="2" t="str">
        <f>HYPERLINK("http://www.windermere.com/index.cfm?fuseaction=Listing.MapPropertyInteractive&amp;ListingID=19261684&amp;resize=true&amp;windowWidth=800&amp;windowHeight=600","Map")</f>
        <v>Map</v>
      </c>
      <c r="O347" s="2" t="str">
        <f>HYPERLINK("http://www.windermere.com/index.cfm?fuseaction=Listing.MultiImageViewer&amp;ListingID=19261684&amp;ln=28013425&amp;pub_mls=1","More")</f>
        <v>More</v>
      </c>
      <c r="AI347" t="s">
        <v>66</v>
      </c>
      <c r="AJ347">
        <v>98125</v>
      </c>
      <c r="AS347" t="s">
        <v>1152</v>
      </c>
      <c r="AT347">
        <v>19261684</v>
      </c>
      <c r="AU347" s="12">
        <v>39495</v>
      </c>
      <c r="BB347" t="s">
        <v>912</v>
      </c>
      <c r="BC347" s="7">
        <v>39469</v>
      </c>
      <c r="BG347">
        <v>26</v>
      </c>
      <c r="BH347" s="17">
        <f t="shared" ca="1" si="5"/>
        <v>58</v>
      </c>
      <c r="BI347" s="17"/>
      <c r="BJ347" s="17"/>
    </row>
    <row r="348" spans="1:63">
      <c r="A348">
        <v>28025807</v>
      </c>
      <c r="B348" s="2" t="str">
        <f>HYPERLINK("http://www.windermere.com/index.cfm?fuseaction=Listing.ListingDetail&amp;ListingID=19365411","Active")</f>
        <v>Active</v>
      </c>
      <c r="D348" t="s">
        <v>63</v>
      </c>
      <c r="E348" t="s">
        <v>263</v>
      </c>
      <c r="F348" s="13">
        <v>485000</v>
      </c>
      <c r="G348" t="s">
        <v>149</v>
      </c>
      <c r="H348" s="1">
        <v>2100</v>
      </c>
      <c r="I348">
        <v>4005</v>
      </c>
      <c r="J348">
        <v>3</v>
      </c>
      <c r="K348">
        <v>1</v>
      </c>
      <c r="M348" s="2" t="str">
        <f>HYPERLINK("http://www.windermere.com/index.cfm?fuseaction=Listing.MapPropertyInteractive&amp;ListingID=19365411&amp;resize=true&amp;windowWidth=800&amp;windowHeight=600","Map")</f>
        <v>Map</v>
      </c>
      <c r="O348" s="2" t="str">
        <f>HYPERLINK("http://www.windermere.com/index.cfm?fuseaction=Listing.MultiImageViewer&amp;ListingID=19365411&amp;ln=28025807&amp;pub_mls=1","More")</f>
        <v>More</v>
      </c>
      <c r="AI348" t="s">
        <v>66</v>
      </c>
      <c r="AJ348">
        <v>98117</v>
      </c>
      <c r="AS348" t="s">
        <v>264</v>
      </c>
      <c r="AT348">
        <v>19365411</v>
      </c>
      <c r="AU348" s="12">
        <v>39495</v>
      </c>
      <c r="BB348" t="s">
        <v>912</v>
      </c>
      <c r="BC348" s="7">
        <v>39491</v>
      </c>
      <c r="BD348" t="s">
        <v>1625</v>
      </c>
      <c r="BE348" t="s">
        <v>1628</v>
      </c>
      <c r="BF348" s="7">
        <v>39508</v>
      </c>
      <c r="BG348">
        <v>4</v>
      </c>
      <c r="BH348" s="17">
        <f t="shared" ca="1" si="5"/>
        <v>36</v>
      </c>
      <c r="BI348" s="17"/>
      <c r="BJ348" s="17"/>
    </row>
    <row r="349" spans="1:63" hidden="1">
      <c r="A349">
        <v>28027518</v>
      </c>
      <c r="B349" s="2" t="str">
        <f>HYPERLINK("http://www.windermere.com/index.cfm?fuseaction=Listing.ListingDetail&amp;ListingID=19377896","Active")</f>
        <v>Active</v>
      </c>
      <c r="D349" t="s">
        <v>63</v>
      </c>
      <c r="E349" t="s">
        <v>261</v>
      </c>
      <c r="F349" s="10">
        <v>495000</v>
      </c>
      <c r="G349" t="s">
        <v>247</v>
      </c>
      <c r="H349" s="1">
        <v>1670</v>
      </c>
      <c r="J349">
        <v>3</v>
      </c>
      <c r="K349">
        <v>3.5</v>
      </c>
      <c r="M349" s="2" t="str">
        <f>HYPERLINK("http://www.windermere.com/index.cfm?fuseaction=Listing.MapPropertyInteractive&amp;ListingID=19377896&amp;resize=true&amp;windowWidth=800&amp;windowHeight=600","Map")</f>
        <v>Map</v>
      </c>
      <c r="O349" s="2" t="str">
        <f>HYPERLINK("http://www.windermere.com/index.cfm?fuseaction=Listing.MultiImageViewer&amp;ListingID=19377896&amp;ln=28027518&amp;pub_mls=1","More")</f>
        <v>More</v>
      </c>
      <c r="P349" t="s">
        <v>44</v>
      </c>
      <c r="AI349" t="s">
        <v>66</v>
      </c>
      <c r="AJ349">
        <v>98117</v>
      </c>
      <c r="AS349" t="s">
        <v>262</v>
      </c>
      <c r="AT349">
        <v>19377896</v>
      </c>
      <c r="AU349" s="12">
        <v>39495</v>
      </c>
      <c r="BB349" t="s">
        <v>912</v>
      </c>
      <c r="BC349" s="7">
        <v>39493</v>
      </c>
      <c r="BG349">
        <v>2</v>
      </c>
      <c r="BH349" s="17">
        <f t="shared" ca="1" si="5"/>
        <v>34</v>
      </c>
      <c r="BI349" s="17"/>
      <c r="BJ349" s="17"/>
    </row>
    <row r="350" spans="1:63" hidden="1">
      <c r="A350">
        <v>27215393</v>
      </c>
      <c r="B350" s="15" t="str">
        <f>HYPERLINK("http://www.windermere.com/index.cfm?fuseaction=Listing.ListingDetail&amp;ListingID=19125238","Subject To Inspection")</f>
        <v>Subject To Inspection</v>
      </c>
      <c r="D350" t="s">
        <v>1024</v>
      </c>
      <c r="E350" t="s">
        <v>259</v>
      </c>
      <c r="F350" s="10">
        <v>498500</v>
      </c>
      <c r="G350" t="s">
        <v>124</v>
      </c>
      <c r="H350" s="1">
        <v>2460</v>
      </c>
      <c r="J350">
        <v>3</v>
      </c>
      <c r="K350">
        <v>1.75</v>
      </c>
      <c r="M350" s="2" t="str">
        <f>HYPERLINK("http://www.windermere.com/index.cfm?fuseaction=Listing.MapPropertyInteractive&amp;ListingID=19125238&amp;resize=true&amp;windowWidth=800&amp;windowHeight=600","Map")</f>
        <v>Map</v>
      </c>
      <c r="O350" s="2" t="str">
        <f>HYPERLINK("http://www.windermere.com/index.cfm?fuseaction=Listing.MultiImageViewer&amp;ListingID=19125238&amp;ln=27215393&amp;pub_mls=1","More")</f>
        <v>More</v>
      </c>
      <c r="P350" t="s">
        <v>44</v>
      </c>
      <c r="AI350" t="s">
        <v>66</v>
      </c>
      <c r="AJ350">
        <v>98117</v>
      </c>
      <c r="AS350" t="s">
        <v>260</v>
      </c>
      <c r="AT350">
        <v>19125238</v>
      </c>
      <c r="AU350" s="12">
        <v>39495</v>
      </c>
      <c r="BB350" t="s">
        <v>912</v>
      </c>
      <c r="BC350" s="7">
        <v>39439</v>
      </c>
      <c r="BG350">
        <v>56</v>
      </c>
      <c r="BH350" s="17">
        <f t="shared" ca="1" si="5"/>
        <v>88</v>
      </c>
      <c r="BI350" s="17"/>
      <c r="BJ350" s="17"/>
    </row>
    <row r="351" spans="1:63" hidden="1">
      <c r="A351">
        <v>27173714</v>
      </c>
      <c r="B351" s="2" t="str">
        <f>HYPERLINK("http://www.windermere.com/index.cfm?fuseaction=Listing.ListingDetail&amp;ListingID=19153814","Active")</f>
        <v>Active</v>
      </c>
      <c r="D351" t="s">
        <v>60</v>
      </c>
      <c r="E351" t="s">
        <v>885</v>
      </c>
      <c r="F351" s="10">
        <v>499000</v>
      </c>
      <c r="G351" t="s">
        <v>156</v>
      </c>
      <c r="H351" s="1">
        <v>1860</v>
      </c>
      <c r="I351">
        <v>4340</v>
      </c>
      <c r="J351">
        <v>2</v>
      </c>
      <c r="K351">
        <v>1.75</v>
      </c>
      <c r="M351" s="2" t="str">
        <f>HYPERLINK("http://www.windermere.com/index.cfm?fuseaction=Listing.MapPropertyInteractive&amp;ListingID=19153814&amp;resize=true&amp;windowWidth=800&amp;windowHeight=600","Map")</f>
        <v>Map</v>
      </c>
      <c r="O351" s="2" t="str">
        <f>HYPERLINK("http://www.windermere.com/index.cfm?fuseaction=Listing.MultiImageViewer&amp;ListingID=19153814&amp;ln=27173714&amp;pub_mls=1","More")</f>
        <v>More</v>
      </c>
      <c r="AI351" t="s">
        <v>66</v>
      </c>
      <c r="AJ351">
        <v>98103</v>
      </c>
      <c r="AS351" t="s">
        <v>886</v>
      </c>
      <c r="AT351">
        <v>19153814</v>
      </c>
      <c r="AU351" s="12">
        <v>39495</v>
      </c>
      <c r="BB351" t="s">
        <v>912</v>
      </c>
      <c r="BC351" s="7">
        <v>39347</v>
      </c>
      <c r="BG351">
        <v>148</v>
      </c>
      <c r="BH351" s="17">
        <f t="shared" ca="1" si="5"/>
        <v>180</v>
      </c>
      <c r="BI351" s="17"/>
      <c r="BJ351" s="17"/>
    </row>
    <row r="352" spans="1:63" hidden="1">
      <c r="A352">
        <v>28001855</v>
      </c>
      <c r="B352" s="2" t="str">
        <f>HYPERLINK("http://www.windermere.com/index.cfm?fuseaction=Listing.ListingDetail&amp;ListingID=19154776","Active")</f>
        <v>Active</v>
      </c>
      <c r="D352" t="s">
        <v>63</v>
      </c>
      <c r="E352" t="s">
        <v>887</v>
      </c>
      <c r="F352" s="13">
        <v>475000</v>
      </c>
      <c r="G352" t="s">
        <v>379</v>
      </c>
      <c r="H352" s="1">
        <v>1890</v>
      </c>
      <c r="I352">
        <v>5000</v>
      </c>
      <c r="J352">
        <v>3</v>
      </c>
      <c r="K352">
        <v>1.75</v>
      </c>
      <c r="M352" s="2" t="str">
        <f>HYPERLINK("http://www.windermere.com/index.cfm?fuseaction=Listing.MapPropertyInteractive&amp;ListingID=19154776&amp;resize=true&amp;windowWidth=800&amp;windowHeight=600","Map")</f>
        <v>Map</v>
      </c>
      <c r="O352" s="2" t="str">
        <f>HYPERLINK("http://www.windermere.com/index.cfm?fuseaction=Listing.MultiImageViewer&amp;ListingID=19154776&amp;ln=28001855&amp;pub_mls=1","More")</f>
        <v>More</v>
      </c>
      <c r="AI352" t="s">
        <v>66</v>
      </c>
      <c r="AJ352">
        <v>98107</v>
      </c>
      <c r="AS352" t="s">
        <v>888</v>
      </c>
      <c r="AT352">
        <v>19154776</v>
      </c>
      <c r="AU352" s="12">
        <v>39495</v>
      </c>
      <c r="BB352" t="s">
        <v>912</v>
      </c>
      <c r="BC352" s="7">
        <v>39450</v>
      </c>
      <c r="BG352">
        <v>45</v>
      </c>
      <c r="BH352" s="17">
        <f t="shared" ca="1" si="5"/>
        <v>77</v>
      </c>
      <c r="BI352" s="17"/>
      <c r="BJ352" s="17"/>
    </row>
    <row r="353" spans="1:62" hidden="1">
      <c r="A353">
        <v>28021107</v>
      </c>
      <c r="B353" s="15" t="str">
        <f>HYPERLINK("http://www.windermere.com/index.cfm?fuseaction=Listing.ListingDetail&amp;ListingID=19350736","Subject To Inspection")</f>
        <v>Subject To Inspection</v>
      </c>
      <c r="D353" t="s">
        <v>1153</v>
      </c>
      <c r="E353" t="s">
        <v>1154</v>
      </c>
      <c r="F353" s="10">
        <v>499000</v>
      </c>
      <c r="G353" t="s">
        <v>124</v>
      </c>
      <c r="H353" s="1">
        <v>2120</v>
      </c>
      <c r="I353">
        <v>5000</v>
      </c>
      <c r="J353">
        <v>3</v>
      </c>
      <c r="K353">
        <v>1.75</v>
      </c>
      <c r="M353" s="2" t="str">
        <f>HYPERLINK("http://www.windermere.com/index.cfm?fuseaction=Listing.MapPropertyInteractive&amp;ListingID=19350736&amp;resize=true&amp;windowWidth=800&amp;windowHeight=600","Map")</f>
        <v>Map</v>
      </c>
      <c r="O353" s="2" t="str">
        <f>HYPERLINK("http://www.windermere.com/index.cfm?fuseaction=Listing.MultiImageViewer&amp;ListingID=19350736&amp;ln=28021107&amp;pub_mls=1","More")</f>
        <v>More</v>
      </c>
      <c r="AI353" t="s">
        <v>66</v>
      </c>
      <c r="AJ353">
        <v>98115</v>
      </c>
      <c r="AS353" t="s">
        <v>1155</v>
      </c>
      <c r="AT353">
        <v>19350736</v>
      </c>
      <c r="AU353" s="12">
        <v>39495</v>
      </c>
      <c r="BB353" t="s">
        <v>912</v>
      </c>
      <c r="BC353" s="7">
        <v>39489</v>
      </c>
      <c r="BD353">
        <v>3</v>
      </c>
      <c r="BE353" t="s">
        <v>1344</v>
      </c>
      <c r="BF353" s="7">
        <v>39494</v>
      </c>
      <c r="BG353">
        <v>6</v>
      </c>
      <c r="BH353" s="17">
        <f t="shared" ca="1" si="5"/>
        <v>38</v>
      </c>
      <c r="BI353" s="17"/>
      <c r="BJ353" s="17"/>
    </row>
    <row r="354" spans="1:62" hidden="1">
      <c r="A354">
        <v>28027687</v>
      </c>
      <c r="B354" s="4" t="str">
        <f>HYPERLINK("http://www.windermere.com/index.cfm?fuseaction=Listing.ListingDetail&amp;ListingID=19381434","Contingent")</f>
        <v>Contingent</v>
      </c>
      <c r="D354" t="s">
        <v>100</v>
      </c>
      <c r="E354" t="s">
        <v>889</v>
      </c>
      <c r="F354" s="10">
        <v>499000</v>
      </c>
      <c r="G354" t="s">
        <v>135</v>
      </c>
      <c r="H354" s="1">
        <v>2390</v>
      </c>
      <c r="I354">
        <v>3600</v>
      </c>
      <c r="J354">
        <v>5</v>
      </c>
      <c r="K354">
        <v>2.5</v>
      </c>
      <c r="M354" s="2" t="str">
        <f>HYPERLINK("http://www.windermere.com/index.cfm?fuseaction=Listing.MapPropertyInteractive&amp;ListingID=19381434&amp;resize=true&amp;windowWidth=800&amp;windowHeight=600","Map")</f>
        <v>Map</v>
      </c>
      <c r="O354" s="2" t="str">
        <f>HYPERLINK("http://www.windermere.com/index.cfm?fuseaction=Listing.MultiImageViewer&amp;ListingID=19381434&amp;ln=28027687&amp;pub_mls=1","More")</f>
        <v>More</v>
      </c>
      <c r="P354" t="s">
        <v>44</v>
      </c>
      <c r="AI354" t="s">
        <v>66</v>
      </c>
      <c r="AJ354">
        <v>98103</v>
      </c>
      <c r="AS354" t="s">
        <v>890</v>
      </c>
      <c r="AT354">
        <v>19381434</v>
      </c>
      <c r="AU354" s="12">
        <v>39495</v>
      </c>
      <c r="BB354" t="s">
        <v>912</v>
      </c>
      <c r="BC354" s="7">
        <v>39494</v>
      </c>
      <c r="BG354">
        <v>1</v>
      </c>
      <c r="BH354" s="17">
        <f t="shared" ca="1" si="5"/>
        <v>33</v>
      </c>
      <c r="BI354" s="17"/>
      <c r="BJ354" s="17"/>
    </row>
    <row r="355" spans="1:62" hidden="1">
      <c r="A355">
        <v>27199728</v>
      </c>
      <c r="B355" s="15" t="str">
        <f>HYPERLINK("http://www.windermere.com/index.cfm?fuseaction=Listing.ListingDetail&amp;ListingID=18941377","Subject To Inspection")</f>
        <v>Subject To Inspection</v>
      </c>
      <c r="D355" t="s">
        <v>109</v>
      </c>
      <c r="E355" t="s">
        <v>891</v>
      </c>
      <c r="F355" s="10">
        <v>499900</v>
      </c>
      <c r="G355" t="s">
        <v>256</v>
      </c>
      <c r="H355" s="1">
        <v>1450</v>
      </c>
      <c r="J355">
        <v>3</v>
      </c>
      <c r="K355">
        <v>3.25</v>
      </c>
      <c r="M355" s="2" t="str">
        <f>HYPERLINK("http://www.windermere.com/index.cfm?fuseaction=Listing.MapPropertyInteractive&amp;ListingID=18941377&amp;resize=true&amp;windowWidth=800&amp;windowHeight=600","Map")</f>
        <v>Map</v>
      </c>
      <c r="O355" s="2" t="str">
        <f>HYPERLINK("http://www.windermere.com/index.cfm?fuseaction=Listing.MultiImageViewer&amp;ListingID=18941377&amp;ln=27199728&amp;pub_mls=1","More")</f>
        <v>More</v>
      </c>
      <c r="P355" t="s">
        <v>44</v>
      </c>
      <c r="AI355" t="s">
        <v>66</v>
      </c>
      <c r="AJ355">
        <v>98103</v>
      </c>
      <c r="AS355" t="s">
        <v>892</v>
      </c>
      <c r="AT355">
        <v>18941377</v>
      </c>
      <c r="AU355" s="12">
        <v>39495</v>
      </c>
      <c r="BB355" t="s">
        <v>912</v>
      </c>
      <c r="BC355" s="7">
        <v>39395</v>
      </c>
      <c r="BD355">
        <v>0</v>
      </c>
      <c r="BE355" t="s">
        <v>1327</v>
      </c>
      <c r="BG355">
        <v>100</v>
      </c>
      <c r="BH355" s="17">
        <f t="shared" ca="1" si="5"/>
        <v>132</v>
      </c>
      <c r="BI355" s="17"/>
      <c r="BJ355" s="17"/>
    </row>
    <row r="356" spans="1:62" hidden="1">
      <c r="A356">
        <v>27167787</v>
      </c>
      <c r="B356" s="2" t="str">
        <f>HYPERLINK("http://www.windermere.com/index.cfm?fuseaction=Listing.ListingDetail&amp;ListingID=18632922","Active")</f>
        <v>Active</v>
      </c>
      <c r="D356" t="s">
        <v>60</v>
      </c>
      <c r="E356" t="s">
        <v>905</v>
      </c>
      <c r="F356" s="10">
        <v>499950</v>
      </c>
      <c r="G356" t="s">
        <v>215</v>
      </c>
      <c r="H356" s="1">
        <v>2240</v>
      </c>
      <c r="I356">
        <v>3821</v>
      </c>
      <c r="J356">
        <v>4</v>
      </c>
      <c r="K356">
        <v>2.75</v>
      </c>
      <c r="M356" s="2" t="str">
        <f>HYPERLINK("http://www.windermere.com/index.cfm?fuseaction=Listing.MapPropertyInteractive&amp;ListingID=18632922&amp;resize=true&amp;windowWidth=800&amp;windowHeight=600","Map")</f>
        <v>Map</v>
      </c>
      <c r="O356" s="2" t="str">
        <f>HYPERLINK("http://www.windermere.com/index.cfm?fuseaction=viewGallery.Home&amp;customTourID=193954&amp;wvt=0","More")</f>
        <v>More</v>
      </c>
      <c r="P356" t="s">
        <v>44</v>
      </c>
      <c r="AI356" t="s">
        <v>66</v>
      </c>
      <c r="AJ356">
        <v>98103</v>
      </c>
      <c r="AS356" t="s">
        <v>906</v>
      </c>
      <c r="AT356">
        <v>18632922</v>
      </c>
      <c r="AU356" s="12">
        <v>39495</v>
      </c>
      <c r="BB356" t="s">
        <v>912</v>
      </c>
      <c r="BC356" s="7">
        <v>39338</v>
      </c>
      <c r="BG356">
        <v>157</v>
      </c>
      <c r="BH356" s="17">
        <f t="shared" ca="1" si="5"/>
        <v>189</v>
      </c>
      <c r="BI356" s="17"/>
      <c r="BJ356" s="17"/>
    </row>
    <row r="357" spans="1:62" hidden="1">
      <c r="A357">
        <v>27176949</v>
      </c>
      <c r="B357" s="2" t="str">
        <f>HYPERLINK("http://www.windermere.com/index.cfm?fuseaction=Listing.ListingDetail&amp;ListingID=18734876","Active")</f>
        <v>Active</v>
      </c>
      <c r="D357" t="s">
        <v>188</v>
      </c>
      <c r="E357" t="s">
        <v>223</v>
      </c>
      <c r="F357" s="10">
        <v>499950</v>
      </c>
      <c r="G357" t="s">
        <v>162</v>
      </c>
      <c r="H357" s="1">
        <v>1230</v>
      </c>
      <c r="I357">
        <v>8774</v>
      </c>
      <c r="J357" s="3">
        <v>2</v>
      </c>
      <c r="K357">
        <v>1</v>
      </c>
      <c r="M357" s="2" t="str">
        <f>HYPERLINK("http://www.windermere.com/index.cfm?fuseaction=Listing.MapPropertyInteractive&amp;ListingID=18734876&amp;resize=true&amp;windowWidth=800&amp;windowHeight=600","Map")</f>
        <v>Map</v>
      </c>
      <c r="O357" s="2" t="str">
        <f>HYPERLINK("http://www.windermere.com/index.cfm?fuseaction=viewGallery.Home&amp;customTourID=105948&amp;wvt=0","More")</f>
        <v>More</v>
      </c>
      <c r="AI357" t="s">
        <v>66</v>
      </c>
      <c r="AJ357">
        <v>98125</v>
      </c>
      <c r="AS357" t="s">
        <v>1158</v>
      </c>
      <c r="AT357">
        <v>18734876</v>
      </c>
      <c r="AU357" s="12">
        <v>39495</v>
      </c>
      <c r="BB357" t="s">
        <v>912</v>
      </c>
      <c r="BC357" s="7">
        <v>39354</v>
      </c>
      <c r="BG357">
        <v>141</v>
      </c>
      <c r="BH357" s="17">
        <f t="shared" ca="1" si="5"/>
        <v>173</v>
      </c>
      <c r="BI357" s="17"/>
      <c r="BJ357" s="17"/>
    </row>
    <row r="358" spans="1:62" hidden="1">
      <c r="A358">
        <v>27183015</v>
      </c>
      <c r="B358" s="2" t="str">
        <f>HYPERLINK("http://www.windermere.com/index.cfm?fuseaction=Listing.ListingDetail&amp;ListingID=18803463","Active")</f>
        <v>Active</v>
      </c>
      <c r="D358" t="s">
        <v>188</v>
      </c>
      <c r="E358" t="s">
        <v>907</v>
      </c>
      <c r="F358" s="18">
        <v>474950</v>
      </c>
      <c r="G358" t="s">
        <v>248</v>
      </c>
      <c r="H358" s="1">
        <v>2460</v>
      </c>
      <c r="I358">
        <v>7216</v>
      </c>
      <c r="J358">
        <v>5</v>
      </c>
      <c r="K358">
        <v>2.5</v>
      </c>
      <c r="M358" s="2" t="str">
        <f>HYPERLINK("http://www.windermere.com/index.cfm?fuseaction=Listing.MapPropertyInteractive&amp;ListingID=18803463&amp;resize=true&amp;windowWidth=800&amp;windowHeight=600","Map")</f>
        <v>Map</v>
      </c>
      <c r="O358" s="2" t="str">
        <f>HYPERLINK("http://www.windermere.com/index.cfm?fuseaction=Listing.MultiImageViewer&amp;ListingID=18803463&amp;ln=27183015&amp;pub_mls=1","More")</f>
        <v>More</v>
      </c>
      <c r="AI358" t="s">
        <v>66</v>
      </c>
      <c r="AJ358">
        <v>98125</v>
      </c>
      <c r="AS358" t="s">
        <v>908</v>
      </c>
      <c r="AT358">
        <v>18803463</v>
      </c>
      <c r="AU358" s="12">
        <v>39495</v>
      </c>
      <c r="BB358" t="s">
        <v>912</v>
      </c>
      <c r="BC358" s="7">
        <v>39367</v>
      </c>
      <c r="BG358">
        <v>128</v>
      </c>
      <c r="BH358" s="17">
        <f t="shared" ca="1" si="5"/>
        <v>160</v>
      </c>
      <c r="BI358" s="17"/>
      <c r="BJ358" s="17"/>
    </row>
    <row r="359" spans="1:62" hidden="1">
      <c r="A359">
        <v>28008220</v>
      </c>
      <c r="B359" s="2" t="str">
        <f>HYPERLINK("http://www.windermere.com/index.cfm?fuseaction=Listing.ListingDetail&amp;ListingID=19219494","Active")</f>
        <v>Active</v>
      </c>
      <c r="D359" t="s">
        <v>55</v>
      </c>
      <c r="E359" t="s">
        <v>257</v>
      </c>
      <c r="F359" s="10">
        <v>499950</v>
      </c>
      <c r="G359" t="s">
        <v>129</v>
      </c>
      <c r="H359" s="1">
        <v>1180</v>
      </c>
      <c r="I359">
        <v>4700</v>
      </c>
      <c r="J359">
        <v>3</v>
      </c>
      <c r="K359">
        <v>1.5</v>
      </c>
      <c r="M359" s="2" t="str">
        <f>HYPERLINK("http://www.windermere.com/index.cfm?fuseaction=Listing.MapPropertyInteractive&amp;ListingID=19219494&amp;resize=true&amp;windowWidth=800&amp;windowHeight=600","Map")</f>
        <v>Map</v>
      </c>
      <c r="O359" s="2" t="str">
        <f>HYPERLINK("http://www.windermere.com/index.cfm?fuseaction=Listing.MultiImageViewer&amp;ListingID=19219494&amp;ln=28008220&amp;pub_mls=1","More")</f>
        <v>More</v>
      </c>
      <c r="AI359" t="s">
        <v>66</v>
      </c>
      <c r="AJ359">
        <v>98117</v>
      </c>
      <c r="AS359" t="s">
        <v>258</v>
      </c>
      <c r="AT359">
        <v>19219494</v>
      </c>
      <c r="AU359" s="12">
        <v>39495</v>
      </c>
      <c r="BB359" t="s">
        <v>912</v>
      </c>
      <c r="BC359" s="7">
        <v>39460</v>
      </c>
      <c r="BG359">
        <v>35</v>
      </c>
      <c r="BH359" s="17">
        <f t="shared" ca="1" si="5"/>
        <v>67</v>
      </c>
      <c r="BI359" s="17"/>
      <c r="BJ359" s="17"/>
    </row>
    <row r="360" spans="1:62" hidden="1">
      <c r="A360">
        <v>28014004</v>
      </c>
      <c r="B360" s="2" t="str">
        <f>HYPERLINK("http://www.windermere.com/index.cfm?fuseaction=Listing.ListingDetail&amp;ListingID=19265101","Active")</f>
        <v>Active</v>
      </c>
      <c r="D360" t="s">
        <v>226</v>
      </c>
      <c r="E360" t="s">
        <v>901</v>
      </c>
      <c r="F360" s="13">
        <v>489950</v>
      </c>
      <c r="G360" t="s">
        <v>247</v>
      </c>
      <c r="H360" s="1">
        <v>1545</v>
      </c>
      <c r="J360">
        <v>3</v>
      </c>
      <c r="K360">
        <v>2.5</v>
      </c>
      <c r="M360" s="2" t="str">
        <f>HYPERLINK("http://www.windermere.com/index.cfm?fuseaction=Listing.MapPropertyInteractive&amp;ListingID=19265101&amp;resize=true&amp;windowWidth=800&amp;windowHeight=600","Map")</f>
        <v>Map</v>
      </c>
      <c r="O360" s="2" t="str">
        <f>HYPERLINK("http://www.windermere.com/index.cfm?fuseaction=Listing.MultiImageViewer&amp;ListingID=19265101&amp;ln=28014004&amp;pub_mls=1","More")</f>
        <v>More</v>
      </c>
      <c r="P360" t="s">
        <v>44</v>
      </c>
      <c r="AI360" t="s">
        <v>66</v>
      </c>
      <c r="AJ360">
        <v>98105</v>
      </c>
      <c r="AS360" t="s">
        <v>902</v>
      </c>
      <c r="AT360">
        <v>19265101</v>
      </c>
      <c r="AU360" s="12">
        <v>39495</v>
      </c>
      <c r="BB360" t="s">
        <v>912</v>
      </c>
      <c r="BC360" s="7">
        <v>39470</v>
      </c>
      <c r="BG360">
        <v>25</v>
      </c>
      <c r="BH360" s="17">
        <f t="shared" ca="1" si="5"/>
        <v>57</v>
      </c>
      <c r="BI360" s="17"/>
      <c r="BJ360" s="17"/>
    </row>
    <row r="361" spans="1:62" hidden="1">
      <c r="A361">
        <v>28014006</v>
      </c>
      <c r="B361" s="2" t="str">
        <f>HYPERLINK("http://www.windermere.com/index.cfm?fuseaction=Listing.ListingDetail&amp;ListingID=19265102","Active")</f>
        <v>Active</v>
      </c>
      <c r="D361" t="s">
        <v>226</v>
      </c>
      <c r="E361" t="s">
        <v>899</v>
      </c>
      <c r="F361" s="13">
        <v>474995</v>
      </c>
      <c r="G361" t="s">
        <v>247</v>
      </c>
      <c r="H361" s="1">
        <v>1545</v>
      </c>
      <c r="J361">
        <v>3</v>
      </c>
      <c r="K361">
        <v>2.5</v>
      </c>
      <c r="M361" s="2" t="str">
        <f>HYPERLINK("http://www.windermere.com/index.cfm?fuseaction=Listing.MapPropertyInteractive&amp;ListingID=19265102&amp;resize=true&amp;windowWidth=800&amp;windowHeight=600","Map")</f>
        <v>Map</v>
      </c>
      <c r="O361" s="2" t="str">
        <f>HYPERLINK("http://www.windermere.com/index.cfm?fuseaction=Listing.MultiImageViewer&amp;ListingID=19265102&amp;ln=28014006&amp;pub_mls=1","More")</f>
        <v>More</v>
      </c>
      <c r="P361" t="s">
        <v>44</v>
      </c>
      <c r="AI361" t="s">
        <v>66</v>
      </c>
      <c r="AJ361">
        <v>98105</v>
      </c>
      <c r="AS361" t="s">
        <v>900</v>
      </c>
      <c r="AT361">
        <v>19265102</v>
      </c>
      <c r="AU361" s="12">
        <v>39495</v>
      </c>
      <c r="BB361" t="s">
        <v>912</v>
      </c>
      <c r="BC361" s="7">
        <v>39470</v>
      </c>
      <c r="BG361">
        <v>25</v>
      </c>
      <c r="BH361" s="17">
        <f t="shared" ca="1" si="5"/>
        <v>57</v>
      </c>
      <c r="BI361" s="17"/>
      <c r="BJ361" s="17"/>
    </row>
    <row r="362" spans="1:62" hidden="1">
      <c r="A362">
        <v>28020407</v>
      </c>
      <c r="B362" s="2" t="str">
        <f>HYPERLINK("http://www.windermere.com/index.cfm?fuseaction=Listing.ListingDetail&amp;ListingID=19318148","Active")</f>
        <v>Active</v>
      </c>
      <c r="D362" t="s">
        <v>213</v>
      </c>
      <c r="E362" t="s">
        <v>1156</v>
      </c>
      <c r="F362" s="10">
        <v>499950</v>
      </c>
      <c r="G362" t="s">
        <v>878</v>
      </c>
      <c r="H362" s="1">
        <v>1780</v>
      </c>
      <c r="I362">
        <v>5051</v>
      </c>
      <c r="J362">
        <v>3</v>
      </c>
      <c r="K362">
        <v>2</v>
      </c>
      <c r="M362" s="2" t="str">
        <f>HYPERLINK("http://www.windermere.com/index.cfm?fuseaction=Listing.MapPropertyInteractive&amp;ListingID=19318148&amp;resize=true&amp;windowWidth=800&amp;windowHeight=600","Map")</f>
        <v>Map</v>
      </c>
      <c r="O362" s="2" t="str">
        <f>HYPERLINK("http://www.windermere.com/index.cfm?fuseaction=Listing.MultiImageViewer&amp;ListingID=19318148&amp;ln=28020407&amp;pub_mls=1","More")</f>
        <v>More</v>
      </c>
      <c r="P362" t="s">
        <v>44</v>
      </c>
      <c r="AI362" t="s">
        <v>66</v>
      </c>
      <c r="AJ362">
        <v>98125</v>
      </c>
      <c r="AS362" t="s">
        <v>1157</v>
      </c>
      <c r="AT362">
        <v>19318148</v>
      </c>
      <c r="AU362" s="12">
        <v>39495</v>
      </c>
      <c r="BB362" t="s">
        <v>912</v>
      </c>
      <c r="BC362" s="7">
        <v>39481</v>
      </c>
      <c r="BG362">
        <v>14</v>
      </c>
      <c r="BH362" s="17">
        <f t="shared" ca="1" si="5"/>
        <v>46</v>
      </c>
      <c r="BI362" s="17"/>
      <c r="BJ362" s="17"/>
    </row>
    <row r="363" spans="1:62">
      <c r="A363">
        <v>28022663</v>
      </c>
      <c r="B363" s="4" t="str">
        <f>HYPERLINK("http://www.windermere.com/index.cfm?fuseaction=Listing.ListingDetail&amp;ListingID=19336224","Subject To Inspection")</f>
        <v>Subject To Inspection</v>
      </c>
      <c r="D363" t="s">
        <v>194</v>
      </c>
      <c r="E363" t="s">
        <v>1159</v>
      </c>
      <c r="F363" s="10">
        <v>499950</v>
      </c>
      <c r="G363" t="s">
        <v>731</v>
      </c>
      <c r="H363" s="1">
        <v>1400</v>
      </c>
      <c r="I363">
        <v>6120</v>
      </c>
      <c r="J363">
        <v>2</v>
      </c>
      <c r="K363">
        <v>2</v>
      </c>
      <c r="M363" s="2" t="str">
        <f>HYPERLINK("http://www.windermere.com/index.cfm?fuseaction=Listing.MapPropertyInteractive&amp;ListingID=19336224&amp;resize=true&amp;windowWidth=800&amp;windowHeight=600","Map")</f>
        <v>Map</v>
      </c>
      <c r="O363" s="2" t="str">
        <f>HYPERLINK("http://www.windermere.com/index.cfm?fuseaction=viewGallery.Home&amp;customTourID=206977&amp;wvt=0","More")</f>
        <v>More</v>
      </c>
      <c r="P363" t="s">
        <v>44</v>
      </c>
      <c r="AI363" t="s">
        <v>66</v>
      </c>
      <c r="AJ363">
        <v>98115</v>
      </c>
      <c r="AS363" t="s">
        <v>1160</v>
      </c>
      <c r="AT363">
        <v>19336224</v>
      </c>
      <c r="AU363" s="12">
        <v>39495</v>
      </c>
      <c r="BB363" t="s">
        <v>912</v>
      </c>
      <c r="BC363" s="7">
        <v>39485</v>
      </c>
      <c r="BD363" t="s">
        <v>1621</v>
      </c>
      <c r="BE363" t="s">
        <v>1620</v>
      </c>
      <c r="BF363" s="7">
        <v>39508</v>
      </c>
      <c r="BG363">
        <v>10</v>
      </c>
      <c r="BH363" s="17">
        <f t="shared" ca="1" si="5"/>
        <v>42</v>
      </c>
      <c r="BI363" s="17"/>
      <c r="BJ363" s="17"/>
    </row>
    <row r="364" spans="1:62" hidden="1">
      <c r="A364">
        <v>28023001</v>
      </c>
      <c r="B364" s="15" t="str">
        <f>HYPERLINK("http://www.windermere.com/index.cfm?fuseaction=Listing.ListingDetail&amp;ListingID=19336980","Subject To Inspection")</f>
        <v>Subject To Inspection</v>
      </c>
      <c r="D364" t="s">
        <v>100</v>
      </c>
      <c r="E364" t="s">
        <v>893</v>
      </c>
      <c r="F364" s="10">
        <v>499950</v>
      </c>
      <c r="G364" t="s">
        <v>247</v>
      </c>
      <c r="J364">
        <v>3</v>
      </c>
      <c r="K364">
        <v>2.25</v>
      </c>
      <c r="M364" s="2" t="str">
        <f>HYPERLINK("http://www.windermere.com/index.cfm?fuseaction=Listing.MapPropertyInteractive&amp;ListingID=19336980&amp;resize=true&amp;windowWidth=800&amp;windowHeight=600","Map")</f>
        <v>Map</v>
      </c>
      <c r="O364" s="2" t="str">
        <f>HYPERLINK("http://www.windermere.com/index.cfm?fuseaction=viewGallery.Home&amp;customTourID=198344&amp;wvt=0","More")</f>
        <v>More</v>
      </c>
      <c r="AI364" t="s">
        <v>66</v>
      </c>
      <c r="AJ364">
        <v>98103</v>
      </c>
      <c r="AS364" t="s">
        <v>894</v>
      </c>
      <c r="AT364">
        <v>19336980</v>
      </c>
      <c r="AU364" s="12">
        <v>39495</v>
      </c>
      <c r="BB364" t="s">
        <v>912</v>
      </c>
      <c r="BC364" s="7">
        <v>39485</v>
      </c>
      <c r="BG364">
        <v>10</v>
      </c>
      <c r="BH364" s="17">
        <f t="shared" ca="1" si="5"/>
        <v>42</v>
      </c>
      <c r="BI364" s="17"/>
      <c r="BJ364" s="17"/>
    </row>
    <row r="365" spans="1:62" hidden="1">
      <c r="A365">
        <v>28024790</v>
      </c>
      <c r="B365" s="2" t="str">
        <f>HYPERLINK("http://www.windermere.com/index.cfm?fuseaction=Listing.ListingDetail&amp;ListingID=19376679","Active")</f>
        <v>Active</v>
      </c>
      <c r="D365" t="s">
        <v>70</v>
      </c>
      <c r="E365" t="s">
        <v>903</v>
      </c>
      <c r="F365" s="10">
        <v>499950</v>
      </c>
      <c r="G365" t="s">
        <v>135</v>
      </c>
      <c r="H365" s="1">
        <v>2120</v>
      </c>
      <c r="I365">
        <v>6700</v>
      </c>
      <c r="J365">
        <v>3</v>
      </c>
      <c r="K365">
        <v>1.5</v>
      </c>
      <c r="M365" s="2" t="str">
        <f>HYPERLINK("http://www.windermere.com/index.cfm?fuseaction=Listing.MapPropertyInteractive&amp;ListingID=19376679&amp;resize=true&amp;windowWidth=800&amp;windowHeight=600","Map")</f>
        <v>Map</v>
      </c>
      <c r="O365" s="2" t="str">
        <f>HYPERLINK("http://www.windermere.com/index.cfm?fuseaction=viewGallery.Home&amp;customTourID=207709&amp;wvt=0","More")</f>
        <v>More</v>
      </c>
      <c r="AI365" t="s">
        <v>66</v>
      </c>
      <c r="AJ365">
        <v>98103</v>
      </c>
      <c r="AS365" t="s">
        <v>904</v>
      </c>
      <c r="AT365">
        <v>19376679</v>
      </c>
      <c r="AU365" s="12">
        <v>39495</v>
      </c>
      <c r="BB365" t="s">
        <v>912</v>
      </c>
      <c r="BC365" s="7">
        <v>39493</v>
      </c>
      <c r="BG365">
        <v>2</v>
      </c>
      <c r="BH365" s="17">
        <f t="shared" ca="1" si="5"/>
        <v>34</v>
      </c>
      <c r="BI365" s="17"/>
      <c r="BJ365" s="17"/>
    </row>
    <row r="366" spans="1:62" hidden="1">
      <c r="A366">
        <v>28027231</v>
      </c>
      <c r="B366" s="2" t="str">
        <f>HYPERLINK("http://www.windermere.com/index.cfm?fuseaction=Listing.ListingDetail&amp;ListingID=19371419","Active")</f>
        <v>Active</v>
      </c>
      <c r="D366" t="s">
        <v>100</v>
      </c>
      <c r="E366" t="s">
        <v>895</v>
      </c>
      <c r="F366" s="10">
        <v>499950</v>
      </c>
      <c r="G366" t="s">
        <v>147</v>
      </c>
      <c r="H366" s="1">
        <v>1470</v>
      </c>
      <c r="J366">
        <v>3</v>
      </c>
      <c r="K366">
        <v>2.5</v>
      </c>
      <c r="M366" s="2" t="str">
        <f>HYPERLINK("http://www.windermere.com/index.cfm?fuseaction=Listing.MapPropertyInteractive&amp;ListingID=19371419&amp;resize=true&amp;windowWidth=800&amp;windowHeight=600","Map")</f>
        <v>Map</v>
      </c>
      <c r="O366" s="2" t="str">
        <f>HYPERLINK("http://www.windermere.com/index.cfm?fuseaction=Listing.MultiImageViewer&amp;ListingID=19371419&amp;ln=28027231&amp;pub_mls=1","More")</f>
        <v>More</v>
      </c>
      <c r="AI366" t="s">
        <v>66</v>
      </c>
      <c r="AJ366">
        <v>98103</v>
      </c>
      <c r="AS366" t="s">
        <v>896</v>
      </c>
      <c r="AT366">
        <v>19371419</v>
      </c>
      <c r="AU366" s="12">
        <v>39495</v>
      </c>
      <c r="BB366" t="s">
        <v>912</v>
      </c>
      <c r="BC366" s="7">
        <v>39492</v>
      </c>
      <c r="BG366">
        <v>3</v>
      </c>
      <c r="BH366" s="17">
        <f t="shared" ca="1" si="5"/>
        <v>35</v>
      </c>
      <c r="BI366" s="17"/>
      <c r="BJ366" s="17"/>
    </row>
    <row r="367" spans="1:62" hidden="1">
      <c r="A367">
        <v>28027236</v>
      </c>
      <c r="B367" s="2" t="str">
        <f>HYPERLINK("http://www.windermere.com/index.cfm?fuseaction=Listing.ListingDetail&amp;ListingID=19371420","Active")</f>
        <v>Active</v>
      </c>
      <c r="D367" t="s">
        <v>100</v>
      </c>
      <c r="E367" t="s">
        <v>897</v>
      </c>
      <c r="F367" s="10">
        <v>499950</v>
      </c>
      <c r="G367" t="s">
        <v>147</v>
      </c>
      <c r="H367" s="1">
        <v>1470</v>
      </c>
      <c r="J367">
        <v>3</v>
      </c>
      <c r="K367">
        <v>2.5</v>
      </c>
      <c r="M367" s="2" t="str">
        <f>HYPERLINK("http://www.windermere.com/index.cfm?fuseaction=Listing.MapPropertyInteractive&amp;ListingID=19371420&amp;resize=true&amp;windowWidth=800&amp;windowHeight=600","Map")</f>
        <v>Map</v>
      </c>
      <c r="O367" s="2" t="str">
        <f>HYPERLINK("http://www.windermere.com/index.cfm?fuseaction=Listing.MultiImageViewer&amp;ListingID=19371420&amp;ln=28027236&amp;pub_mls=1","More")</f>
        <v>More</v>
      </c>
      <c r="AI367" t="s">
        <v>66</v>
      </c>
      <c r="AJ367">
        <v>98103</v>
      </c>
      <c r="AS367" t="s">
        <v>898</v>
      </c>
      <c r="AT367">
        <v>19371420</v>
      </c>
      <c r="AU367" s="12">
        <v>39495</v>
      </c>
      <c r="BB367" t="s">
        <v>912</v>
      </c>
      <c r="BC367" s="7">
        <v>39492</v>
      </c>
      <c r="BG367">
        <v>3</v>
      </c>
      <c r="BH367" s="17">
        <f t="shared" ca="1" si="5"/>
        <v>35</v>
      </c>
      <c r="BI367" s="17"/>
      <c r="BJ367" s="17"/>
    </row>
    <row r="368" spans="1:62" hidden="1">
      <c r="A368">
        <v>27159537</v>
      </c>
      <c r="B368" s="2" t="str">
        <f>HYPERLINK("http://www.windermere.com/index.cfm?fuseaction=Listing.ListingDetail&amp;ListingID=18548242","Active")</f>
        <v>Active</v>
      </c>
      <c r="D368" t="s">
        <v>60</v>
      </c>
      <c r="E368" t="s">
        <v>175</v>
      </c>
      <c r="F368" s="18">
        <v>489999</v>
      </c>
      <c r="G368" t="s">
        <v>135</v>
      </c>
      <c r="H368" s="1">
        <v>1460</v>
      </c>
      <c r="I368">
        <v>3060</v>
      </c>
      <c r="J368">
        <v>3</v>
      </c>
      <c r="K368">
        <v>1.75</v>
      </c>
      <c r="M368" s="2" t="str">
        <f>HYPERLINK("http://www.windermere.com/index.cfm?fuseaction=Listing.MapPropertyInteractive&amp;ListingID=18548242&amp;resize=true&amp;windowWidth=800&amp;windowHeight=600","Map")</f>
        <v>Map</v>
      </c>
      <c r="O368" s="2" t="str">
        <f>HYPERLINK("http://www.windermere.com/index.cfm?fuseaction=Listing.MultiImageViewer&amp;ListingID=18548242&amp;ln=27159537&amp;pub_mls=1","More")</f>
        <v>More</v>
      </c>
      <c r="P368" t="s">
        <v>44</v>
      </c>
      <c r="AI368" t="s">
        <v>66</v>
      </c>
      <c r="AJ368">
        <v>98105</v>
      </c>
      <c r="AS368" t="s">
        <v>909</v>
      </c>
      <c r="AT368">
        <v>18548242</v>
      </c>
      <c r="AU368" s="12">
        <v>39495</v>
      </c>
      <c r="BB368" t="s">
        <v>912</v>
      </c>
      <c r="BC368" s="7">
        <v>39325</v>
      </c>
      <c r="BD368">
        <v>1</v>
      </c>
      <c r="BE368" s="6" t="s">
        <v>1324</v>
      </c>
      <c r="BG368">
        <v>170</v>
      </c>
      <c r="BH368" s="17">
        <f t="shared" ca="1" si="5"/>
        <v>202</v>
      </c>
      <c r="BI368" s="17"/>
      <c r="BJ368" s="17"/>
    </row>
    <row r="369" spans="1:63" hidden="1">
      <c r="A369">
        <v>27185399</v>
      </c>
      <c r="B369" s="2" t="str">
        <f>HYPERLINK("http://www.windermere.com/index.cfm?fuseaction=Listing.ListingDetail&amp;ListingID=18801515","Active")</f>
        <v>Active</v>
      </c>
      <c r="D369" t="s">
        <v>55</v>
      </c>
      <c r="E369" t="s">
        <v>254</v>
      </c>
      <c r="F369" s="18">
        <v>480000</v>
      </c>
      <c r="G369" t="s">
        <v>176</v>
      </c>
      <c r="H369" s="1">
        <v>1800</v>
      </c>
      <c r="I369">
        <v>4600</v>
      </c>
      <c r="J369" s="3">
        <v>3</v>
      </c>
      <c r="K369">
        <v>1.75</v>
      </c>
      <c r="M369" s="2" t="str">
        <f>HYPERLINK("http://www.windermere.com/index.cfm?fuseaction=Listing.MapPropertyInteractive&amp;ListingID=18801515&amp;resize=true&amp;windowWidth=800&amp;windowHeight=600","Map")</f>
        <v>Map</v>
      </c>
      <c r="O369" s="2" t="str">
        <f>HYPERLINK("http://www.windermere.com/index.cfm?fuseaction=Listing.MultiImageViewer&amp;ListingID=18801515&amp;ln=27185399&amp;pub_mls=1","More")</f>
        <v>More</v>
      </c>
      <c r="AI369" t="s">
        <v>66</v>
      </c>
      <c r="AJ369">
        <v>98117</v>
      </c>
      <c r="AS369" t="s">
        <v>255</v>
      </c>
      <c r="AT369">
        <v>18801515</v>
      </c>
      <c r="AU369" s="12">
        <v>39495</v>
      </c>
      <c r="BB369" t="s">
        <v>912</v>
      </c>
      <c r="BC369" s="7">
        <v>39367</v>
      </c>
      <c r="BG369">
        <v>128</v>
      </c>
      <c r="BH369" s="17">
        <f t="shared" ca="1" si="5"/>
        <v>160</v>
      </c>
      <c r="BI369" s="17"/>
      <c r="BJ369" s="17"/>
    </row>
    <row r="370" spans="1:63" hidden="1">
      <c r="A370">
        <v>27192377</v>
      </c>
      <c r="B370" s="2" t="str">
        <f>HYPERLINK("http://www.windermere.com/index.cfm?fuseaction=Listing.ListingDetail&amp;ListingID=18868122","Active")</f>
        <v>Active</v>
      </c>
      <c r="D370" t="s">
        <v>55</v>
      </c>
      <c r="E370" t="s">
        <v>251</v>
      </c>
      <c r="F370" s="10">
        <v>500000</v>
      </c>
      <c r="G370" t="s">
        <v>252</v>
      </c>
      <c r="H370" s="1">
        <v>2400</v>
      </c>
      <c r="J370">
        <v>3</v>
      </c>
      <c r="K370">
        <v>2.5</v>
      </c>
      <c r="M370" s="2" t="str">
        <f>HYPERLINK("http://www.windermere.com/index.cfm?fuseaction=Listing.MapPropertyInteractive&amp;ListingID=18868122&amp;resize=true&amp;windowWidth=800&amp;windowHeight=600","Map")</f>
        <v>Map</v>
      </c>
      <c r="O370" s="2" t="str">
        <f>HYPERLINK("http://www.windermere.com/index.cfm?fuseaction=Listing.MultiImageViewer&amp;ListingID=18868122&amp;ln=27192377&amp;pub_mls=1","More")</f>
        <v>More</v>
      </c>
      <c r="AI370" t="s">
        <v>66</v>
      </c>
      <c r="AJ370">
        <v>98117</v>
      </c>
      <c r="AS370" t="s">
        <v>253</v>
      </c>
      <c r="AT370">
        <v>18868122</v>
      </c>
      <c r="AU370" s="12">
        <v>39495</v>
      </c>
      <c r="BB370" t="s">
        <v>912</v>
      </c>
      <c r="BC370" s="7">
        <v>39381</v>
      </c>
      <c r="BG370">
        <v>114</v>
      </c>
      <c r="BH370" s="17">
        <f t="shared" ca="1" si="5"/>
        <v>146</v>
      </c>
      <c r="BI370" s="17"/>
      <c r="BJ370" s="17"/>
    </row>
    <row r="371" spans="1:63" hidden="1">
      <c r="A371">
        <v>28011273</v>
      </c>
      <c r="B371" s="2" t="str">
        <f>HYPERLINK("http://www.windermere.com/index.cfm?fuseaction=Listing.ListingDetail&amp;ListingID=19242886","Active")</f>
        <v>Active</v>
      </c>
      <c r="D371" t="s">
        <v>1023</v>
      </c>
      <c r="E371" t="s">
        <v>249</v>
      </c>
      <c r="F371" s="18">
        <v>495000</v>
      </c>
      <c r="G371" t="s">
        <v>159</v>
      </c>
      <c r="H371" s="1">
        <v>2300</v>
      </c>
      <c r="I371">
        <v>4200</v>
      </c>
      <c r="J371">
        <v>4</v>
      </c>
      <c r="K371">
        <v>1.5</v>
      </c>
      <c r="M371" s="2" t="str">
        <f>HYPERLINK("http://www.windermere.com/index.cfm?fuseaction=Listing.MapPropertyInteractive&amp;ListingID=19242886&amp;resize=true&amp;windowWidth=800&amp;windowHeight=600","Map")</f>
        <v>Map</v>
      </c>
      <c r="O371" s="2" t="str">
        <f>HYPERLINK("http://www.windermere.com/index.cfm?fuseaction=Listing.MultiImageViewer&amp;ListingID=19242886&amp;ln=28011273&amp;pub_mls=1","More")</f>
        <v>More</v>
      </c>
      <c r="AI371" t="s">
        <v>66</v>
      </c>
      <c r="AJ371">
        <v>98117</v>
      </c>
      <c r="AS371" t="s">
        <v>250</v>
      </c>
      <c r="AT371">
        <v>19242886</v>
      </c>
      <c r="AU371" s="12">
        <v>39495</v>
      </c>
      <c r="BB371" t="s">
        <v>912</v>
      </c>
      <c r="BC371" s="7">
        <v>39465</v>
      </c>
      <c r="BG371">
        <v>30</v>
      </c>
      <c r="BH371" s="17">
        <f t="shared" ca="1" si="5"/>
        <v>62</v>
      </c>
      <c r="BI371" s="17"/>
      <c r="BJ371" s="17"/>
    </row>
    <row r="372" spans="1:63" hidden="1">
      <c r="A372">
        <v>28027350</v>
      </c>
      <c r="B372" s="2" t="str">
        <f>HYPERLINK("http://www.windermere.com/index.cfm?fuseaction=Listing.ListingDetail&amp;ListingID=19378561","Active")</f>
        <v>Active</v>
      </c>
      <c r="D372" t="s">
        <v>100</v>
      </c>
      <c r="E372" s="3" t="s">
        <v>1371</v>
      </c>
      <c r="F372" s="10">
        <v>500000</v>
      </c>
      <c r="G372" t="s">
        <v>440</v>
      </c>
      <c r="H372" s="1">
        <v>1780</v>
      </c>
      <c r="I372">
        <v>4800</v>
      </c>
      <c r="J372">
        <v>3</v>
      </c>
      <c r="K372">
        <v>1</v>
      </c>
      <c r="M372" s="2" t="str">
        <f>HYPERLINK("http://www.windermere.com/index.cfm?fuseaction=Listing.MapPropertyInteractive&amp;ListingID=19378561&amp;resize=true&amp;windowWidth=800&amp;windowHeight=600","Map")</f>
        <v>Map</v>
      </c>
      <c r="O372" s="2" t="str">
        <f>HYPERLINK("http://www.windermere.com/index.cfm?fuseaction=Listing.MultiImageViewer&amp;ListingID=19378561&amp;ln=28027350&amp;pub_mls=1","More")</f>
        <v>More</v>
      </c>
      <c r="P372" t="s">
        <v>44</v>
      </c>
      <c r="AI372" t="s">
        <v>66</v>
      </c>
      <c r="AJ372">
        <v>98103</v>
      </c>
      <c r="AS372" t="s">
        <v>910</v>
      </c>
      <c r="AT372">
        <v>19378561</v>
      </c>
      <c r="AU372" s="12">
        <v>39495</v>
      </c>
      <c r="BB372" t="s">
        <v>912</v>
      </c>
      <c r="BC372" s="7">
        <v>39493</v>
      </c>
      <c r="BG372">
        <v>2</v>
      </c>
      <c r="BH372" s="17">
        <f t="shared" ca="1" si="5"/>
        <v>34</v>
      </c>
      <c r="BI372" s="17"/>
      <c r="BJ372" s="17"/>
    </row>
    <row r="373" spans="1:63" hidden="1">
      <c r="A373">
        <v>27182712</v>
      </c>
      <c r="B373" s="2" t="str">
        <f>HYPERLINK("http://www.windermere.com/index.cfm?fuseaction=Listing.ListingDetail&amp;ListingID=18779676","Active")</f>
        <v>Active</v>
      </c>
      <c r="D373" t="s">
        <v>66</v>
      </c>
      <c r="E373" t="s">
        <v>1163</v>
      </c>
      <c r="F373" s="10">
        <v>509000</v>
      </c>
      <c r="G373" t="s">
        <v>137</v>
      </c>
      <c r="H373" s="1">
        <v>2340</v>
      </c>
      <c r="I373">
        <v>8820</v>
      </c>
      <c r="J373">
        <v>4</v>
      </c>
      <c r="K373">
        <v>1.75</v>
      </c>
      <c r="M373" s="2" t="str">
        <f>HYPERLINK("http://www.windermere.com/index.cfm?fuseaction=Listing.MapPropertyInteractive&amp;ListingID=18779676&amp;resize=true&amp;windowWidth=800&amp;windowHeight=600","Map")</f>
        <v>Map</v>
      </c>
      <c r="AI373" t="s">
        <v>66</v>
      </c>
      <c r="AJ373">
        <v>98117</v>
      </c>
      <c r="AS373" t="s">
        <v>1164</v>
      </c>
      <c r="AT373">
        <v>18779676</v>
      </c>
      <c r="AU373" s="12">
        <v>39495</v>
      </c>
      <c r="BB373" t="s">
        <v>912</v>
      </c>
      <c r="BC373" s="7">
        <v>39363</v>
      </c>
      <c r="BG373">
        <v>132</v>
      </c>
      <c r="BH373" s="17">
        <f t="shared" ca="1" si="5"/>
        <v>164</v>
      </c>
      <c r="BI373" s="17"/>
      <c r="BJ373" s="17"/>
    </row>
    <row r="374" spans="1:63" hidden="1">
      <c r="A374">
        <v>28013361</v>
      </c>
      <c r="B374" s="2" t="str">
        <f>HYPERLINK("http://www.windermere.com/index.cfm?fuseaction=Listing.ListingDetail&amp;ListingID=19264293","Subject To Inspection")</f>
        <v>Subject To Inspection</v>
      </c>
      <c r="D374" t="s">
        <v>1165</v>
      </c>
      <c r="E374" t="s">
        <v>1166</v>
      </c>
      <c r="F374" s="10">
        <v>524900</v>
      </c>
      <c r="G374" t="s">
        <v>164</v>
      </c>
      <c r="H374" s="1">
        <v>2320</v>
      </c>
      <c r="I374">
        <v>5100</v>
      </c>
      <c r="J374">
        <v>2</v>
      </c>
      <c r="K374">
        <v>2</v>
      </c>
      <c r="M374" s="2" t="str">
        <f>HYPERLINK("http://www.windermere.com/index.cfm?fuseaction=Listing.MapPropertyInteractive&amp;ListingID=19264293&amp;resize=true&amp;windowWidth=800&amp;windowHeight=600","Map")</f>
        <v>Map</v>
      </c>
      <c r="O374" s="2" t="str">
        <f>HYPERLINK("http://www.windermere.com/index.cfm?fuseaction=viewGallery.Home&amp;customTourID=205329&amp;wvt=0","More")</f>
        <v>More</v>
      </c>
      <c r="AI374" t="s">
        <v>66</v>
      </c>
      <c r="AJ374">
        <v>98117</v>
      </c>
      <c r="AS374" t="s">
        <v>1167</v>
      </c>
      <c r="AT374">
        <v>19264293</v>
      </c>
      <c r="AU374" s="12">
        <v>39495</v>
      </c>
      <c r="BB374" t="s">
        <v>912</v>
      </c>
      <c r="BC374" s="7">
        <v>39469</v>
      </c>
      <c r="BG374">
        <v>26</v>
      </c>
      <c r="BH374" s="17">
        <f t="shared" ca="1" si="5"/>
        <v>58</v>
      </c>
      <c r="BI374" s="17"/>
      <c r="BJ374" s="17"/>
      <c r="BK374" t="str">
        <f>B374</f>
        <v>Subject To Inspection</v>
      </c>
    </row>
    <row r="375" spans="1:63" hidden="1">
      <c r="A375">
        <v>28016773</v>
      </c>
      <c r="B375" s="4" t="str">
        <f>HYPERLINK("http://www.windermere.com/index.cfm?fuseaction=Listing.ListingDetail&amp;ListingID=19296030","Subject To Inspection")</f>
        <v>Subject To Inspection</v>
      </c>
      <c r="D375" t="s">
        <v>63</v>
      </c>
      <c r="E375" t="s">
        <v>1168</v>
      </c>
      <c r="F375" s="18">
        <v>509000</v>
      </c>
      <c r="G375" t="s">
        <v>140</v>
      </c>
      <c r="H375" s="1">
        <v>1520</v>
      </c>
      <c r="I375">
        <v>3750</v>
      </c>
      <c r="J375">
        <v>3</v>
      </c>
      <c r="K375">
        <v>1.75</v>
      </c>
      <c r="M375" s="2" t="str">
        <f>HYPERLINK("http://www.windermere.com/index.cfm?fuseaction=Listing.MapPropertyInteractive&amp;ListingID=19296030&amp;resize=true&amp;windowWidth=800&amp;windowHeight=600","Map")</f>
        <v>Map</v>
      </c>
      <c r="O375" s="2" t="str">
        <f>HYPERLINK("http://www.windermere.com/index.cfm?fuseaction=viewGallery.Home&amp;customTourID=205928&amp;wvt=0","More")</f>
        <v>More</v>
      </c>
      <c r="P375" t="s">
        <v>44</v>
      </c>
      <c r="AI375" t="s">
        <v>66</v>
      </c>
      <c r="AJ375">
        <v>98117</v>
      </c>
      <c r="AS375" t="s">
        <v>1169</v>
      </c>
      <c r="AT375">
        <v>19296030</v>
      </c>
      <c r="AU375" s="12">
        <v>39495</v>
      </c>
      <c r="BB375" t="s">
        <v>912</v>
      </c>
      <c r="BC375" s="7">
        <v>39478</v>
      </c>
      <c r="BG375">
        <v>17</v>
      </c>
      <c r="BH375" s="17">
        <f t="shared" ca="1" si="5"/>
        <v>49</v>
      </c>
      <c r="BI375" s="17"/>
      <c r="BJ375" s="17"/>
    </row>
    <row r="376" spans="1:63" hidden="1">
      <c r="A376">
        <v>28008105</v>
      </c>
      <c r="B376" s="2" t="str">
        <f>HYPERLINK("http://www.windermere.com/index.cfm?fuseaction=Listing.ListingDetail&amp;ListingID=19219049","Active")</f>
        <v>Active</v>
      </c>
      <c r="D376" t="s">
        <v>78</v>
      </c>
      <c r="E376" t="s">
        <v>1170</v>
      </c>
      <c r="F376" s="10">
        <v>524950</v>
      </c>
      <c r="G376" t="s">
        <v>146</v>
      </c>
      <c r="H376" s="1">
        <v>1540</v>
      </c>
      <c r="I376">
        <v>3880</v>
      </c>
      <c r="J376">
        <v>4</v>
      </c>
      <c r="K376">
        <v>2</v>
      </c>
      <c r="M376" s="2" t="str">
        <f>HYPERLINK("http://www.windermere.com/index.cfm?fuseaction=Listing.MapPropertyInteractive&amp;ListingID=19219049&amp;resize=true&amp;windowWidth=800&amp;windowHeight=600","Map")</f>
        <v>Map</v>
      </c>
      <c r="O376" s="2" t="str">
        <f>HYPERLINK("http://www.windermere.com/index.cfm?fuseaction=Listing.MultiImageViewer&amp;ListingID=19219049&amp;ln=28008105&amp;pub_mls=1","More")</f>
        <v>More</v>
      </c>
      <c r="P376" t="s">
        <v>44</v>
      </c>
      <c r="AI376" t="s">
        <v>66</v>
      </c>
      <c r="AJ376">
        <v>98117</v>
      </c>
      <c r="AS376" t="s">
        <v>1171</v>
      </c>
      <c r="AT376">
        <v>19219049</v>
      </c>
      <c r="AU376" s="12">
        <v>39495</v>
      </c>
      <c r="BB376" t="s">
        <v>912</v>
      </c>
      <c r="BC376" s="7">
        <v>39460</v>
      </c>
      <c r="BG376">
        <v>35</v>
      </c>
      <c r="BH376" s="17">
        <f t="shared" ca="1" si="5"/>
        <v>67</v>
      </c>
      <c r="BI376" s="17"/>
      <c r="BJ376" s="17"/>
    </row>
    <row r="377" spans="1:63" hidden="1">
      <c r="A377">
        <v>27049642</v>
      </c>
      <c r="B377" s="4" t="str">
        <f>HYPERLINK("http://www.windermere.com/index.cfm?fuseaction=Listing.ListingDetail&amp;ListingID=19326308","Subject To Inspection")</f>
        <v>Subject To Inspection</v>
      </c>
      <c r="D377" t="s">
        <v>63</v>
      </c>
      <c r="E377" t="s">
        <v>1172</v>
      </c>
      <c r="F377" s="10">
        <v>525000</v>
      </c>
      <c r="G377" t="s">
        <v>151</v>
      </c>
      <c r="H377" s="1">
        <v>3000</v>
      </c>
      <c r="I377">
        <v>4230</v>
      </c>
      <c r="J377">
        <v>5</v>
      </c>
      <c r="K377">
        <v>1.5</v>
      </c>
      <c r="M377" s="2" t="str">
        <f>HYPERLINK("http://www.windermere.com/index.cfm?fuseaction=Listing.MapPropertyInteractive&amp;ListingID=19326308&amp;resize=true&amp;windowWidth=800&amp;windowHeight=600","Map")</f>
        <v>Map</v>
      </c>
      <c r="O377" s="2" t="str">
        <f>HYPERLINK("http://www.windermere.com/index.cfm?fuseaction=Listing.MultiImageViewer&amp;ListingID=19326308&amp;ln=27049642&amp;pub_mls=1","More")</f>
        <v>More</v>
      </c>
      <c r="P377" t="s">
        <v>44</v>
      </c>
      <c r="AI377" t="s">
        <v>66</v>
      </c>
      <c r="AJ377">
        <v>98117</v>
      </c>
      <c r="AS377" t="s">
        <v>1173</v>
      </c>
      <c r="AT377">
        <v>19326308</v>
      </c>
      <c r="AU377" s="12">
        <v>39495</v>
      </c>
      <c r="BB377" t="s">
        <v>912</v>
      </c>
      <c r="BC377" s="7">
        <v>39169</v>
      </c>
      <c r="BD377">
        <v>1</v>
      </c>
      <c r="BG377">
        <v>326</v>
      </c>
      <c r="BH377" s="17">
        <f t="shared" ca="1" si="5"/>
        <v>358</v>
      </c>
      <c r="BI377" s="17"/>
      <c r="BJ377" s="17"/>
    </row>
    <row r="378" spans="1:63" hidden="1">
      <c r="A378">
        <v>27165871</v>
      </c>
      <c r="B378" s="2" t="str">
        <f>HYPERLINK("http://www.windermere.com/index.cfm?fuseaction=Listing.ListingDetail&amp;ListingID=18613160","Active")</f>
        <v>Active</v>
      </c>
      <c r="D378" t="s">
        <v>63</v>
      </c>
      <c r="E378" t="s">
        <v>1174</v>
      </c>
      <c r="F378" s="18">
        <v>514950</v>
      </c>
      <c r="G378" t="s">
        <v>157</v>
      </c>
      <c r="H378" s="1">
        <v>2060</v>
      </c>
      <c r="I378">
        <v>3796</v>
      </c>
      <c r="J378">
        <v>4</v>
      </c>
      <c r="K378">
        <v>2</v>
      </c>
      <c r="M378" s="2" t="str">
        <f>HYPERLINK("http://www.windermere.com/index.cfm?fuseaction=Listing.MapPropertyInteractive&amp;ListingID=18613160&amp;resize=true&amp;windowWidth=800&amp;windowHeight=600","Map")</f>
        <v>Map</v>
      </c>
      <c r="O378" s="2" t="str">
        <f>HYPERLINK("http://www.windermere.com/index.cfm?fuseaction=Listing.MultiImageViewer&amp;ListingID=18613160&amp;ln=27165871&amp;pub_mls=1","More")</f>
        <v>More</v>
      </c>
      <c r="AI378" t="s">
        <v>66</v>
      </c>
      <c r="AJ378">
        <v>98117</v>
      </c>
      <c r="AS378" t="s">
        <v>1175</v>
      </c>
      <c r="AT378">
        <v>18613160</v>
      </c>
      <c r="AU378" s="12">
        <v>39495</v>
      </c>
      <c r="BB378" t="s">
        <v>912</v>
      </c>
      <c r="BC378" s="7">
        <v>39336</v>
      </c>
      <c r="BD378">
        <v>1</v>
      </c>
      <c r="BE378" s="6" t="s">
        <v>1331</v>
      </c>
      <c r="BG378">
        <v>159</v>
      </c>
      <c r="BH378" s="17">
        <f t="shared" ca="1" si="5"/>
        <v>191</v>
      </c>
      <c r="BI378" s="17"/>
      <c r="BJ378" s="17"/>
    </row>
    <row r="379" spans="1:63" hidden="1">
      <c r="A379">
        <v>28018682</v>
      </c>
      <c r="B379" s="2" t="str">
        <f>HYPERLINK("http://www.windermere.com/index.cfm?fuseaction=Listing.ListingDetail&amp;ListingID=19304182","Subject To Inspection")</f>
        <v>Subject To Inspection</v>
      </c>
      <c r="D379" t="s">
        <v>88</v>
      </c>
      <c r="E379" t="s">
        <v>1176</v>
      </c>
      <c r="F379" s="10">
        <v>537000</v>
      </c>
      <c r="G379" t="s">
        <v>796</v>
      </c>
      <c r="H379" s="1">
        <v>2060</v>
      </c>
      <c r="I379">
        <v>3500</v>
      </c>
      <c r="J379">
        <v>4</v>
      </c>
      <c r="K379">
        <v>2.5</v>
      </c>
      <c r="M379" s="2" t="str">
        <f>HYPERLINK("http://www.windermere.com/index.cfm?fuseaction=Listing.MapPropertyInteractive&amp;ListingID=19304182&amp;resize=true&amp;windowWidth=800&amp;windowHeight=600","Map")</f>
        <v>Map</v>
      </c>
      <c r="O379" s="2" t="str">
        <f>HYPERLINK("http://www.windermere.com/index.cfm?fuseaction=Listing.MultiImageViewer&amp;ListingID=19304182&amp;ln=28018682&amp;pub_mls=1","More")</f>
        <v>More</v>
      </c>
      <c r="P379" t="s">
        <v>44</v>
      </c>
      <c r="AI379" t="s">
        <v>66</v>
      </c>
      <c r="AJ379">
        <v>98117</v>
      </c>
      <c r="AS379" t="s">
        <v>1177</v>
      </c>
      <c r="AT379">
        <v>19304182</v>
      </c>
      <c r="AU379" s="12">
        <v>39495</v>
      </c>
      <c r="BB379" t="s">
        <v>912</v>
      </c>
      <c r="BC379" s="7">
        <v>39478</v>
      </c>
      <c r="BG379">
        <v>17</v>
      </c>
      <c r="BH379" s="17">
        <f t="shared" ca="1" si="5"/>
        <v>49</v>
      </c>
      <c r="BI379" s="17"/>
      <c r="BJ379" s="17"/>
      <c r="BK379" t="str">
        <f>B379</f>
        <v>Subject To Inspection</v>
      </c>
    </row>
    <row r="380" spans="1:63" hidden="1">
      <c r="A380">
        <v>28024386</v>
      </c>
      <c r="B380" s="2" t="str">
        <f>HYPERLINK("http://www.windermere.com/index.cfm?fuseaction=Listing.ListingDetail&amp;ListingID=19347056","Active")</f>
        <v>Active</v>
      </c>
      <c r="D380" t="s">
        <v>101</v>
      </c>
      <c r="E380" t="s">
        <v>1178</v>
      </c>
      <c r="F380" s="13">
        <v>539500</v>
      </c>
      <c r="G380" t="s">
        <v>168</v>
      </c>
      <c r="I380">
        <v>5000</v>
      </c>
      <c r="J380">
        <v>3</v>
      </c>
      <c r="K380">
        <v>1.75</v>
      </c>
      <c r="M380" s="2" t="str">
        <f>HYPERLINK("http://www.windermere.com/index.cfm?fuseaction=Listing.MapPropertyInteractive&amp;ListingID=19347056&amp;resize=true&amp;windowWidth=800&amp;windowHeight=600","Map")</f>
        <v>Map</v>
      </c>
      <c r="O380" s="2" t="str">
        <f>HYPERLINK("http://www.windermere.com/index.cfm?fuseaction=Listing.MultiImageViewer&amp;ListingID=19347056&amp;ln=28024386&amp;pub_mls=1","More")</f>
        <v>More</v>
      </c>
      <c r="AI380" t="s">
        <v>66</v>
      </c>
      <c r="AJ380">
        <v>98117</v>
      </c>
      <c r="AS380" t="s">
        <v>1179</v>
      </c>
      <c r="AT380">
        <v>19347056</v>
      </c>
      <c r="AU380" s="12">
        <v>39495</v>
      </c>
      <c r="BB380" t="s">
        <v>912</v>
      </c>
      <c r="BC380" s="7">
        <v>39487</v>
      </c>
      <c r="BG380">
        <v>8</v>
      </c>
      <c r="BH380" s="17">
        <f t="shared" ca="1" si="5"/>
        <v>40</v>
      </c>
      <c r="BI380" s="17"/>
      <c r="BJ380" s="17"/>
    </row>
    <row r="381" spans="1:63" hidden="1">
      <c r="A381">
        <v>27185790</v>
      </c>
      <c r="B381" s="15" t="str">
        <f>HYPERLINK("http://www.windermere.com/index.cfm?fuseaction=Listing.ListingDetail&amp;ListingID=18811833","Subject To Inspection")</f>
        <v>Subject To Inspection</v>
      </c>
      <c r="D381" t="s">
        <v>63</v>
      </c>
      <c r="E381" t="s">
        <v>1180</v>
      </c>
      <c r="F381" s="10">
        <v>549950</v>
      </c>
      <c r="G381" t="s">
        <v>151</v>
      </c>
      <c r="H381" s="1">
        <v>2490</v>
      </c>
      <c r="I381">
        <v>3350</v>
      </c>
      <c r="J381">
        <v>3</v>
      </c>
      <c r="K381">
        <v>1.75</v>
      </c>
      <c r="M381" s="2" t="str">
        <f>HYPERLINK("http://www.windermere.com/index.cfm?fuseaction=Listing.MapPropertyInteractive&amp;ListingID=18811833&amp;resize=true&amp;windowWidth=800&amp;windowHeight=600","Map")</f>
        <v>Map</v>
      </c>
      <c r="O381" s="2" t="str">
        <f>HYPERLINK("http://www.windermere.com/index.cfm?fuseaction=viewGallery.Home&amp;customTourID=197410&amp;wvt=0","More")</f>
        <v>More</v>
      </c>
      <c r="P381" t="s">
        <v>44</v>
      </c>
      <c r="AI381" t="s">
        <v>66</v>
      </c>
      <c r="AJ381">
        <v>98117</v>
      </c>
      <c r="AS381" t="s">
        <v>1181</v>
      </c>
      <c r="AT381">
        <v>18811833</v>
      </c>
      <c r="AU381" s="12">
        <v>39495</v>
      </c>
      <c r="BB381" t="s">
        <v>912</v>
      </c>
      <c r="BC381" s="7">
        <v>39370</v>
      </c>
      <c r="BG381">
        <v>125</v>
      </c>
      <c r="BH381" s="17">
        <f t="shared" ca="1" si="5"/>
        <v>157</v>
      </c>
      <c r="BI381" s="17"/>
      <c r="BJ381" s="17"/>
    </row>
    <row r="382" spans="1:63" hidden="1">
      <c r="A382">
        <v>28007665</v>
      </c>
      <c r="B382" s="2" t="str">
        <f>HYPERLINK("http://www.windermere.com/index.cfm?fuseaction=Listing.ListingDetail&amp;ListingID=19215921","Active")</f>
        <v>Active</v>
      </c>
      <c r="D382" t="s">
        <v>88</v>
      </c>
      <c r="E382" t="s">
        <v>1182</v>
      </c>
      <c r="F382" s="13">
        <v>535000</v>
      </c>
      <c r="G382" t="s">
        <v>126</v>
      </c>
      <c r="H382" s="1">
        <v>2010</v>
      </c>
      <c r="J382">
        <v>4</v>
      </c>
      <c r="K382">
        <v>2</v>
      </c>
      <c r="M382" s="2" t="str">
        <f>HYPERLINK("http://www.windermere.com/index.cfm?fuseaction=Listing.MapPropertyInteractive&amp;ListingID=19215921&amp;resize=true&amp;windowWidth=800&amp;windowHeight=600","Map")</f>
        <v>Map</v>
      </c>
      <c r="O382" s="2" t="str">
        <f>HYPERLINK("http://www.windermere.com/index.cfm?fuseaction=viewGallery.Home&amp;customTourID=204275&amp;wvt=0","More")</f>
        <v>More</v>
      </c>
      <c r="P382" t="s">
        <v>44</v>
      </c>
      <c r="AI382" t="s">
        <v>66</v>
      </c>
      <c r="AJ382">
        <v>98117</v>
      </c>
      <c r="AS382" t="s">
        <v>1183</v>
      </c>
      <c r="AT382">
        <v>19215921</v>
      </c>
      <c r="AU382" s="12">
        <v>39495</v>
      </c>
      <c r="BB382" t="s">
        <v>912</v>
      </c>
      <c r="BC382" s="7">
        <v>39459</v>
      </c>
      <c r="BG382">
        <v>36</v>
      </c>
      <c r="BH382" s="17">
        <f t="shared" ca="1" si="5"/>
        <v>68</v>
      </c>
      <c r="BI382" s="17"/>
      <c r="BJ382" s="17"/>
    </row>
    <row r="383" spans="1:63" hidden="1">
      <c r="A383">
        <v>28021052</v>
      </c>
      <c r="B383" s="2" t="str">
        <f>HYPERLINK("http://www.windermere.com/index.cfm?fuseaction=Listing.ListingDetail&amp;ListingID=19327126","Active")</f>
        <v>Active</v>
      </c>
      <c r="D383" t="s">
        <v>99</v>
      </c>
      <c r="E383" t="s">
        <v>1184</v>
      </c>
      <c r="F383" s="10">
        <v>550000</v>
      </c>
      <c r="G383" t="s">
        <v>718</v>
      </c>
      <c r="H383" s="1">
        <v>2100</v>
      </c>
      <c r="I383">
        <v>7204</v>
      </c>
      <c r="J383">
        <v>3</v>
      </c>
      <c r="K383">
        <v>2.75</v>
      </c>
      <c r="M383" s="2" t="str">
        <f>HYPERLINK("http://www.windermere.com/index.cfm?fuseaction=Listing.MapPropertyInteractive&amp;ListingID=19327126&amp;resize=true&amp;windowWidth=800&amp;windowHeight=600","Map")</f>
        <v>Map</v>
      </c>
      <c r="O383" s="2" t="str">
        <f>HYPERLINK("http://www.windermere.com/index.cfm?fuseaction=Listing.MultiImageViewer&amp;ListingID=19327126&amp;ln=28021052&amp;pub_mls=1","More")</f>
        <v>More</v>
      </c>
      <c r="P383" t="s">
        <v>44</v>
      </c>
      <c r="AI383" t="s">
        <v>66</v>
      </c>
      <c r="AJ383">
        <v>98117</v>
      </c>
      <c r="AS383" t="s">
        <v>1185</v>
      </c>
      <c r="AT383">
        <v>19327126</v>
      </c>
      <c r="AU383" s="12">
        <v>39495</v>
      </c>
      <c r="BB383" t="s">
        <v>912</v>
      </c>
      <c r="BC383" s="7">
        <v>39483</v>
      </c>
      <c r="BG383">
        <v>12</v>
      </c>
      <c r="BH383" s="17">
        <f t="shared" ca="1" si="5"/>
        <v>44</v>
      </c>
      <c r="BI383" s="17"/>
      <c r="BJ383" s="17"/>
    </row>
    <row r="384" spans="1:63" hidden="1">
      <c r="A384">
        <v>27136843</v>
      </c>
      <c r="B384" s="2" t="str">
        <f>HYPERLINK("http://www.windermere.com/index.cfm?fuseaction=Listing.ListingDetail&amp;ListingID=18370665","Active")</f>
        <v>Active</v>
      </c>
      <c r="D384" t="s">
        <v>99</v>
      </c>
      <c r="E384" t="s">
        <v>1186</v>
      </c>
      <c r="F384" s="10">
        <v>555000</v>
      </c>
      <c r="G384" t="s">
        <v>1187</v>
      </c>
      <c r="H384" s="1">
        <v>2000</v>
      </c>
      <c r="I384">
        <v>7359</v>
      </c>
      <c r="J384">
        <v>4</v>
      </c>
      <c r="K384">
        <v>3</v>
      </c>
      <c r="M384" s="2" t="str">
        <f>HYPERLINK("http://www.windermere.com/index.cfm?fuseaction=Listing.MapPropertyInteractive&amp;ListingID=18370665&amp;resize=true&amp;windowWidth=800&amp;windowHeight=600","Map")</f>
        <v>Map</v>
      </c>
      <c r="O384" s="2" t="str">
        <f>HYPERLINK("http://www.windermere.com/index.cfm?fuseaction=Listing.MultiImageViewer&amp;ListingID=18370665&amp;ln=27136843&amp;pub_mls=1","More")</f>
        <v>More</v>
      </c>
      <c r="P384" t="s">
        <v>44</v>
      </c>
      <c r="AI384" t="s">
        <v>66</v>
      </c>
      <c r="AJ384">
        <v>98117</v>
      </c>
      <c r="AS384" t="s">
        <v>1188</v>
      </c>
      <c r="AT384">
        <v>18370665</v>
      </c>
      <c r="AU384" s="12">
        <v>39495</v>
      </c>
      <c r="BB384" t="s">
        <v>912</v>
      </c>
      <c r="BC384" s="7">
        <v>39290</v>
      </c>
      <c r="BD384">
        <v>-2</v>
      </c>
      <c r="BE384" s="6" t="s">
        <v>1320</v>
      </c>
      <c r="BG384">
        <v>205</v>
      </c>
      <c r="BH384" s="17">
        <f t="shared" ca="1" si="5"/>
        <v>237</v>
      </c>
      <c r="BI384" s="17"/>
      <c r="BJ384" s="17"/>
    </row>
    <row r="385" spans="1:63" hidden="1">
      <c r="A385">
        <v>27168320</v>
      </c>
      <c r="B385" s="4" t="str">
        <f>HYPERLINK("http://www.windermere.com/index.cfm?fuseaction=Listing.ListingDetail&amp;ListingID=18631941","Subject To Inspection")</f>
        <v>Subject To Inspection</v>
      </c>
      <c r="D385" t="s">
        <v>99</v>
      </c>
      <c r="E385" t="s">
        <v>1189</v>
      </c>
      <c r="F385" s="13">
        <v>509000</v>
      </c>
      <c r="G385" t="s">
        <v>644</v>
      </c>
      <c r="H385" s="14">
        <v>1962</v>
      </c>
      <c r="I385">
        <v>5415</v>
      </c>
      <c r="J385">
        <v>5</v>
      </c>
      <c r="K385">
        <v>3</v>
      </c>
      <c r="M385" s="2" t="str">
        <f>HYPERLINK("http://www.windermere.com/index.cfm?fuseaction=Listing.MapPropertyInteractive&amp;ListingID=18631941&amp;resize=true&amp;windowWidth=800&amp;windowHeight=600","Map")</f>
        <v>Map</v>
      </c>
      <c r="O385" s="2" t="str">
        <f>HYPERLINK("http://www.windermere.com/index.cfm?fuseaction=Listing.MultiImageViewer&amp;ListingID=18631941&amp;ln=27168320&amp;pub_mls=1","More")</f>
        <v>More</v>
      </c>
      <c r="P385" t="s">
        <v>44</v>
      </c>
      <c r="AI385" t="s">
        <v>66</v>
      </c>
      <c r="AJ385">
        <v>98117</v>
      </c>
      <c r="AS385" t="s">
        <v>1190</v>
      </c>
      <c r="AT385">
        <v>18631941</v>
      </c>
      <c r="AU385" s="12">
        <v>39495</v>
      </c>
      <c r="BB385" t="s">
        <v>912</v>
      </c>
      <c r="BC385" s="7">
        <v>39338</v>
      </c>
      <c r="BG385">
        <v>157</v>
      </c>
      <c r="BH385" s="17">
        <f t="shared" ca="1" si="5"/>
        <v>189</v>
      </c>
      <c r="BI385" s="17"/>
      <c r="BJ385" s="17"/>
    </row>
    <row r="386" spans="1:63" hidden="1">
      <c r="A386">
        <v>27207271</v>
      </c>
      <c r="B386" s="2" t="str">
        <f>HYPERLINK("http://www.windermere.com/index.cfm?fuseaction=Listing.ListingDetail&amp;ListingID=19038432","Active")</f>
        <v>Active</v>
      </c>
      <c r="D386" t="s">
        <v>63</v>
      </c>
      <c r="E386" t="s">
        <v>1191</v>
      </c>
      <c r="F386" s="10">
        <v>559950</v>
      </c>
      <c r="G386" t="s">
        <v>129</v>
      </c>
      <c r="H386" s="1">
        <v>2870</v>
      </c>
      <c r="I386">
        <v>4158</v>
      </c>
      <c r="J386">
        <v>3</v>
      </c>
      <c r="K386">
        <v>1.75</v>
      </c>
      <c r="M386" s="2" t="str">
        <f>HYPERLINK("http://www.windermere.com/index.cfm?fuseaction=Listing.MapPropertyInteractive&amp;ListingID=19038432&amp;resize=true&amp;windowWidth=800&amp;windowHeight=600","Map")</f>
        <v>Map</v>
      </c>
      <c r="O386" s="2" t="str">
        <f>HYPERLINK("http://www.windermere.com/index.cfm?fuseaction=Listing.MultiImageViewer&amp;ListingID=19038432&amp;ln=27207271&amp;pub_mls=1","More")</f>
        <v>More</v>
      </c>
      <c r="P386" t="s">
        <v>44</v>
      </c>
      <c r="AI386" t="s">
        <v>66</v>
      </c>
      <c r="AJ386">
        <v>98117</v>
      </c>
      <c r="AS386" t="s">
        <v>1192</v>
      </c>
      <c r="AT386">
        <v>19038432</v>
      </c>
      <c r="AU386" s="12">
        <v>39495</v>
      </c>
      <c r="BB386" t="s">
        <v>912</v>
      </c>
      <c r="BC386" s="7">
        <v>39417</v>
      </c>
      <c r="BG386">
        <v>78</v>
      </c>
      <c r="BH386" s="17">
        <f t="shared" ca="1" si="5"/>
        <v>110</v>
      </c>
      <c r="BI386" s="17"/>
      <c r="BJ386" s="17"/>
    </row>
    <row r="387" spans="1:63" hidden="1">
      <c r="A387">
        <v>28019206</v>
      </c>
      <c r="B387" s="2" t="str">
        <f>HYPERLINK("http://www.windermere.com/index.cfm?fuseaction=Listing.ListingDetail&amp;ListingID=19308826","Subject To Inspection")</f>
        <v>Subject To Inspection</v>
      </c>
      <c r="D387" t="s">
        <v>55</v>
      </c>
      <c r="E387" t="s">
        <v>1193</v>
      </c>
      <c r="F387" s="10">
        <v>560000</v>
      </c>
      <c r="G387" t="s">
        <v>177</v>
      </c>
      <c r="H387" s="1">
        <v>2700</v>
      </c>
      <c r="I387">
        <v>5648</v>
      </c>
      <c r="J387">
        <v>4</v>
      </c>
      <c r="K387">
        <v>2.5</v>
      </c>
      <c r="M387" s="2" t="str">
        <f>HYPERLINK("http://www.windermere.com/index.cfm?fuseaction=Listing.MapPropertyInteractive&amp;ListingID=19308826&amp;resize=true&amp;windowWidth=800&amp;windowHeight=600","Map")</f>
        <v>Map</v>
      </c>
      <c r="O387" s="2" t="str">
        <f>HYPERLINK("http://www.windermere.com/index.cfm?fuseaction=Listing.MultiImageViewer&amp;ListingID=19308826&amp;ln=28019206&amp;pub_mls=1","More")</f>
        <v>More</v>
      </c>
      <c r="AI387" t="s">
        <v>66</v>
      </c>
      <c r="AJ387">
        <v>98117</v>
      </c>
      <c r="AS387" t="s">
        <v>1194</v>
      </c>
      <c r="AT387">
        <v>19308826</v>
      </c>
      <c r="AU387" s="12">
        <v>39495</v>
      </c>
      <c r="BB387" t="s">
        <v>912</v>
      </c>
      <c r="BC387" s="7">
        <v>39479</v>
      </c>
      <c r="BG387">
        <v>16</v>
      </c>
      <c r="BH387" s="17">
        <f t="shared" ref="BH387:BH442" ca="1" si="6">TODAY()-BC387</f>
        <v>48</v>
      </c>
      <c r="BI387" s="17"/>
      <c r="BJ387" s="17"/>
      <c r="BK387" t="str">
        <f>B387</f>
        <v>Subject To Inspection</v>
      </c>
    </row>
    <row r="388" spans="1:63" hidden="1">
      <c r="A388">
        <v>28017090</v>
      </c>
      <c r="B388" s="4" t="str">
        <f>HYPERLINK("http://www.windermere.com/index.cfm?fuseaction=Listing.ListingDetail&amp;ListingID=19295724","Subject To Inspection")</f>
        <v>Subject To Inspection</v>
      </c>
      <c r="D388" s="19" t="s">
        <v>63</v>
      </c>
      <c r="E388" t="s">
        <v>1195</v>
      </c>
      <c r="F388" s="18">
        <v>539950</v>
      </c>
      <c r="G388" t="s">
        <v>176</v>
      </c>
      <c r="H388" s="1">
        <v>2590</v>
      </c>
      <c r="I388">
        <v>4224</v>
      </c>
      <c r="J388">
        <v>3</v>
      </c>
      <c r="K388">
        <v>2</v>
      </c>
      <c r="M388" s="2" t="str">
        <f>HYPERLINK("http://www.windermere.com/index.cfm?fuseaction=Listing.MapPropertyInteractive&amp;ListingID=19295724&amp;resize=true&amp;windowWidth=800&amp;windowHeight=600","Map")</f>
        <v>Map</v>
      </c>
      <c r="O388" s="2" t="str">
        <f>HYPERLINK("http://www.windermere.com/index.cfm?fuseaction=Listing.MultiImageViewer&amp;ListingID=19295724&amp;ln=28017090&amp;pub_mls=1","More")</f>
        <v>More</v>
      </c>
      <c r="AI388" t="s">
        <v>66</v>
      </c>
      <c r="AJ388">
        <v>98117</v>
      </c>
      <c r="AS388" t="s">
        <v>1196</v>
      </c>
      <c r="AT388">
        <v>19295724</v>
      </c>
      <c r="AU388" s="12">
        <v>39495</v>
      </c>
      <c r="BB388" t="s">
        <v>912</v>
      </c>
      <c r="BC388" s="7">
        <v>39477</v>
      </c>
      <c r="BG388">
        <v>18</v>
      </c>
      <c r="BH388" s="17">
        <f t="shared" ca="1" si="6"/>
        <v>50</v>
      </c>
      <c r="BI388" s="17"/>
      <c r="BJ388" s="17"/>
    </row>
    <row r="389" spans="1:63" hidden="1">
      <c r="A389">
        <v>28026215</v>
      </c>
      <c r="B389" s="15" t="str">
        <f>HYPERLINK("http://www.windermere.com/index.cfm?fuseaction=Listing.ListingDetail&amp;ListingID=19368908","Subject To Inspection")</f>
        <v>Subject To Inspection</v>
      </c>
      <c r="D389" t="s">
        <v>63</v>
      </c>
      <c r="E389" t="s">
        <v>1197</v>
      </c>
      <c r="F389" s="10">
        <v>569500</v>
      </c>
      <c r="G389" t="s">
        <v>153</v>
      </c>
      <c r="H389" s="1">
        <v>2860</v>
      </c>
      <c r="I389">
        <v>4000</v>
      </c>
      <c r="J389">
        <v>4</v>
      </c>
      <c r="K389">
        <v>2</v>
      </c>
      <c r="M389" s="2" t="str">
        <f>HYPERLINK("http://www.windermere.com/index.cfm?fuseaction=Listing.MapPropertyInteractive&amp;ListingID=19368908&amp;resize=true&amp;windowWidth=800&amp;windowHeight=600","Map")</f>
        <v>Map</v>
      </c>
      <c r="O389" s="2" t="str">
        <f>HYPERLINK("http://www.windermere.com/index.cfm?fuseaction=Listing.MultiImageViewer&amp;ListingID=19368908&amp;ln=28026215&amp;pub_mls=1","More")</f>
        <v>More</v>
      </c>
      <c r="P389" t="s">
        <v>44</v>
      </c>
      <c r="AI389" t="s">
        <v>66</v>
      </c>
      <c r="AJ389">
        <v>98117</v>
      </c>
      <c r="AS389" t="s">
        <v>1198</v>
      </c>
      <c r="AT389">
        <v>19368908</v>
      </c>
      <c r="AU389" s="12">
        <v>39495</v>
      </c>
      <c r="BB389" t="s">
        <v>912</v>
      </c>
      <c r="BC389" s="7">
        <v>39492</v>
      </c>
      <c r="BG389">
        <v>3</v>
      </c>
      <c r="BH389" s="17">
        <f t="shared" ca="1" si="6"/>
        <v>35</v>
      </c>
      <c r="BI389" s="17"/>
      <c r="BJ389" s="17"/>
    </row>
    <row r="390" spans="1:63" hidden="1">
      <c r="A390">
        <v>28000608</v>
      </c>
      <c r="B390" s="2" t="str">
        <f>HYPERLINK("http://www.windermere.com/index.cfm?fuseaction=Listing.ListingDetail&amp;ListingID=19146533","Active")</f>
        <v>Active</v>
      </c>
      <c r="D390" t="s">
        <v>88</v>
      </c>
      <c r="E390" t="s">
        <v>1201</v>
      </c>
      <c r="F390" s="18">
        <v>550000</v>
      </c>
      <c r="G390" t="s">
        <v>170</v>
      </c>
      <c r="J390">
        <v>3</v>
      </c>
      <c r="K390">
        <v>2</v>
      </c>
      <c r="M390" s="2" t="str">
        <f>HYPERLINK("http://www.windermere.com/index.cfm?fuseaction=Listing.MapPropertyInteractive&amp;ListingID=19146533&amp;resize=true&amp;windowWidth=800&amp;windowHeight=600","Map")</f>
        <v>Map</v>
      </c>
      <c r="O390" s="2" t="str">
        <f>HYPERLINK("http://www.windermere.com/index.cfm?fuseaction=Listing.MultiImageViewer&amp;ListingID=19146533&amp;ln=28000608&amp;pub_mls=1","More")</f>
        <v>More</v>
      </c>
      <c r="AI390" t="s">
        <v>66</v>
      </c>
      <c r="AJ390">
        <v>98117</v>
      </c>
      <c r="AS390" t="s">
        <v>1202</v>
      </c>
      <c r="AT390">
        <v>19146533</v>
      </c>
      <c r="AU390" s="12">
        <v>39495</v>
      </c>
      <c r="BB390" t="s">
        <v>912</v>
      </c>
      <c r="BC390" s="7">
        <v>39449</v>
      </c>
      <c r="BG390">
        <v>46</v>
      </c>
      <c r="BH390" s="17">
        <f t="shared" ca="1" si="6"/>
        <v>78</v>
      </c>
      <c r="BI390" s="17"/>
      <c r="BJ390" s="17"/>
    </row>
    <row r="391" spans="1:63" hidden="1">
      <c r="A391">
        <v>28005685</v>
      </c>
      <c r="B391" s="2" t="str">
        <f>HYPERLINK("http://www.windermere.com/index.cfm?fuseaction=Listing.ListingDetail&amp;ListingID=19187084","Active")</f>
        <v>Active</v>
      </c>
      <c r="D391" t="s">
        <v>1024</v>
      </c>
      <c r="E391" t="s">
        <v>1199</v>
      </c>
      <c r="F391" s="13">
        <v>565000</v>
      </c>
      <c r="G391" t="s">
        <v>227</v>
      </c>
      <c r="H391" s="1">
        <v>2520</v>
      </c>
      <c r="I391">
        <v>5000</v>
      </c>
      <c r="J391">
        <v>3</v>
      </c>
      <c r="K391">
        <v>1.75</v>
      </c>
      <c r="M391" s="2" t="str">
        <f>HYPERLINK("http://www.windermere.com/index.cfm?fuseaction=Listing.MapPropertyInteractive&amp;ListingID=19187084&amp;resize=true&amp;windowWidth=800&amp;windowHeight=600","Map")</f>
        <v>Map</v>
      </c>
      <c r="O391" s="2" t="str">
        <f>HYPERLINK("http://www.windermere.com/index.cfm?fuseaction=Listing.MultiImageViewer&amp;ListingID=19187084&amp;ln=28005685&amp;pub_mls=1","More")</f>
        <v>More</v>
      </c>
      <c r="P391" t="s">
        <v>44</v>
      </c>
      <c r="AI391" t="s">
        <v>66</v>
      </c>
      <c r="AJ391">
        <v>98117</v>
      </c>
      <c r="AS391" t="s">
        <v>1200</v>
      </c>
      <c r="AT391">
        <v>19187084</v>
      </c>
      <c r="AU391" s="12">
        <v>39495</v>
      </c>
      <c r="BB391" t="s">
        <v>912</v>
      </c>
      <c r="BC391" s="7">
        <v>39456</v>
      </c>
      <c r="BG391">
        <v>39</v>
      </c>
      <c r="BH391" s="17">
        <f t="shared" ca="1" si="6"/>
        <v>71</v>
      </c>
      <c r="BI391" s="17"/>
      <c r="BJ391" s="17"/>
    </row>
    <row r="392" spans="1:63" hidden="1">
      <c r="A392">
        <v>27213643</v>
      </c>
      <c r="B392" s="2" t="str">
        <f>HYPERLINK("http://www.windermere.com/index.cfm?fuseaction=Listing.ListingDetail&amp;ListingID=19103376","Subject To Inspection")</f>
        <v>Subject To Inspection</v>
      </c>
      <c r="D392" t="s">
        <v>1203</v>
      </c>
      <c r="E392" t="s">
        <v>1204</v>
      </c>
      <c r="F392" s="10">
        <v>580000</v>
      </c>
      <c r="G392" t="s">
        <v>419</v>
      </c>
      <c r="H392" s="1">
        <v>2120</v>
      </c>
      <c r="I392">
        <v>6009</v>
      </c>
      <c r="J392">
        <v>3</v>
      </c>
      <c r="K392">
        <v>1.75</v>
      </c>
      <c r="M392" s="2" t="str">
        <f>HYPERLINK("http://www.windermere.com/index.cfm?fuseaction=Listing.MapPropertyInteractive&amp;ListingID=19103376&amp;resize=true&amp;windowWidth=800&amp;windowHeight=600","Map")</f>
        <v>Map</v>
      </c>
      <c r="O392" s="2" t="str">
        <f>HYPERLINK("http://www.windermere.com/index.cfm?fuseaction=Listing.MultiImageViewer&amp;ListingID=19103376&amp;ln=27213643&amp;pub_mls=1","More")</f>
        <v>More</v>
      </c>
      <c r="P392" t="s">
        <v>44</v>
      </c>
      <c r="AI392" t="s">
        <v>66</v>
      </c>
      <c r="AJ392">
        <v>98117</v>
      </c>
      <c r="AS392" t="s">
        <v>1205</v>
      </c>
      <c r="AT392">
        <v>19103376</v>
      </c>
      <c r="AU392" s="12">
        <v>39495</v>
      </c>
      <c r="BB392" t="s">
        <v>912</v>
      </c>
      <c r="BC392" s="7">
        <v>39433</v>
      </c>
      <c r="BG392">
        <v>62</v>
      </c>
      <c r="BH392" s="17">
        <f t="shared" ca="1" si="6"/>
        <v>94</v>
      </c>
      <c r="BI392" s="17"/>
      <c r="BJ392" s="17"/>
      <c r="BK392" t="str">
        <f>B392</f>
        <v>Subject To Inspection</v>
      </c>
    </row>
    <row r="393" spans="1:63" hidden="1">
      <c r="A393">
        <v>28010205</v>
      </c>
      <c r="B393" s="2" t="str">
        <f>HYPERLINK("http://www.windermere.com/index.cfm?fuseaction=Listing.ListingDetail&amp;ListingID=19234794","Active")</f>
        <v>Active</v>
      </c>
      <c r="D393" t="s">
        <v>63</v>
      </c>
      <c r="E393" t="s">
        <v>1206</v>
      </c>
      <c r="F393" s="18">
        <v>575000</v>
      </c>
      <c r="G393" t="s">
        <v>161</v>
      </c>
      <c r="H393" s="1">
        <v>1650</v>
      </c>
      <c r="I393">
        <v>4640</v>
      </c>
      <c r="J393">
        <v>4</v>
      </c>
      <c r="K393">
        <v>2</v>
      </c>
      <c r="M393" s="2" t="str">
        <f>HYPERLINK("http://www.windermere.com/index.cfm?fuseaction=Listing.MapPropertyInteractive&amp;ListingID=19234794&amp;resize=true&amp;windowWidth=800&amp;windowHeight=600","Map")</f>
        <v>Map</v>
      </c>
      <c r="O393" s="2" t="str">
        <f>HYPERLINK("http://www.windermere.com/index.cfm?fuseaction=Listing.MultiImageViewer&amp;ListingID=19234794&amp;ln=28010205&amp;pub_mls=1","More")</f>
        <v>More</v>
      </c>
      <c r="P393" t="s">
        <v>44</v>
      </c>
      <c r="AI393" t="s">
        <v>66</v>
      </c>
      <c r="AJ393">
        <v>98117</v>
      </c>
      <c r="AS393" t="s">
        <v>1207</v>
      </c>
      <c r="AT393">
        <v>19234794</v>
      </c>
      <c r="AU393" s="12">
        <v>39495</v>
      </c>
      <c r="BB393" t="s">
        <v>912</v>
      </c>
      <c r="BC393" s="7">
        <v>39463</v>
      </c>
      <c r="BG393">
        <v>32</v>
      </c>
      <c r="BH393" s="17">
        <f t="shared" ca="1" si="6"/>
        <v>64</v>
      </c>
      <c r="BI393" s="17"/>
      <c r="BJ393" s="17"/>
    </row>
    <row r="394" spans="1:63" hidden="1">
      <c r="A394">
        <v>28005197</v>
      </c>
      <c r="B394" s="2" t="str">
        <f>HYPERLINK("http://www.windermere.com/index.cfm?fuseaction=Listing.ListingDetail&amp;ListingID=19182010","Subject To Inspection")</f>
        <v>Subject To Inspection</v>
      </c>
      <c r="D394" t="s">
        <v>63</v>
      </c>
      <c r="E394" t="s">
        <v>1208</v>
      </c>
      <c r="F394" s="10">
        <v>589000</v>
      </c>
      <c r="G394" t="s">
        <v>146</v>
      </c>
      <c r="I394">
        <v>6250</v>
      </c>
      <c r="J394">
        <v>3</v>
      </c>
      <c r="K394">
        <v>2</v>
      </c>
      <c r="M394" s="2" t="str">
        <f>HYPERLINK("http://www.windermere.com/index.cfm?fuseaction=Listing.MapPropertyInteractive&amp;ListingID=19182010&amp;resize=true&amp;windowWidth=800&amp;windowHeight=600","Map")</f>
        <v>Map</v>
      </c>
      <c r="O394" s="2" t="str">
        <f>HYPERLINK("http://www.windermere.com/index.cfm?fuseaction=Listing.MultiImageViewer&amp;ListingID=19182010&amp;ln=28005197&amp;pub_mls=1","More")</f>
        <v>More</v>
      </c>
      <c r="P394" t="s">
        <v>44</v>
      </c>
      <c r="AI394" t="s">
        <v>66</v>
      </c>
      <c r="AJ394">
        <v>98117</v>
      </c>
      <c r="AS394" t="s">
        <v>1209</v>
      </c>
      <c r="AT394">
        <v>19182010</v>
      </c>
      <c r="AU394" s="12">
        <v>39495</v>
      </c>
      <c r="BB394" t="s">
        <v>912</v>
      </c>
      <c r="BC394" s="7">
        <v>39455</v>
      </c>
      <c r="BG394">
        <v>40</v>
      </c>
      <c r="BH394" s="17">
        <f t="shared" ca="1" si="6"/>
        <v>72</v>
      </c>
      <c r="BI394" s="17"/>
      <c r="BJ394" s="17"/>
      <c r="BK394" t="str">
        <f>B394</f>
        <v>Subject To Inspection</v>
      </c>
    </row>
    <row r="395" spans="1:63" hidden="1">
      <c r="A395">
        <v>28000534</v>
      </c>
      <c r="B395" s="2" t="str">
        <f>HYPERLINK("http://www.windermere.com/index.cfm?fuseaction=Listing.ListingDetail&amp;ListingID=19146142","Active")</f>
        <v>Active</v>
      </c>
      <c r="D395" t="s">
        <v>1024</v>
      </c>
      <c r="E395" t="s">
        <v>1210</v>
      </c>
      <c r="F395" s="10">
        <v>590000</v>
      </c>
      <c r="G395" t="s">
        <v>132</v>
      </c>
      <c r="I395">
        <v>7640</v>
      </c>
      <c r="J395">
        <v>3</v>
      </c>
      <c r="K395">
        <v>1.75</v>
      </c>
      <c r="M395" s="2" t="str">
        <f>HYPERLINK("http://www.windermere.com/index.cfm?fuseaction=Listing.MapPropertyInteractive&amp;ListingID=19146142&amp;resize=true&amp;windowWidth=800&amp;windowHeight=600","Map")</f>
        <v>Map</v>
      </c>
      <c r="O395" s="2" t="str">
        <f>HYPERLINK("http://www.windermere.com/index.cfm?fuseaction=Listing.MultiImageViewer&amp;ListingID=19146142&amp;ln=28000534&amp;pub_mls=1","More")</f>
        <v>More</v>
      </c>
      <c r="P395" t="s">
        <v>44</v>
      </c>
      <c r="AI395" t="s">
        <v>66</v>
      </c>
      <c r="AJ395">
        <v>98117</v>
      </c>
      <c r="AS395" t="s">
        <v>1211</v>
      </c>
      <c r="AT395">
        <v>19146142</v>
      </c>
      <c r="AU395" s="12">
        <v>39495</v>
      </c>
      <c r="BB395" t="s">
        <v>912</v>
      </c>
      <c r="BC395" s="7">
        <v>39449</v>
      </c>
      <c r="BG395">
        <v>46</v>
      </c>
      <c r="BH395" s="17">
        <f t="shared" ca="1" si="6"/>
        <v>78</v>
      </c>
      <c r="BI395" s="17"/>
      <c r="BJ395" s="17"/>
    </row>
    <row r="396" spans="1:63" hidden="1">
      <c r="A396">
        <v>28000049</v>
      </c>
      <c r="B396" s="2" t="str">
        <f>HYPERLINK("http://www.windermere.com/index.cfm?fuseaction=Listing.ListingDetail&amp;ListingID=19141822","Active")</f>
        <v>Active</v>
      </c>
      <c r="D396" t="s">
        <v>1024</v>
      </c>
      <c r="E396" t="s">
        <v>1212</v>
      </c>
      <c r="F396" s="10">
        <v>594950</v>
      </c>
      <c r="G396" t="s">
        <v>146</v>
      </c>
      <c r="H396" s="1">
        <v>2300</v>
      </c>
      <c r="I396">
        <v>4756</v>
      </c>
      <c r="J396">
        <v>4</v>
      </c>
      <c r="K396">
        <v>2.5</v>
      </c>
      <c r="M396" s="2" t="str">
        <f>HYPERLINK("http://www.windermere.com/index.cfm?fuseaction=Listing.MapPropertyInteractive&amp;ListingID=19141822&amp;resize=true&amp;windowWidth=800&amp;windowHeight=600","Map")</f>
        <v>Map</v>
      </c>
      <c r="O396" s="2" t="str">
        <f>HYPERLINK("http://www.windermere.com/index.cfm?fuseaction=Listing.MultiImageViewer&amp;ListingID=19141822&amp;ln=28000049&amp;pub_mls=1","More")</f>
        <v>More</v>
      </c>
      <c r="P396" t="s">
        <v>44</v>
      </c>
      <c r="AI396" t="s">
        <v>66</v>
      </c>
      <c r="AJ396">
        <v>98117</v>
      </c>
      <c r="AS396" t="s">
        <v>1213</v>
      </c>
      <c r="AT396">
        <v>19141822</v>
      </c>
      <c r="AU396" s="12">
        <v>39495</v>
      </c>
      <c r="BB396" t="s">
        <v>912</v>
      </c>
      <c r="BC396" s="7">
        <v>39448</v>
      </c>
      <c r="BG396">
        <v>47</v>
      </c>
      <c r="BH396" s="17">
        <f t="shared" ca="1" si="6"/>
        <v>79</v>
      </c>
      <c r="BI396" s="17"/>
      <c r="BJ396" s="17"/>
    </row>
    <row r="397" spans="1:63" hidden="1">
      <c r="A397">
        <v>28023397</v>
      </c>
      <c r="B397" s="2" t="str">
        <f>HYPERLINK("http://www.windermere.com/index.cfm?fuseaction=Listing.ListingDetail&amp;ListingID=19338665","Active")</f>
        <v>Active</v>
      </c>
      <c r="D397" t="s">
        <v>63</v>
      </c>
      <c r="E397" t="s">
        <v>1214</v>
      </c>
      <c r="F397" s="10">
        <v>595000</v>
      </c>
      <c r="G397" t="s">
        <v>1215</v>
      </c>
      <c r="H397" s="1">
        <v>1840</v>
      </c>
      <c r="I397">
        <v>3960</v>
      </c>
      <c r="J397">
        <v>3</v>
      </c>
      <c r="K397">
        <v>2</v>
      </c>
      <c r="M397" s="2" t="str">
        <f>HYPERLINK("http://www.windermere.com/index.cfm?fuseaction=Listing.MapPropertyInteractive&amp;ListingID=19338665&amp;resize=true&amp;windowWidth=800&amp;windowHeight=600","Map")</f>
        <v>Map</v>
      </c>
      <c r="O397" s="2" t="str">
        <f>HYPERLINK("http://www.windermere.com/index.cfm?fuseaction=Listing.MultiImageViewer&amp;ListingID=19338665&amp;ln=28023397&amp;pub_mls=1","More")</f>
        <v>More</v>
      </c>
      <c r="AI397" t="s">
        <v>66</v>
      </c>
      <c r="AJ397">
        <v>98117</v>
      </c>
      <c r="AS397" t="s">
        <v>1216</v>
      </c>
      <c r="AT397">
        <v>19338665</v>
      </c>
      <c r="AU397" s="12">
        <v>39495</v>
      </c>
      <c r="BB397" t="s">
        <v>912</v>
      </c>
      <c r="BC397" s="7">
        <v>39485</v>
      </c>
      <c r="BG397">
        <v>10</v>
      </c>
      <c r="BH397" s="17">
        <f t="shared" ca="1" si="6"/>
        <v>42</v>
      </c>
      <c r="BI397" s="17"/>
      <c r="BJ397" s="17"/>
    </row>
    <row r="398" spans="1:63" hidden="1">
      <c r="A398">
        <v>27214711</v>
      </c>
      <c r="B398" s="2" t="str">
        <f>HYPERLINK("http://www.windermere.com/index.cfm?fuseaction=Listing.ListingDetail&amp;ListingID=19115696","Active")</f>
        <v>Active</v>
      </c>
      <c r="D398" t="s">
        <v>63</v>
      </c>
      <c r="E398" t="s">
        <v>1219</v>
      </c>
      <c r="F398" s="10">
        <v>599000</v>
      </c>
      <c r="G398" t="s">
        <v>137</v>
      </c>
      <c r="H398" s="1">
        <v>2000</v>
      </c>
      <c r="I398">
        <v>5750</v>
      </c>
      <c r="J398">
        <v>3</v>
      </c>
      <c r="K398">
        <v>1.75</v>
      </c>
      <c r="M398" s="2" t="str">
        <f>HYPERLINK("http://www.windermere.com/index.cfm?fuseaction=Listing.MapPropertyInteractive&amp;ListingID=19115696&amp;resize=true&amp;windowWidth=800&amp;windowHeight=600","Map")</f>
        <v>Map</v>
      </c>
      <c r="O398" s="2" t="str">
        <f>HYPERLINK("http://www.windermere.com/index.cfm?fuseaction=Listing.MultiImageViewer&amp;ListingID=19115696&amp;ln=27214711&amp;pub_mls=1","More")</f>
        <v>More</v>
      </c>
      <c r="P398" t="s">
        <v>44</v>
      </c>
      <c r="AI398" t="s">
        <v>66</v>
      </c>
      <c r="AJ398">
        <v>98117</v>
      </c>
      <c r="AS398" t="s">
        <v>1220</v>
      </c>
      <c r="AT398">
        <v>19115696</v>
      </c>
      <c r="AU398" s="12">
        <v>39495</v>
      </c>
      <c r="BB398" t="s">
        <v>912</v>
      </c>
      <c r="BC398" s="7">
        <v>39436</v>
      </c>
      <c r="BG398">
        <v>59</v>
      </c>
      <c r="BH398" s="17">
        <f t="shared" ca="1" si="6"/>
        <v>91</v>
      </c>
      <c r="BI398" s="17"/>
      <c r="BJ398" s="17"/>
    </row>
    <row r="399" spans="1:63" hidden="1">
      <c r="A399">
        <v>28009407</v>
      </c>
      <c r="B399" s="2" t="str">
        <f>HYPERLINK("http://www.windermere.com/index.cfm?fuseaction=Listing.ListingDetail&amp;ListingID=19227645","Active")</f>
        <v>Active</v>
      </c>
      <c r="D399" t="s">
        <v>1024</v>
      </c>
      <c r="E399" t="s">
        <v>1217</v>
      </c>
      <c r="F399" s="13">
        <v>589000</v>
      </c>
      <c r="G399" t="s">
        <v>171</v>
      </c>
      <c r="H399" s="1">
        <v>3020</v>
      </c>
      <c r="J399">
        <v>4</v>
      </c>
      <c r="K399">
        <v>2.5</v>
      </c>
      <c r="M399" s="2" t="str">
        <f>HYPERLINK("http://www.windermere.com/index.cfm?fuseaction=Listing.MapPropertyInteractive&amp;ListingID=19227645&amp;resize=true&amp;windowWidth=800&amp;windowHeight=600","Map")</f>
        <v>Map</v>
      </c>
      <c r="O399" s="2" t="str">
        <f>HYPERLINK("http://www.windermere.com/index.cfm?fuseaction=Listing.MultiImageViewer&amp;ListingID=19227645&amp;ln=28009407&amp;pub_mls=1","More")</f>
        <v>More</v>
      </c>
      <c r="P399" t="s">
        <v>44</v>
      </c>
      <c r="AI399" t="s">
        <v>66</v>
      </c>
      <c r="AJ399">
        <v>98117</v>
      </c>
      <c r="AS399" t="s">
        <v>1218</v>
      </c>
      <c r="AT399">
        <v>19227645</v>
      </c>
      <c r="AU399" s="12">
        <v>39495</v>
      </c>
      <c r="BB399" t="s">
        <v>912</v>
      </c>
      <c r="BC399" s="7">
        <v>39463</v>
      </c>
      <c r="BG399">
        <v>32</v>
      </c>
      <c r="BH399" s="17">
        <f t="shared" ca="1" si="6"/>
        <v>64</v>
      </c>
      <c r="BI399" s="17"/>
      <c r="BJ399" s="17"/>
    </row>
    <row r="400" spans="1:63" hidden="1">
      <c r="A400">
        <v>28011619</v>
      </c>
      <c r="B400" s="2" t="str">
        <f>HYPERLINK("http://www.windermere.com/index.cfm?fuseaction=Listing.ListingDetail&amp;ListingID=19262546","Subject To Inspection")</f>
        <v>Subject To Inspection</v>
      </c>
      <c r="D400" t="s">
        <v>88</v>
      </c>
      <c r="E400" t="s">
        <v>1221</v>
      </c>
      <c r="F400" s="10">
        <v>599900</v>
      </c>
      <c r="G400" t="s">
        <v>173</v>
      </c>
      <c r="H400" s="1">
        <v>2080</v>
      </c>
      <c r="I400">
        <v>5000</v>
      </c>
      <c r="J400">
        <v>2</v>
      </c>
      <c r="K400">
        <v>1</v>
      </c>
      <c r="M400" s="2" t="str">
        <f>HYPERLINK("http://www.windermere.com/index.cfm?fuseaction=Listing.MapPropertyInteractive&amp;ListingID=19262546&amp;resize=true&amp;windowWidth=800&amp;windowHeight=600","Map")</f>
        <v>Map</v>
      </c>
      <c r="O400" s="2" t="str">
        <f>HYPERLINK("http://www.windermere.com/index.cfm?fuseaction=viewGallery.Home&amp;customTourID=204973&amp;wvt=0","More")</f>
        <v>More</v>
      </c>
      <c r="P400" t="s">
        <v>44</v>
      </c>
      <c r="AI400" t="s">
        <v>66</v>
      </c>
      <c r="AJ400">
        <v>98117</v>
      </c>
      <c r="AS400" t="s">
        <v>1222</v>
      </c>
      <c r="AT400">
        <v>19262546</v>
      </c>
      <c r="AU400" s="12">
        <v>39495</v>
      </c>
      <c r="BB400" t="s">
        <v>912</v>
      </c>
      <c r="BC400" s="7">
        <v>39469</v>
      </c>
      <c r="BG400">
        <v>26</v>
      </c>
      <c r="BH400" s="17">
        <f t="shared" ca="1" si="6"/>
        <v>58</v>
      </c>
      <c r="BI400" s="17"/>
      <c r="BJ400" s="17"/>
      <c r="BK400" t="str">
        <f>B400</f>
        <v>Subject To Inspection</v>
      </c>
    </row>
    <row r="401" spans="1:63" hidden="1">
      <c r="A401">
        <v>28028148</v>
      </c>
      <c r="B401" s="2" t="str">
        <f>HYPERLINK("http://www.windermere.com/index.cfm?fuseaction=Listing.ListingDetail&amp;ListingID=19378194","Active")</f>
        <v>Active</v>
      </c>
      <c r="D401" t="s">
        <v>99</v>
      </c>
      <c r="E401" t="s">
        <v>1223</v>
      </c>
      <c r="F401" s="18">
        <v>585000</v>
      </c>
      <c r="G401" t="s">
        <v>124</v>
      </c>
      <c r="H401" s="1">
        <v>2440</v>
      </c>
      <c r="I401">
        <v>8910</v>
      </c>
      <c r="J401">
        <v>3</v>
      </c>
      <c r="K401">
        <v>1.75</v>
      </c>
      <c r="M401" s="2" t="str">
        <f>HYPERLINK("http://www.windermere.com/index.cfm?fuseaction=Listing.MapPropertyInteractive&amp;ListingID=19378194&amp;resize=true&amp;windowWidth=800&amp;windowHeight=600","Map")</f>
        <v>Map</v>
      </c>
      <c r="O401" s="2" t="str">
        <f>HYPERLINK("http://www.windermere.com/index.cfm?fuseaction=Listing.MultiImageViewer&amp;ListingID=19378194&amp;ln=28028148&amp;pub_mls=1","More")</f>
        <v>More</v>
      </c>
      <c r="AI401" t="s">
        <v>66</v>
      </c>
      <c r="AJ401">
        <v>98117</v>
      </c>
      <c r="AS401" t="s">
        <v>1224</v>
      </c>
      <c r="AT401">
        <v>19378194</v>
      </c>
      <c r="AU401" s="12">
        <v>39495</v>
      </c>
      <c r="BB401" t="s">
        <v>912</v>
      </c>
      <c r="BC401" s="7">
        <v>39493</v>
      </c>
      <c r="BG401">
        <v>2</v>
      </c>
      <c r="BH401" s="17">
        <f t="shared" ca="1" si="6"/>
        <v>34</v>
      </c>
      <c r="BI401" s="17"/>
      <c r="BJ401" s="17"/>
    </row>
    <row r="402" spans="1:63" hidden="1">
      <c r="A402">
        <v>28023849</v>
      </c>
      <c r="B402" s="2" t="str">
        <f>HYPERLINK("http://www.windermere.com/index.cfm?fuseaction=Listing.ListingDetail&amp;ListingID=19342514","Active")</f>
        <v>Active</v>
      </c>
      <c r="D402" t="s">
        <v>99</v>
      </c>
      <c r="E402" t="s">
        <v>1225</v>
      </c>
      <c r="F402" s="18">
        <v>599950</v>
      </c>
      <c r="G402" t="s">
        <v>146</v>
      </c>
      <c r="H402" s="1">
        <v>1720</v>
      </c>
      <c r="I402">
        <v>11653</v>
      </c>
      <c r="J402">
        <v>3</v>
      </c>
      <c r="K402">
        <v>1.5</v>
      </c>
      <c r="M402" s="2" t="str">
        <f>HYPERLINK("http://www.windermere.com/index.cfm?fuseaction=Listing.MapPropertyInteractive&amp;ListingID=19342514&amp;resize=true&amp;windowWidth=800&amp;windowHeight=600","Map")</f>
        <v>Map</v>
      </c>
      <c r="O402" s="2" t="str">
        <f>HYPERLINK("http://www.windermere.com/index.cfm?fuseaction=Listing.MultiImageViewer&amp;ListingID=19342514&amp;ln=28023849&amp;pub_mls=1","More")</f>
        <v>More</v>
      </c>
      <c r="P402" t="s">
        <v>44</v>
      </c>
      <c r="AI402" t="s">
        <v>66</v>
      </c>
      <c r="AJ402">
        <v>98117</v>
      </c>
      <c r="AS402" t="s">
        <v>1226</v>
      </c>
      <c r="AT402">
        <v>19342514</v>
      </c>
      <c r="AU402" s="12">
        <v>39495</v>
      </c>
      <c r="BB402" t="s">
        <v>912</v>
      </c>
      <c r="BC402" s="7">
        <v>39486</v>
      </c>
      <c r="BG402">
        <v>9</v>
      </c>
      <c r="BH402" s="17">
        <f t="shared" ca="1" si="6"/>
        <v>41</v>
      </c>
      <c r="BI402" s="17"/>
      <c r="BJ402" s="17"/>
    </row>
    <row r="403" spans="1:63" hidden="1">
      <c r="A403">
        <v>27138728</v>
      </c>
      <c r="B403" s="2" t="str">
        <f>HYPERLINK("http://www.windermere.com/index.cfm?fuseaction=Listing.ListingDetail&amp;ListingID=19481214","Active")</f>
        <v>Active</v>
      </c>
      <c r="D403" t="s">
        <v>101</v>
      </c>
      <c r="E403" t="s">
        <v>1227</v>
      </c>
      <c r="F403" s="10">
        <v>625000</v>
      </c>
      <c r="G403" t="s">
        <v>168</v>
      </c>
      <c r="H403" s="1">
        <v>2140</v>
      </c>
      <c r="I403">
        <v>6600</v>
      </c>
      <c r="J403">
        <v>4</v>
      </c>
      <c r="K403">
        <v>1.75</v>
      </c>
      <c r="M403" s="2" t="str">
        <f>HYPERLINK("http://www.windermere.com/index.cfm?fuseaction=Listing.MapPropertyInteractive&amp;ListingID=19481214&amp;resize=true&amp;windowWidth=800&amp;windowHeight=600","Map")</f>
        <v>Map</v>
      </c>
      <c r="O403" s="2" t="str">
        <f>HYPERLINK("http://www.windermere.com/index.cfm?fuseaction=Listing.MultiImageViewer&amp;ListingID=19481214&amp;ln=27138728&amp;pub_mls=1","More")</f>
        <v>More</v>
      </c>
      <c r="P403" t="s">
        <v>44</v>
      </c>
      <c r="AI403" t="s">
        <v>66</v>
      </c>
      <c r="AJ403">
        <v>98117</v>
      </c>
      <c r="AS403" s="3" t="s">
        <v>1697</v>
      </c>
      <c r="AT403" s="3">
        <v>19481214</v>
      </c>
      <c r="AU403" s="12">
        <v>39495</v>
      </c>
      <c r="BB403" t="s">
        <v>912</v>
      </c>
      <c r="BC403" s="7">
        <v>39293</v>
      </c>
      <c r="BD403">
        <v>2</v>
      </c>
      <c r="BG403">
        <v>202</v>
      </c>
      <c r="BH403" s="17">
        <f t="shared" ca="1" si="6"/>
        <v>234</v>
      </c>
      <c r="BI403" s="17"/>
      <c r="BJ403" s="17"/>
    </row>
    <row r="404" spans="1:63" hidden="1">
      <c r="A404">
        <v>28025594</v>
      </c>
      <c r="B404" s="2" t="str">
        <f>HYPERLINK("http://www.windermere.com/index.cfm?fuseaction=Listing.ListingDetail&amp;ListingID=19356196","Active")</f>
        <v>Active</v>
      </c>
      <c r="D404" t="s">
        <v>88</v>
      </c>
      <c r="E404" t="s">
        <v>1229</v>
      </c>
      <c r="F404" s="18">
        <v>612500</v>
      </c>
      <c r="G404" t="s">
        <v>440</v>
      </c>
      <c r="H404" s="1">
        <v>3380</v>
      </c>
      <c r="I404">
        <v>3750</v>
      </c>
      <c r="J404" s="3">
        <v>4</v>
      </c>
      <c r="K404">
        <v>2.5</v>
      </c>
      <c r="M404" s="2" t="str">
        <f>HYPERLINK("http://www.windermere.com/index.cfm?fuseaction=Listing.MapPropertyInteractive&amp;ListingID=19356196&amp;resize=true&amp;windowWidth=800&amp;windowHeight=600","Map")</f>
        <v>Map</v>
      </c>
      <c r="O404" s="2" t="str">
        <f>HYPERLINK("http://www.windermere.com/index.cfm?fuseaction=Listing.MultiImageViewer&amp;ListingID=19356196&amp;ln=28025594&amp;pub_mls=1","More")</f>
        <v>More</v>
      </c>
      <c r="P404" t="s">
        <v>44</v>
      </c>
      <c r="AI404" t="s">
        <v>66</v>
      </c>
      <c r="AJ404">
        <v>98117</v>
      </c>
      <c r="AS404" t="s">
        <v>1230</v>
      </c>
      <c r="AT404">
        <v>19356196</v>
      </c>
      <c r="AU404" s="12">
        <v>39495</v>
      </c>
      <c r="BB404" t="s">
        <v>912</v>
      </c>
      <c r="BC404" s="7">
        <v>39490</v>
      </c>
      <c r="BG404">
        <v>5</v>
      </c>
      <c r="BH404" s="17">
        <f t="shared" ca="1" si="6"/>
        <v>37</v>
      </c>
      <c r="BI404" s="17"/>
      <c r="BJ404" s="17"/>
    </row>
    <row r="405" spans="1:63" hidden="1">
      <c r="A405">
        <v>28024868</v>
      </c>
      <c r="B405" s="2" t="str">
        <f>HYPERLINK("http://www.windermere.com/index.cfm?fuseaction=Listing.ListingDetail&amp;ListingID=19351026","Active")</f>
        <v>Active</v>
      </c>
      <c r="D405" t="s">
        <v>101</v>
      </c>
      <c r="E405" t="s">
        <v>1231</v>
      </c>
      <c r="F405" s="10">
        <v>659950</v>
      </c>
      <c r="G405" t="s">
        <v>147</v>
      </c>
      <c r="H405" s="1">
        <v>2659</v>
      </c>
      <c r="J405">
        <v>4</v>
      </c>
      <c r="K405">
        <v>3.5</v>
      </c>
      <c r="M405" s="2" t="str">
        <f>HYPERLINK("http://www.windermere.com/index.cfm?fuseaction=Listing.MapPropertyInteractive&amp;ListingID=19351026&amp;resize=true&amp;windowWidth=800&amp;windowHeight=600","Map")</f>
        <v>Map</v>
      </c>
      <c r="O405" s="2" t="str">
        <f>HYPERLINK("http://www.windermere.com/index.cfm?fuseaction=viewGallery.Home&amp;customTourID=210040&amp;wvt=0","More")</f>
        <v>More</v>
      </c>
      <c r="AI405" t="s">
        <v>66</v>
      </c>
      <c r="AJ405">
        <v>98117</v>
      </c>
      <c r="AS405" t="s">
        <v>1232</v>
      </c>
      <c r="AT405">
        <v>19351026</v>
      </c>
      <c r="AU405" s="12">
        <v>39495</v>
      </c>
      <c r="BB405" t="s">
        <v>912</v>
      </c>
      <c r="BC405" s="7">
        <v>39489</v>
      </c>
      <c r="BG405">
        <v>6</v>
      </c>
      <c r="BH405" s="17">
        <f t="shared" ca="1" si="6"/>
        <v>38</v>
      </c>
      <c r="BI405" s="17"/>
      <c r="BJ405" s="17"/>
    </row>
    <row r="406" spans="1:63" hidden="1">
      <c r="A406">
        <v>27187552</v>
      </c>
      <c r="B406" s="2" t="str">
        <f>HYPERLINK("http://www.windermere.com/index.cfm?fuseaction=Listing.ListingDetail&amp;ListingID=18825661","Subject To Inspection")</f>
        <v>Subject To Inspection</v>
      </c>
      <c r="D406" t="s">
        <v>63</v>
      </c>
      <c r="E406" t="s">
        <v>1233</v>
      </c>
      <c r="F406" s="10">
        <v>669500</v>
      </c>
      <c r="G406" t="s">
        <v>147</v>
      </c>
      <c r="H406" s="1">
        <v>2425</v>
      </c>
      <c r="J406">
        <v>4</v>
      </c>
      <c r="K406">
        <v>3.5</v>
      </c>
      <c r="M406" s="2" t="str">
        <f>HYPERLINK("http://www.windermere.com/index.cfm?fuseaction=Listing.MapPropertyInteractive&amp;ListingID=18825661&amp;resize=true&amp;windowWidth=800&amp;windowHeight=600","Map")</f>
        <v>Map</v>
      </c>
      <c r="O406" s="2" t="str">
        <f>HYPERLINK("http://www.windermere.com/index.cfm?fuseaction=viewGallery.Home&amp;customTourID=197563&amp;wvt=0","More")</f>
        <v>More</v>
      </c>
      <c r="AI406" t="s">
        <v>66</v>
      </c>
      <c r="AJ406">
        <v>98117</v>
      </c>
      <c r="AS406" t="s">
        <v>1234</v>
      </c>
      <c r="AT406">
        <v>18825661</v>
      </c>
      <c r="AU406" s="12">
        <v>39495</v>
      </c>
      <c r="BB406" t="s">
        <v>912</v>
      </c>
      <c r="BC406" s="7">
        <v>39372</v>
      </c>
      <c r="BG406">
        <v>123</v>
      </c>
      <c r="BH406" s="17">
        <f t="shared" ca="1" si="6"/>
        <v>155</v>
      </c>
      <c r="BI406" s="17"/>
      <c r="BJ406" s="17"/>
      <c r="BK406" t="str">
        <f>B406</f>
        <v>Subject To Inspection</v>
      </c>
    </row>
    <row r="407" spans="1:63" hidden="1">
      <c r="A407">
        <v>27203745</v>
      </c>
      <c r="B407" s="2" t="str">
        <f>HYPERLINK("http://www.windermere.com/index.cfm?fuseaction=Listing.ListingDetail&amp;ListingID=18992860","Active")</f>
        <v>Active</v>
      </c>
      <c r="D407" t="s">
        <v>63</v>
      </c>
      <c r="E407" t="s">
        <v>1235</v>
      </c>
      <c r="F407" s="10">
        <v>674950</v>
      </c>
      <c r="G407" t="s">
        <v>134</v>
      </c>
      <c r="H407" s="1">
        <v>2140</v>
      </c>
      <c r="I407">
        <v>3877</v>
      </c>
      <c r="J407">
        <v>3</v>
      </c>
      <c r="K407">
        <v>2.75</v>
      </c>
      <c r="M407" s="2" t="str">
        <f>HYPERLINK("http://www.windermere.com/index.cfm?fuseaction=Listing.MapPropertyInteractive&amp;ListingID=18992860&amp;resize=true&amp;windowWidth=800&amp;windowHeight=600","Map")</f>
        <v>Map</v>
      </c>
      <c r="O407" s="2" t="str">
        <f>HYPERLINK("http://www.windermere.com/index.cfm?fuseaction=Listing.MultiImageViewer&amp;ListingID=18992860&amp;ln=27203745&amp;pub_mls=1","More")</f>
        <v>More</v>
      </c>
      <c r="P407" t="s">
        <v>44</v>
      </c>
      <c r="AI407" t="s">
        <v>66</v>
      </c>
      <c r="AJ407">
        <v>98117</v>
      </c>
      <c r="AS407" t="s">
        <v>1236</v>
      </c>
      <c r="AT407">
        <v>18992860</v>
      </c>
      <c r="AU407" s="12">
        <v>39495</v>
      </c>
      <c r="BB407" t="s">
        <v>912</v>
      </c>
      <c r="BC407" s="7">
        <v>39489</v>
      </c>
      <c r="BG407">
        <v>93</v>
      </c>
      <c r="BH407" s="17">
        <f t="shared" ca="1" si="6"/>
        <v>38</v>
      </c>
      <c r="BI407" s="17"/>
      <c r="BJ407" s="17"/>
    </row>
    <row r="408" spans="1:63" hidden="1">
      <c r="A408">
        <v>27212473</v>
      </c>
      <c r="B408" s="2" t="str">
        <f>HYPERLINK("http://www.windermere.com/index.cfm?fuseaction=Listing.ListingDetail&amp;ListingID=19092155","Active")</f>
        <v>Active</v>
      </c>
      <c r="D408" t="s">
        <v>63</v>
      </c>
      <c r="E408" t="s">
        <v>1237</v>
      </c>
      <c r="F408" s="10">
        <v>674950</v>
      </c>
      <c r="G408" t="s">
        <v>135</v>
      </c>
      <c r="H408" s="1">
        <v>2260</v>
      </c>
      <c r="J408">
        <v>4</v>
      </c>
      <c r="K408">
        <v>2.25</v>
      </c>
      <c r="M408" s="2" t="str">
        <f>HYPERLINK("http://www.windermere.com/index.cfm?fuseaction=Listing.MapPropertyInteractive&amp;ListingID=19092155&amp;resize=true&amp;windowWidth=800&amp;windowHeight=600","Map")</f>
        <v>Map</v>
      </c>
      <c r="O408" s="2" t="str">
        <f>HYPERLINK("http://www.windermere.com/index.cfm?fuseaction=Listing.MultiImageViewer&amp;ListingID=19092155&amp;ln=27212473&amp;pub_mls=1","More")</f>
        <v>More</v>
      </c>
      <c r="AI408" t="s">
        <v>66</v>
      </c>
      <c r="AJ408">
        <v>98117</v>
      </c>
      <c r="AS408" t="s">
        <v>1238</v>
      </c>
      <c r="AT408">
        <v>19092155</v>
      </c>
      <c r="AU408" s="12">
        <v>39495</v>
      </c>
      <c r="BB408" t="s">
        <v>912</v>
      </c>
      <c r="BC408" s="7">
        <v>39429</v>
      </c>
      <c r="BG408">
        <v>69</v>
      </c>
      <c r="BH408" s="17">
        <f t="shared" ca="1" si="6"/>
        <v>98</v>
      </c>
      <c r="BI408" s="17"/>
      <c r="BJ408" s="17"/>
      <c r="BK408" t="s">
        <v>1414</v>
      </c>
    </row>
    <row r="409" spans="1:63" hidden="1">
      <c r="A409">
        <v>27207281</v>
      </c>
      <c r="B409" s="2" t="str">
        <f>HYPERLINK("http://www.windermere.com/index.cfm?fuseaction=Listing.ListingDetail&amp;ListingID=19034826","Active")</f>
        <v>Active</v>
      </c>
      <c r="D409" t="s">
        <v>1239</v>
      </c>
      <c r="E409" t="s">
        <v>1240</v>
      </c>
      <c r="F409" s="13">
        <v>629950</v>
      </c>
      <c r="G409" t="s">
        <v>247</v>
      </c>
      <c r="H409" s="1">
        <v>1785</v>
      </c>
      <c r="J409">
        <v>3</v>
      </c>
      <c r="K409">
        <v>2.5</v>
      </c>
      <c r="M409" s="2" t="str">
        <f>HYPERLINK("http://www.windermere.com/index.cfm?fuseaction=Listing.MapPropertyInteractive&amp;ListingID=19034826&amp;resize=true&amp;windowWidth=800&amp;windowHeight=600","Map")</f>
        <v>Map</v>
      </c>
      <c r="O409" s="2" t="str">
        <f>HYPERLINK("http://www.windermere.com/index.cfm?fuseaction=Listing.MultiImageViewer&amp;ListingID=19034826&amp;ln=27207281&amp;pub_mls=1","More")</f>
        <v>More</v>
      </c>
      <c r="P409" t="s">
        <v>44</v>
      </c>
      <c r="AI409" t="s">
        <v>66</v>
      </c>
      <c r="AJ409">
        <v>98117</v>
      </c>
      <c r="AS409" t="s">
        <v>1241</v>
      </c>
      <c r="AT409">
        <v>19034826</v>
      </c>
      <c r="AU409" s="12">
        <v>39495</v>
      </c>
      <c r="BB409" t="s">
        <v>912</v>
      </c>
      <c r="BC409" s="7">
        <v>39416</v>
      </c>
      <c r="BG409">
        <v>82</v>
      </c>
      <c r="BH409" s="17">
        <f t="shared" ca="1" si="6"/>
        <v>111</v>
      </c>
      <c r="BI409" s="17"/>
      <c r="BJ409" s="17"/>
    </row>
    <row r="410" spans="1:63" hidden="1">
      <c r="A410">
        <v>28011311</v>
      </c>
      <c r="B410" s="2" t="str">
        <f>HYPERLINK("http://www.windermere.com/index.cfm?fuseaction=Listing.ListingDetail&amp;ListingID=19243527","Active")</f>
        <v>Active</v>
      </c>
      <c r="D410" t="s">
        <v>63</v>
      </c>
      <c r="E410" t="s">
        <v>1242</v>
      </c>
      <c r="F410" s="10">
        <v>695000</v>
      </c>
      <c r="G410" t="s">
        <v>177</v>
      </c>
      <c r="H410" s="1">
        <v>1940</v>
      </c>
      <c r="I410">
        <v>3000</v>
      </c>
      <c r="J410">
        <v>3</v>
      </c>
      <c r="K410">
        <v>2.75</v>
      </c>
      <c r="M410" s="2" t="str">
        <f>HYPERLINK("http://www.windermere.com/index.cfm?fuseaction=Listing.MapPropertyInteractive&amp;ListingID=19243527&amp;resize=true&amp;windowWidth=800&amp;windowHeight=600","Map")</f>
        <v>Map</v>
      </c>
      <c r="O410" s="2" t="str">
        <f>HYPERLINK("http://www.windermere.com/index.cfm?fuseaction=Listing.MultiImageViewer&amp;ListingID=19243527&amp;ln=28011311&amp;pub_mls=1","More")</f>
        <v>More</v>
      </c>
      <c r="P410" t="s">
        <v>44</v>
      </c>
      <c r="AI410" t="s">
        <v>66</v>
      </c>
      <c r="AJ410">
        <v>98117</v>
      </c>
      <c r="AS410" t="s">
        <v>1243</v>
      </c>
      <c r="AT410">
        <v>19243527</v>
      </c>
      <c r="AU410" s="12">
        <v>39495</v>
      </c>
      <c r="BB410" t="s">
        <v>912</v>
      </c>
      <c r="BC410" s="7">
        <v>39465</v>
      </c>
      <c r="BG410">
        <v>33</v>
      </c>
      <c r="BH410" s="17">
        <f t="shared" ca="1" si="6"/>
        <v>62</v>
      </c>
      <c r="BI410" s="17"/>
      <c r="BJ410" s="17"/>
    </row>
    <row r="411" spans="1:63" hidden="1">
      <c r="A411">
        <v>28004731</v>
      </c>
      <c r="B411" s="2" t="str">
        <f>HYPERLINK("http://www.windermere.com/index.cfm?fuseaction=Listing.ListingDetail&amp;ListingID=19181505","Active")</f>
        <v>Active</v>
      </c>
      <c r="D411" t="s">
        <v>1239</v>
      </c>
      <c r="E411" t="s">
        <v>1250</v>
      </c>
      <c r="F411" s="13">
        <v>689950</v>
      </c>
      <c r="G411" t="s">
        <v>247</v>
      </c>
      <c r="H411" s="1">
        <v>2093</v>
      </c>
      <c r="J411">
        <v>3</v>
      </c>
      <c r="K411">
        <v>2.5</v>
      </c>
      <c r="M411" s="2" t="str">
        <f>HYPERLINK("http://www.windermere.com/index.cfm?fuseaction=Listing.MapPropertyInteractive&amp;ListingID=19181505&amp;resize=true&amp;windowWidth=800&amp;windowHeight=600","Map")</f>
        <v>Map</v>
      </c>
      <c r="O411" s="2" t="str">
        <f>HYPERLINK("http://www.windermere.com/index.cfm?fuseaction=Listing.MultiImageViewer&amp;ListingID=19181505&amp;ln=28004731&amp;pub_mls=1","More")</f>
        <v>More</v>
      </c>
      <c r="P411" t="s">
        <v>44</v>
      </c>
      <c r="AI411" t="s">
        <v>66</v>
      </c>
      <c r="AJ411">
        <v>98117</v>
      </c>
      <c r="AS411" t="s">
        <v>1251</v>
      </c>
      <c r="AT411">
        <v>19181505</v>
      </c>
      <c r="AU411" s="12">
        <v>39495</v>
      </c>
      <c r="BB411" t="s">
        <v>912</v>
      </c>
      <c r="BC411" s="7">
        <v>39455</v>
      </c>
      <c r="BG411">
        <v>43</v>
      </c>
      <c r="BH411" s="17">
        <f t="shared" ca="1" si="6"/>
        <v>72</v>
      </c>
      <c r="BI411" s="17"/>
      <c r="BJ411" s="17"/>
    </row>
    <row r="412" spans="1:63" hidden="1">
      <c r="A412">
        <v>28004734</v>
      </c>
      <c r="B412" s="2" t="str">
        <f>HYPERLINK("http://www.windermere.com/index.cfm?fuseaction=Listing.ListingDetail&amp;ListingID=19181506","Active")</f>
        <v>Active</v>
      </c>
      <c r="D412" t="s">
        <v>1239</v>
      </c>
      <c r="E412" t="s">
        <v>1244</v>
      </c>
      <c r="F412" s="13">
        <v>689950</v>
      </c>
      <c r="G412" t="s">
        <v>247</v>
      </c>
      <c r="H412" s="1">
        <v>2094</v>
      </c>
      <c r="J412">
        <v>3</v>
      </c>
      <c r="K412">
        <v>2.5</v>
      </c>
      <c r="M412" s="2" t="str">
        <f>HYPERLINK("http://www.windermere.com/index.cfm?fuseaction=Listing.MapPropertyInteractive&amp;ListingID=19181506&amp;resize=true&amp;windowWidth=800&amp;windowHeight=600","Map")</f>
        <v>Map</v>
      </c>
      <c r="O412" s="2" t="str">
        <f>HYPERLINK("http://www.windermere.com/index.cfm?fuseaction=Listing.MultiImageViewer&amp;ListingID=19181506&amp;ln=28004734&amp;pub_mls=1","More")</f>
        <v>More</v>
      </c>
      <c r="P412" t="s">
        <v>44</v>
      </c>
      <c r="AI412" t="s">
        <v>66</v>
      </c>
      <c r="AJ412">
        <v>98117</v>
      </c>
      <c r="AS412" t="s">
        <v>1245</v>
      </c>
      <c r="AT412">
        <v>19181506</v>
      </c>
      <c r="AU412" s="12">
        <v>39495</v>
      </c>
      <c r="BB412" t="s">
        <v>912</v>
      </c>
      <c r="BC412" s="7">
        <v>39455</v>
      </c>
      <c r="BG412">
        <v>43</v>
      </c>
      <c r="BH412" s="17">
        <f t="shared" ca="1" si="6"/>
        <v>72</v>
      </c>
      <c r="BI412" s="17"/>
      <c r="BJ412" s="17"/>
    </row>
    <row r="413" spans="1:63" hidden="1">
      <c r="A413">
        <v>28004743</v>
      </c>
      <c r="B413" s="2" t="str">
        <f>HYPERLINK("http://www.windermere.com/index.cfm?fuseaction=Listing.ListingDetail&amp;ListingID=19181512","Active")</f>
        <v>Active</v>
      </c>
      <c r="D413" t="s">
        <v>1239</v>
      </c>
      <c r="E413" t="s">
        <v>1246</v>
      </c>
      <c r="F413" s="13">
        <v>689950</v>
      </c>
      <c r="G413" t="s">
        <v>247</v>
      </c>
      <c r="H413" s="1">
        <v>2093</v>
      </c>
      <c r="J413">
        <v>3</v>
      </c>
      <c r="K413">
        <v>2.5</v>
      </c>
      <c r="M413" s="2" t="str">
        <f>HYPERLINK("http://www.windermere.com/index.cfm?fuseaction=Listing.MapPropertyInteractive&amp;ListingID=19181512&amp;resize=true&amp;windowWidth=800&amp;windowHeight=600","Map")</f>
        <v>Map</v>
      </c>
      <c r="O413" s="2" t="str">
        <f>HYPERLINK("http://www.windermere.com/index.cfm?fuseaction=Listing.MultiImageViewer&amp;ListingID=19181512&amp;ln=28004743&amp;pub_mls=1","More")</f>
        <v>More</v>
      </c>
      <c r="P413" t="s">
        <v>44</v>
      </c>
      <c r="AI413" t="s">
        <v>66</v>
      </c>
      <c r="AJ413">
        <v>98117</v>
      </c>
      <c r="AS413" t="s">
        <v>1247</v>
      </c>
      <c r="AT413">
        <v>19181512</v>
      </c>
      <c r="AU413" s="12">
        <v>39495</v>
      </c>
      <c r="BB413" t="s">
        <v>912</v>
      </c>
      <c r="BC413" s="7">
        <v>39455</v>
      </c>
      <c r="BG413">
        <v>43</v>
      </c>
      <c r="BH413" s="17">
        <f t="shared" ca="1" si="6"/>
        <v>72</v>
      </c>
      <c r="BI413" s="17"/>
      <c r="BJ413" s="17"/>
    </row>
    <row r="414" spans="1:63" hidden="1">
      <c r="A414">
        <v>28004745</v>
      </c>
      <c r="B414" s="2" t="str">
        <f>HYPERLINK("http://www.windermere.com/index.cfm?fuseaction=Listing.ListingDetail&amp;ListingID=19181513","Active")</f>
        <v>Active</v>
      </c>
      <c r="D414" t="s">
        <v>1239</v>
      </c>
      <c r="E414" t="s">
        <v>1248</v>
      </c>
      <c r="F414" s="13">
        <v>694950</v>
      </c>
      <c r="G414" t="s">
        <v>247</v>
      </c>
      <c r="H414" s="1">
        <v>2094</v>
      </c>
      <c r="J414">
        <v>3</v>
      </c>
      <c r="K414">
        <v>2.5</v>
      </c>
      <c r="M414" s="2" t="str">
        <f>HYPERLINK("http://www.windermere.com/index.cfm?fuseaction=Listing.MapPropertyInteractive&amp;ListingID=19181513&amp;resize=true&amp;windowWidth=800&amp;windowHeight=600","Map")</f>
        <v>Map</v>
      </c>
      <c r="O414" s="2" t="str">
        <f>HYPERLINK("http://www.windermere.com/index.cfm?fuseaction=Listing.MultiImageViewer&amp;ListingID=19181513&amp;ln=28004745&amp;pub_mls=1","More")</f>
        <v>More</v>
      </c>
      <c r="P414" t="s">
        <v>44</v>
      </c>
      <c r="AI414" t="s">
        <v>66</v>
      </c>
      <c r="AJ414">
        <v>98117</v>
      </c>
      <c r="AS414" t="s">
        <v>1249</v>
      </c>
      <c r="AT414">
        <v>19181513</v>
      </c>
      <c r="AU414" s="12">
        <v>39495</v>
      </c>
      <c r="BB414" t="s">
        <v>912</v>
      </c>
      <c r="BC414" s="7">
        <v>39455</v>
      </c>
      <c r="BG414">
        <v>43</v>
      </c>
      <c r="BH414" s="17">
        <f t="shared" ca="1" si="6"/>
        <v>72</v>
      </c>
      <c r="BI414" s="17"/>
      <c r="BJ414" s="17"/>
    </row>
    <row r="415" spans="1:63" hidden="1">
      <c r="A415">
        <v>28027450</v>
      </c>
      <c r="B415" s="2" t="str">
        <f>HYPERLINK("http://www.windermere.com/index.cfm?fuseaction=Listing.ListingDetail&amp;ListingID=19373391","Active")</f>
        <v>Active</v>
      </c>
      <c r="D415" t="s">
        <v>1203</v>
      </c>
      <c r="E415" t="s">
        <v>1252</v>
      </c>
      <c r="F415" s="10">
        <v>700000</v>
      </c>
      <c r="G415" t="s">
        <v>419</v>
      </c>
      <c r="H415" s="1">
        <v>2550</v>
      </c>
      <c r="I415">
        <v>7440</v>
      </c>
      <c r="J415">
        <v>3</v>
      </c>
      <c r="K415">
        <v>2.5</v>
      </c>
      <c r="M415" s="2" t="str">
        <f>HYPERLINK("http://www.windermere.com/index.cfm?fuseaction=Listing.MapPropertyInteractive&amp;ListingID=19373391&amp;resize=true&amp;windowWidth=800&amp;windowHeight=600","Map")</f>
        <v>Map</v>
      </c>
      <c r="O415" s="2" t="str">
        <f>HYPERLINK("http://www.windermere.com/index.cfm?fuseaction=Listing.MultiImageViewer&amp;ListingID=19373391&amp;ln=28027450&amp;pub_mls=1","More")</f>
        <v>More</v>
      </c>
      <c r="P415" t="s">
        <v>44</v>
      </c>
      <c r="AI415" t="s">
        <v>66</v>
      </c>
      <c r="AJ415">
        <v>98117</v>
      </c>
      <c r="AS415" t="s">
        <v>1253</v>
      </c>
      <c r="AT415">
        <v>19373391</v>
      </c>
      <c r="AU415" s="12">
        <v>39495</v>
      </c>
      <c r="BB415" t="s">
        <v>912</v>
      </c>
      <c r="BC415" s="7">
        <v>39492</v>
      </c>
      <c r="BG415">
        <v>6</v>
      </c>
      <c r="BH415" s="17">
        <f t="shared" ca="1" si="6"/>
        <v>35</v>
      </c>
      <c r="BI415" s="17"/>
      <c r="BJ415" s="17"/>
    </row>
    <row r="416" spans="1:63" hidden="1">
      <c r="A416">
        <v>28004740</v>
      </c>
      <c r="B416" s="2" t="str">
        <f>HYPERLINK("http://www.windermere.com/index.cfm?fuseaction=Listing.ListingDetail&amp;ListingID=19181511","Active")</f>
        <v>Active</v>
      </c>
      <c r="D416" t="s">
        <v>1239</v>
      </c>
      <c r="E416" t="s">
        <v>1254</v>
      </c>
      <c r="F416" s="13">
        <v>689950</v>
      </c>
      <c r="G416" t="s">
        <v>247</v>
      </c>
      <c r="H416" s="1">
        <v>2072</v>
      </c>
      <c r="J416">
        <v>3</v>
      </c>
      <c r="K416">
        <v>2.5</v>
      </c>
      <c r="M416" s="2" t="str">
        <f>HYPERLINK("http://www.windermere.com/index.cfm?fuseaction=Listing.MapPropertyInteractive&amp;ListingID=19181511&amp;resize=true&amp;windowWidth=800&amp;windowHeight=600","Map")</f>
        <v>Map</v>
      </c>
      <c r="O416" s="2" t="str">
        <f>HYPERLINK("http://www.windermere.com/index.cfm?fuseaction=Listing.MultiImageViewer&amp;ListingID=19181511&amp;ln=28004740&amp;pub_mls=1","More")</f>
        <v>More</v>
      </c>
      <c r="P416" t="s">
        <v>44</v>
      </c>
      <c r="AI416" t="s">
        <v>66</v>
      </c>
      <c r="AJ416">
        <v>98117</v>
      </c>
      <c r="AS416" t="s">
        <v>1255</v>
      </c>
      <c r="AT416">
        <v>19181511</v>
      </c>
      <c r="AU416" s="12">
        <v>39495</v>
      </c>
      <c r="BB416" t="s">
        <v>912</v>
      </c>
      <c r="BC416" s="7">
        <v>39455</v>
      </c>
      <c r="BG416">
        <v>43</v>
      </c>
      <c r="BH416" s="17">
        <f t="shared" ca="1" si="6"/>
        <v>72</v>
      </c>
      <c r="BI416" s="17"/>
      <c r="BJ416" s="17"/>
    </row>
    <row r="417" spans="1:62" hidden="1">
      <c r="A417">
        <v>28004738</v>
      </c>
      <c r="B417" s="2" t="str">
        <f>HYPERLINK("http://www.windermere.com/index.cfm?fuseaction=Listing.ListingDetail&amp;ListingID=19181507","Active")</f>
        <v>Active</v>
      </c>
      <c r="D417" t="s">
        <v>1239</v>
      </c>
      <c r="E417" t="s">
        <v>1256</v>
      </c>
      <c r="F417" s="13">
        <v>699950</v>
      </c>
      <c r="G417" t="s">
        <v>247</v>
      </c>
      <c r="H417" s="1">
        <v>2089</v>
      </c>
      <c r="J417">
        <v>3</v>
      </c>
      <c r="K417">
        <v>2.5</v>
      </c>
      <c r="M417" s="2" t="str">
        <f>HYPERLINK("http://www.windermere.com/index.cfm?fuseaction=Listing.MapPropertyInteractive&amp;ListingID=19181507&amp;resize=true&amp;windowWidth=800&amp;windowHeight=600","Map")</f>
        <v>Map</v>
      </c>
      <c r="O417" s="2" t="str">
        <f>HYPERLINK("http://www.windermere.com/index.cfm?fuseaction=Listing.MultiImageViewer&amp;ListingID=19181507&amp;ln=28004738&amp;pub_mls=1","More")</f>
        <v>More</v>
      </c>
      <c r="P417" t="s">
        <v>44</v>
      </c>
      <c r="AI417" t="s">
        <v>66</v>
      </c>
      <c r="AJ417">
        <v>98117</v>
      </c>
      <c r="AS417" t="s">
        <v>1257</v>
      </c>
      <c r="AT417">
        <v>19181507</v>
      </c>
      <c r="AU417" s="12">
        <v>39495</v>
      </c>
      <c r="BB417" t="s">
        <v>912</v>
      </c>
      <c r="BC417" s="7">
        <v>39455</v>
      </c>
      <c r="BG417">
        <v>43</v>
      </c>
      <c r="BH417" s="17">
        <f t="shared" ca="1" si="6"/>
        <v>72</v>
      </c>
      <c r="BI417" s="17"/>
      <c r="BJ417" s="17"/>
    </row>
    <row r="418" spans="1:62" hidden="1">
      <c r="A418">
        <v>28000387</v>
      </c>
      <c r="B418" s="2" t="str">
        <f>HYPERLINK("http://www.windermere.com/index.cfm?fuseaction=Listing.ListingDetail&amp;ListingID=19143759","Active")</f>
        <v>Active</v>
      </c>
      <c r="D418" t="s">
        <v>101</v>
      </c>
      <c r="E418" t="s">
        <v>1258</v>
      </c>
      <c r="F418" s="10">
        <v>729000</v>
      </c>
      <c r="G418" t="s">
        <v>162</v>
      </c>
      <c r="H418" s="21">
        <v>2200</v>
      </c>
      <c r="I418">
        <v>7094</v>
      </c>
      <c r="J418">
        <v>3</v>
      </c>
      <c r="K418">
        <v>2</v>
      </c>
      <c r="M418" s="2" t="str">
        <f>HYPERLINK("http://www.windermere.com/index.cfm?fuseaction=Listing.MapPropertyInteractive&amp;ListingID=19143759&amp;resize=true&amp;windowWidth=800&amp;windowHeight=600","Map")</f>
        <v>Map</v>
      </c>
      <c r="O418" s="2" t="str">
        <f>HYPERLINK("http://www.windermere.com/index.cfm?fuseaction=Listing.MultiImageViewer&amp;ListingID=19143759&amp;ln=28000387&amp;pub_mls=1","More")</f>
        <v>More</v>
      </c>
      <c r="P418" t="s">
        <v>44</v>
      </c>
      <c r="AI418" t="s">
        <v>66</v>
      </c>
      <c r="AJ418">
        <v>98117</v>
      </c>
      <c r="AS418" t="s">
        <v>1259</v>
      </c>
      <c r="AT418">
        <v>19143759</v>
      </c>
      <c r="AU418" s="12">
        <v>39495</v>
      </c>
      <c r="BB418" t="s">
        <v>912</v>
      </c>
      <c r="BC418" s="7">
        <v>39448</v>
      </c>
      <c r="BG418">
        <v>50</v>
      </c>
      <c r="BH418" s="17">
        <f t="shared" ca="1" si="6"/>
        <v>79</v>
      </c>
      <c r="BI418" s="17"/>
      <c r="BJ418" s="17"/>
    </row>
    <row r="419" spans="1:62" hidden="1">
      <c r="A419">
        <v>28009535</v>
      </c>
      <c r="B419" s="2" t="str">
        <f>HYPERLINK("http://www.windermere.com/index.cfm?fuseaction=Listing.ListingDetail&amp;ListingID=19233166","Active")</f>
        <v>Active</v>
      </c>
      <c r="D419" t="s">
        <v>1260</v>
      </c>
      <c r="E419" t="s">
        <v>1261</v>
      </c>
      <c r="F419" s="10">
        <v>735000</v>
      </c>
      <c r="G419" t="s">
        <v>151</v>
      </c>
      <c r="H419" s="1">
        <v>2760</v>
      </c>
      <c r="I419">
        <v>4500</v>
      </c>
      <c r="J419">
        <v>2</v>
      </c>
      <c r="K419">
        <v>1.75</v>
      </c>
      <c r="M419" s="2" t="str">
        <f>HYPERLINK("http://www.windermere.com/index.cfm?fuseaction=Listing.MapPropertyInteractive&amp;ListingID=19233166&amp;resize=true&amp;windowWidth=800&amp;windowHeight=600","Map")</f>
        <v>Map</v>
      </c>
      <c r="O419" s="2" t="str">
        <f>HYPERLINK("http://www.windermere.com/index.cfm?fuseaction=viewGallery.Home&amp;customTourID=197820&amp;wvt=0","More")</f>
        <v>More</v>
      </c>
      <c r="P419" t="s">
        <v>44</v>
      </c>
      <c r="AI419" t="s">
        <v>66</v>
      </c>
      <c r="AJ419">
        <v>98117</v>
      </c>
      <c r="AS419" t="s">
        <v>1262</v>
      </c>
      <c r="AT419">
        <v>19233166</v>
      </c>
      <c r="AU419" s="12">
        <v>39495</v>
      </c>
      <c r="BB419" t="s">
        <v>912</v>
      </c>
      <c r="BC419" s="7">
        <v>39463</v>
      </c>
      <c r="BG419">
        <v>35</v>
      </c>
      <c r="BH419" s="17">
        <f t="shared" ca="1" si="6"/>
        <v>64</v>
      </c>
      <c r="BI419" s="17"/>
      <c r="BJ419" s="17"/>
    </row>
    <row r="420" spans="1:62" hidden="1">
      <c r="A420">
        <v>27172480</v>
      </c>
      <c r="B420" s="2" t="str">
        <f>HYPERLINK("http://www.windermere.com/index.cfm?fuseaction=Listing.ListingDetail&amp;ListingID=18675948","Active")</f>
        <v>Active</v>
      </c>
      <c r="D420" t="s">
        <v>1239</v>
      </c>
      <c r="E420" t="s">
        <v>1263</v>
      </c>
      <c r="F420" s="13">
        <v>725950</v>
      </c>
      <c r="G420" t="s">
        <v>247</v>
      </c>
      <c r="H420" s="1">
        <v>2083</v>
      </c>
      <c r="J420">
        <v>3</v>
      </c>
      <c r="K420">
        <v>2.5</v>
      </c>
      <c r="M420" s="2" t="str">
        <f>HYPERLINK("http://www.windermere.com/index.cfm?fuseaction=Listing.MapPropertyInteractive&amp;ListingID=18675948&amp;resize=true&amp;windowWidth=800&amp;windowHeight=600","Map")</f>
        <v>Map</v>
      </c>
      <c r="O420" s="2" t="str">
        <f>HYPERLINK("http://www.windermere.com/index.cfm?fuseaction=Listing.MultiImageViewer&amp;ListingID=18675948&amp;ln=27172480&amp;pub_mls=1","More")</f>
        <v>More</v>
      </c>
      <c r="P420" t="s">
        <v>44</v>
      </c>
      <c r="AI420" t="s">
        <v>66</v>
      </c>
      <c r="AJ420">
        <v>98117</v>
      </c>
      <c r="AS420" t="s">
        <v>1264</v>
      </c>
      <c r="AT420">
        <v>18675948</v>
      </c>
      <c r="AU420" s="12">
        <v>39495</v>
      </c>
      <c r="BB420" t="s">
        <v>912</v>
      </c>
      <c r="BC420" s="7">
        <v>39346</v>
      </c>
      <c r="BG420">
        <v>152</v>
      </c>
      <c r="BH420" s="17">
        <f t="shared" ca="1" si="6"/>
        <v>181</v>
      </c>
      <c r="BI420" s="17"/>
      <c r="BJ420" s="17"/>
    </row>
    <row r="421" spans="1:62" hidden="1">
      <c r="A421">
        <v>28019954</v>
      </c>
      <c r="B421" s="2" t="str">
        <f>HYPERLINK("http://www.windermere.com/index.cfm?fuseaction=Listing.ListingDetail&amp;ListingID=19315379","Active")</f>
        <v>Active</v>
      </c>
      <c r="D421" s="3" t="s">
        <v>1891</v>
      </c>
      <c r="E421" t="s">
        <v>1265</v>
      </c>
      <c r="F421" s="18">
        <v>751800</v>
      </c>
      <c r="G421" t="s">
        <v>157</v>
      </c>
      <c r="H421" s="1">
        <v>1940</v>
      </c>
      <c r="I421">
        <v>8650</v>
      </c>
      <c r="J421">
        <v>2</v>
      </c>
      <c r="K421" s="3">
        <v>2</v>
      </c>
      <c r="M421" s="2" t="str">
        <f>HYPERLINK("http://www.windermere.com/index.cfm?fuseaction=Listing.MapPropertyInteractive&amp;ListingID=19315379&amp;resize=true&amp;windowWidth=800&amp;windowHeight=600","Map")</f>
        <v>Map</v>
      </c>
      <c r="O421" s="2" t="str">
        <f>HYPERLINK("http://www.windermere.com/index.cfm?fuseaction=viewGallery.Home&amp;customTourID=206456&amp;wvt=0","More")</f>
        <v>More</v>
      </c>
      <c r="P421" t="s">
        <v>44</v>
      </c>
      <c r="AI421" t="s">
        <v>66</v>
      </c>
      <c r="AJ421">
        <v>98117</v>
      </c>
      <c r="AS421" t="s">
        <v>1266</v>
      </c>
      <c r="AT421">
        <v>19315379</v>
      </c>
      <c r="AU421" s="12">
        <v>39495</v>
      </c>
      <c r="BB421" t="s">
        <v>912</v>
      </c>
      <c r="BC421" s="7">
        <v>39480</v>
      </c>
      <c r="BG421">
        <v>18</v>
      </c>
      <c r="BH421" s="17">
        <f t="shared" ca="1" si="6"/>
        <v>47</v>
      </c>
      <c r="BI421" s="17"/>
      <c r="BJ421" s="17"/>
    </row>
    <row r="422" spans="1:62" hidden="1">
      <c r="A422">
        <v>28005243</v>
      </c>
      <c r="B422" s="2" t="str">
        <f>HYPERLINK("http://www.windermere.com/index.cfm?fuseaction=Listing.ListingDetail&amp;ListingID=19213443","Active")</f>
        <v>Active</v>
      </c>
      <c r="D422" t="s">
        <v>101</v>
      </c>
      <c r="E422" t="s">
        <v>1267</v>
      </c>
      <c r="F422" s="18">
        <v>789000</v>
      </c>
      <c r="G422" t="s">
        <v>153</v>
      </c>
      <c r="H422" s="1">
        <v>2150</v>
      </c>
      <c r="I422">
        <v>5215</v>
      </c>
      <c r="J422">
        <v>3</v>
      </c>
      <c r="K422">
        <v>1.75</v>
      </c>
      <c r="M422" s="2" t="str">
        <f>HYPERLINK("http://www.windermere.com/index.cfm?fuseaction=Listing.MapPropertyInteractive&amp;ListingID=19213443&amp;resize=true&amp;windowWidth=800&amp;windowHeight=600","Map")</f>
        <v>Map</v>
      </c>
      <c r="O422" s="2" t="str">
        <f>HYPERLINK("http://www.windermere.com/index.cfm?fuseaction=viewGallery.Home&amp;customTourID=203898&amp;wvt=0","More")</f>
        <v>More</v>
      </c>
      <c r="P422" t="s">
        <v>44</v>
      </c>
      <c r="AI422" t="s">
        <v>66</v>
      </c>
      <c r="AJ422">
        <v>98117</v>
      </c>
      <c r="AS422" t="s">
        <v>1268</v>
      </c>
      <c r="AT422">
        <v>19213443</v>
      </c>
      <c r="AU422" s="12">
        <v>39495</v>
      </c>
      <c r="BB422" t="s">
        <v>912</v>
      </c>
      <c r="BC422" s="7">
        <v>39458</v>
      </c>
      <c r="BG422">
        <v>40</v>
      </c>
      <c r="BH422" s="17">
        <f t="shared" ca="1" si="6"/>
        <v>69</v>
      </c>
      <c r="BI422" s="17"/>
      <c r="BJ422" s="17"/>
    </row>
    <row r="423" spans="1:62" hidden="1">
      <c r="A423">
        <v>27163418</v>
      </c>
      <c r="B423" s="15" t="str">
        <f>HYPERLINK("http://www.windermere.com/index.cfm?fuseaction=Listing.ListingDetail&amp;ListingID=18576148","Subject To Inspection")</f>
        <v>Subject To Inspection</v>
      </c>
      <c r="D423" t="s">
        <v>78</v>
      </c>
      <c r="E423" t="s">
        <v>1269</v>
      </c>
      <c r="F423" s="10">
        <v>799950</v>
      </c>
      <c r="G423" t="s">
        <v>404</v>
      </c>
      <c r="H423" s="1">
        <v>2630</v>
      </c>
      <c r="I423">
        <v>6600</v>
      </c>
      <c r="J423">
        <v>4</v>
      </c>
      <c r="K423">
        <v>2.75</v>
      </c>
      <c r="M423" s="2" t="str">
        <f>HYPERLINK("http://www.windermere.com/index.cfm?fuseaction=Listing.MapPropertyInteractive&amp;ListingID=18576148&amp;resize=true&amp;windowWidth=800&amp;windowHeight=600","Map")</f>
        <v>Map</v>
      </c>
      <c r="O423" s="2" t="str">
        <f>HYPERLINK("http://www.windermere.com/index.cfm?fuseaction=Listing.MultiImageViewer&amp;ListingID=18576148&amp;ln=27163418&amp;pub_mls=1","More")</f>
        <v>More</v>
      </c>
      <c r="AI423" t="s">
        <v>66</v>
      </c>
      <c r="AJ423">
        <v>98117</v>
      </c>
      <c r="AS423" t="s">
        <v>1270</v>
      </c>
      <c r="AT423">
        <v>18576148</v>
      </c>
      <c r="AU423" s="12">
        <v>39495</v>
      </c>
      <c r="BB423" t="s">
        <v>912</v>
      </c>
      <c r="BC423" s="7">
        <v>39331</v>
      </c>
      <c r="BD423">
        <v>3</v>
      </c>
      <c r="BE423" s="6" t="s">
        <v>1328</v>
      </c>
      <c r="BG423">
        <v>167</v>
      </c>
      <c r="BH423" s="17">
        <f t="shared" ca="1" si="6"/>
        <v>196</v>
      </c>
      <c r="BI423" s="17"/>
      <c r="BJ423" s="17"/>
    </row>
    <row r="424" spans="1:62" hidden="1">
      <c r="A424">
        <v>28006190</v>
      </c>
      <c r="B424" s="2" t="str">
        <f>HYPERLINK("http://www.windermere.com/index.cfm?fuseaction=Listing.ListingDetail&amp;ListingID=19191851","Active")</f>
        <v>Active</v>
      </c>
      <c r="D424" t="s">
        <v>1203</v>
      </c>
      <c r="E424" t="s">
        <v>1271</v>
      </c>
      <c r="F424" s="10">
        <v>824500</v>
      </c>
      <c r="G424" t="s">
        <v>131</v>
      </c>
      <c r="H424" s="1">
        <v>2780</v>
      </c>
      <c r="I424">
        <v>6600</v>
      </c>
      <c r="J424">
        <v>4</v>
      </c>
      <c r="K424">
        <v>2.75</v>
      </c>
      <c r="M424" s="2" t="str">
        <f>HYPERLINK("http://www.windermere.com/index.cfm?fuseaction=Listing.MapPropertyInteractive&amp;ListingID=19191851&amp;resize=true&amp;windowWidth=800&amp;windowHeight=600","Map")</f>
        <v>Map</v>
      </c>
      <c r="O424" s="2" t="str">
        <f>HYPERLINK("http://www.windermere.com/index.cfm?fuseaction=viewGallery.Home&amp;customTourID=201998&amp;wvt=0","More")</f>
        <v>More</v>
      </c>
      <c r="P424" t="s">
        <v>44</v>
      </c>
      <c r="AI424" t="s">
        <v>66</v>
      </c>
      <c r="AJ424">
        <v>98117</v>
      </c>
      <c r="AS424" t="s">
        <v>1272</v>
      </c>
      <c r="AT424">
        <v>19191851</v>
      </c>
      <c r="AU424" s="12">
        <v>39495</v>
      </c>
      <c r="BB424" t="s">
        <v>912</v>
      </c>
      <c r="BC424" s="7">
        <v>39457</v>
      </c>
      <c r="BG424">
        <v>41</v>
      </c>
      <c r="BH424" s="17">
        <f t="shared" ca="1" si="6"/>
        <v>70</v>
      </c>
      <c r="BI424" s="17"/>
      <c r="BJ424" s="17"/>
    </row>
    <row r="425" spans="1:62" hidden="1">
      <c r="A425">
        <v>27189613</v>
      </c>
      <c r="B425" s="2" t="str">
        <f>HYPERLINK("http://www.windermere.com/index.cfm?fuseaction=Listing.ListingDetail&amp;ListingID=18844447","Active")</f>
        <v>Active</v>
      </c>
      <c r="D425" t="s">
        <v>55</v>
      </c>
      <c r="E425" t="s">
        <v>1273</v>
      </c>
      <c r="F425" s="10">
        <v>824900</v>
      </c>
      <c r="G425" t="s">
        <v>147</v>
      </c>
      <c r="H425" s="1">
        <v>2500</v>
      </c>
      <c r="I425">
        <v>5100</v>
      </c>
      <c r="J425">
        <v>3</v>
      </c>
      <c r="K425">
        <v>2.5</v>
      </c>
      <c r="M425" s="2" t="str">
        <f>HYPERLINK("http://www.windermere.com/index.cfm?fuseaction=Listing.MapPropertyInteractive&amp;ListingID=18844447&amp;resize=true&amp;windowWidth=800&amp;windowHeight=600","Map")</f>
        <v>Map</v>
      </c>
      <c r="O425" s="2" t="str">
        <f>HYPERLINK("http://www.windermere.com/index.cfm?fuseaction=Listing.MultiImageViewer&amp;ListingID=18844447&amp;ln=27189613&amp;pub_mls=1","More")</f>
        <v>More</v>
      </c>
      <c r="P425" t="s">
        <v>44</v>
      </c>
      <c r="AI425" t="s">
        <v>66</v>
      </c>
      <c r="AJ425">
        <v>98117</v>
      </c>
      <c r="AS425" t="s">
        <v>1274</v>
      </c>
      <c r="AT425">
        <v>18844447</v>
      </c>
      <c r="AU425" s="12">
        <v>39495</v>
      </c>
      <c r="BB425" t="s">
        <v>912</v>
      </c>
      <c r="BC425" s="7">
        <v>39375</v>
      </c>
      <c r="BG425">
        <v>123</v>
      </c>
      <c r="BH425" s="17">
        <f t="shared" ca="1" si="6"/>
        <v>152</v>
      </c>
      <c r="BI425" s="17"/>
      <c r="BJ425" s="17"/>
    </row>
    <row r="426" spans="1:62" hidden="1">
      <c r="A426">
        <v>27211767</v>
      </c>
      <c r="B426" s="2" t="str">
        <f>HYPERLINK("http://www.windermere.com/index.cfm?fuseaction=Listing.ListingDetail&amp;ListingID=19082599","Active")</f>
        <v>Active</v>
      </c>
      <c r="D426" t="s">
        <v>78</v>
      </c>
      <c r="E426" t="s">
        <v>1275</v>
      </c>
      <c r="F426" s="10">
        <v>839950</v>
      </c>
      <c r="G426" t="s">
        <v>147</v>
      </c>
      <c r="H426" s="1">
        <v>3111</v>
      </c>
      <c r="I426">
        <v>5500</v>
      </c>
      <c r="J426">
        <v>4</v>
      </c>
      <c r="K426">
        <v>2.75</v>
      </c>
      <c r="M426" s="2" t="str">
        <f>HYPERLINK("http://www.windermere.com/index.cfm?fuseaction=Listing.MapPropertyInteractive&amp;ListingID=19082599&amp;resize=true&amp;windowWidth=800&amp;windowHeight=600","Map")</f>
        <v>Map</v>
      </c>
      <c r="O426" s="2" t="str">
        <f>HYPERLINK("http://www.windermere.com/index.cfm?fuseaction=Listing.MultiImageViewer&amp;ListingID=19082599&amp;ln=27211767&amp;pub_mls=1","More")</f>
        <v>More</v>
      </c>
      <c r="P426" t="s">
        <v>44</v>
      </c>
      <c r="AI426" t="s">
        <v>66</v>
      </c>
      <c r="AJ426">
        <v>98117</v>
      </c>
      <c r="AS426" t="s">
        <v>1276</v>
      </c>
      <c r="AT426">
        <v>19082599</v>
      </c>
      <c r="AU426" s="12">
        <v>39495</v>
      </c>
      <c r="BB426" t="s">
        <v>912</v>
      </c>
      <c r="BC426" s="7">
        <v>39427</v>
      </c>
      <c r="BG426">
        <v>71</v>
      </c>
      <c r="BH426" s="17">
        <f t="shared" ca="1" si="6"/>
        <v>100</v>
      </c>
      <c r="BI426" s="17"/>
      <c r="BJ426" s="17"/>
    </row>
    <row r="427" spans="1:62" hidden="1">
      <c r="A427">
        <v>28026275</v>
      </c>
      <c r="B427" s="2" t="str">
        <f>HYPERLINK("http://www.windermere.com/index.cfm?fuseaction=Listing.ListingDetail&amp;ListingID=19361391","Active")</f>
        <v>Active</v>
      </c>
      <c r="D427" t="s">
        <v>101</v>
      </c>
      <c r="E427" t="s">
        <v>1277</v>
      </c>
      <c r="F427" s="10">
        <v>849950</v>
      </c>
      <c r="G427" t="s">
        <v>176</v>
      </c>
      <c r="H427" s="1">
        <v>2878</v>
      </c>
      <c r="I427">
        <v>21344</v>
      </c>
      <c r="J427">
        <v>4</v>
      </c>
      <c r="K427">
        <v>2.75</v>
      </c>
      <c r="M427" s="2" t="str">
        <f>HYPERLINK("http://www.windermere.com/index.cfm?fuseaction=Listing.MapPropertyInteractive&amp;ListingID=19361391&amp;resize=true&amp;windowWidth=800&amp;windowHeight=600","Map")</f>
        <v>Map</v>
      </c>
      <c r="O427" s="2" t="str">
        <f>HYPERLINK("http://www.windermere.com/index.cfm?fuseaction=Listing.MultiImageViewer&amp;ListingID=19361391&amp;ln=28026275&amp;pub_mls=1","More")</f>
        <v>More</v>
      </c>
      <c r="P427" t="s">
        <v>44</v>
      </c>
      <c r="AI427" t="s">
        <v>66</v>
      </c>
      <c r="AJ427">
        <v>98117</v>
      </c>
      <c r="AS427" t="s">
        <v>1278</v>
      </c>
      <c r="AT427">
        <v>19361391</v>
      </c>
      <c r="AU427" s="12">
        <v>39495</v>
      </c>
      <c r="BB427" t="s">
        <v>912</v>
      </c>
      <c r="BC427" s="7">
        <v>39491</v>
      </c>
      <c r="BG427">
        <v>7</v>
      </c>
      <c r="BH427" s="17">
        <f t="shared" ca="1" si="6"/>
        <v>36</v>
      </c>
      <c r="BI427" s="17"/>
      <c r="BJ427" s="17"/>
    </row>
    <row r="428" spans="1:62" hidden="1">
      <c r="A428">
        <v>28011833</v>
      </c>
      <c r="B428" s="15" t="str">
        <f>HYPERLINK("http://www.windermere.com/index.cfm?fuseaction=Listing.ListingDetail&amp;ListingID=19247573","Subject To Inspection")</f>
        <v>Subject To Inspection</v>
      </c>
      <c r="D428" t="s">
        <v>55</v>
      </c>
      <c r="E428" t="s">
        <v>1279</v>
      </c>
      <c r="F428" s="10">
        <v>899000</v>
      </c>
      <c r="G428" t="s">
        <v>147</v>
      </c>
      <c r="H428" s="1">
        <v>2820</v>
      </c>
      <c r="I428">
        <v>4650</v>
      </c>
      <c r="J428">
        <v>4</v>
      </c>
      <c r="K428">
        <v>3</v>
      </c>
      <c r="M428" s="2" t="str">
        <f>HYPERLINK("http://www.windermere.com/index.cfm?fuseaction=Listing.MapPropertyInteractive&amp;ListingID=19247573&amp;resize=true&amp;windowWidth=800&amp;windowHeight=600","Map")</f>
        <v>Map</v>
      </c>
      <c r="O428" s="2" t="str">
        <f>HYPERLINK("http://www.windermere.com/index.cfm?fuseaction=viewGallery.Home&amp;customTourID=198814&amp;wvt=0","More")</f>
        <v>More</v>
      </c>
      <c r="P428" t="s">
        <v>44</v>
      </c>
      <c r="AI428" t="s">
        <v>66</v>
      </c>
      <c r="AJ428">
        <v>98117</v>
      </c>
      <c r="AS428" t="s">
        <v>1280</v>
      </c>
      <c r="AT428">
        <v>19247573</v>
      </c>
      <c r="AU428" s="12">
        <v>39495</v>
      </c>
      <c r="BB428" t="s">
        <v>912</v>
      </c>
      <c r="BC428" s="7">
        <v>39465</v>
      </c>
      <c r="BG428">
        <v>33</v>
      </c>
      <c r="BH428" s="17">
        <f t="shared" ca="1" si="6"/>
        <v>62</v>
      </c>
      <c r="BI428" s="17"/>
      <c r="BJ428" s="17"/>
    </row>
    <row r="429" spans="1:62" hidden="1">
      <c r="A429">
        <v>28019761</v>
      </c>
      <c r="B429" s="2" t="str">
        <f>HYPERLINK("http://www.windermere.com/index.cfm?fuseaction=Listing.ListingDetail&amp;ListingID=19311701","Active")</f>
        <v>Active</v>
      </c>
      <c r="D429" t="s">
        <v>88</v>
      </c>
      <c r="E429" t="s">
        <v>1281</v>
      </c>
      <c r="F429" s="10">
        <v>959000</v>
      </c>
      <c r="G429" t="s">
        <v>247</v>
      </c>
      <c r="H429" s="1">
        <v>3200</v>
      </c>
      <c r="I429">
        <v>3750</v>
      </c>
      <c r="J429">
        <v>4</v>
      </c>
      <c r="K429">
        <v>3.5</v>
      </c>
      <c r="M429" s="2" t="str">
        <f>HYPERLINK("http://www.windermere.com/index.cfm?fuseaction=Listing.MapPropertyInteractive&amp;ListingID=19311701&amp;resize=true&amp;windowWidth=800&amp;windowHeight=600","Map")</f>
        <v>Map</v>
      </c>
      <c r="O429" s="2" t="str">
        <f>HYPERLINK("http://www.windermere.com/index.cfm?fuseaction=Listing.MultiImageViewer&amp;ListingID=19311701&amp;ln=28019761&amp;pub_mls=1","More")</f>
        <v>More</v>
      </c>
      <c r="P429" t="s">
        <v>44</v>
      </c>
      <c r="AI429" t="s">
        <v>66</v>
      </c>
      <c r="AJ429">
        <v>98117</v>
      </c>
      <c r="AS429" t="s">
        <v>1282</v>
      </c>
      <c r="AT429">
        <v>19311701</v>
      </c>
      <c r="AU429" s="12">
        <v>39495</v>
      </c>
      <c r="BB429" t="s">
        <v>912</v>
      </c>
      <c r="BC429" s="7">
        <v>39479</v>
      </c>
      <c r="BG429">
        <v>19</v>
      </c>
      <c r="BH429" s="17">
        <f t="shared" ca="1" si="6"/>
        <v>48</v>
      </c>
      <c r="BI429" s="17"/>
      <c r="BJ429" s="17"/>
    </row>
    <row r="430" spans="1:62" hidden="1">
      <c r="A430">
        <v>28015865</v>
      </c>
      <c r="B430" s="2" t="str">
        <f>HYPERLINK("http://www.windermere.com/index.cfm?fuseaction=Listing.ListingDetail&amp;ListingID=19280114","Active")</f>
        <v>Active</v>
      </c>
      <c r="D430" t="s">
        <v>78</v>
      </c>
      <c r="E430" t="s">
        <v>1283</v>
      </c>
      <c r="F430" s="13">
        <v>948950</v>
      </c>
      <c r="G430" t="s">
        <v>247</v>
      </c>
      <c r="H430" s="1">
        <v>3395</v>
      </c>
      <c r="I430">
        <v>4046</v>
      </c>
      <c r="J430">
        <v>4</v>
      </c>
      <c r="K430">
        <v>3.5</v>
      </c>
      <c r="M430" s="2" t="str">
        <f>HYPERLINK("http://www.windermere.com/index.cfm?fuseaction=Listing.MapPropertyInteractive&amp;ListingID=19280114&amp;resize=true&amp;windowWidth=800&amp;windowHeight=600","Map")</f>
        <v>Map</v>
      </c>
      <c r="O430" s="2" t="str">
        <f>HYPERLINK("http://www.windermere.com/index.cfm?fuseaction=Listing.MultiImageViewer&amp;ListingID=19280114&amp;ln=28015865&amp;pub_mls=1","More")</f>
        <v>More</v>
      </c>
      <c r="P430" t="s">
        <v>44</v>
      </c>
      <c r="AI430" t="s">
        <v>66</v>
      </c>
      <c r="AJ430">
        <v>98117</v>
      </c>
      <c r="AS430" t="s">
        <v>1284</v>
      </c>
      <c r="AT430">
        <v>19280114</v>
      </c>
      <c r="AU430" s="12">
        <v>39495</v>
      </c>
      <c r="BB430" t="s">
        <v>912</v>
      </c>
      <c r="BC430" s="7">
        <v>39472</v>
      </c>
      <c r="BG430">
        <v>26</v>
      </c>
      <c r="BH430" s="17">
        <f t="shared" ca="1" si="6"/>
        <v>55</v>
      </c>
      <c r="BI430" s="17"/>
      <c r="BJ430" s="17"/>
    </row>
    <row r="431" spans="1:62" hidden="1">
      <c r="A431">
        <v>28018874</v>
      </c>
      <c r="B431" s="2" t="str">
        <f>HYPERLINK("http://www.windermere.com/index.cfm?fuseaction=Listing.ListingDetail&amp;ListingID=19305262","Active")</f>
        <v>Active</v>
      </c>
      <c r="D431" t="s">
        <v>78</v>
      </c>
      <c r="E431" t="s">
        <v>1285</v>
      </c>
      <c r="F431" s="10">
        <v>988950</v>
      </c>
      <c r="G431" t="s">
        <v>147</v>
      </c>
      <c r="H431" s="1">
        <v>3654</v>
      </c>
      <c r="I431">
        <v>3880</v>
      </c>
      <c r="J431">
        <v>4</v>
      </c>
      <c r="K431">
        <v>3.25</v>
      </c>
      <c r="M431" s="2" t="str">
        <f>HYPERLINK("http://www.windermere.com/index.cfm?fuseaction=Listing.MapPropertyInteractive&amp;ListingID=19305262&amp;resize=true&amp;windowWidth=800&amp;windowHeight=600","Map")</f>
        <v>Map</v>
      </c>
      <c r="O431" s="2" t="str">
        <f>HYPERLINK("http://www.windermere.com/index.cfm?fuseaction=Listing.MultiImageViewer&amp;ListingID=19305262&amp;ln=28018874&amp;pub_mls=1","More")</f>
        <v>More</v>
      </c>
      <c r="P431" t="s">
        <v>44</v>
      </c>
      <c r="AI431" t="s">
        <v>66</v>
      </c>
      <c r="AJ431">
        <v>98117</v>
      </c>
      <c r="AS431" t="s">
        <v>1286</v>
      </c>
      <c r="AT431">
        <v>19305262</v>
      </c>
      <c r="AU431" s="12">
        <v>39495</v>
      </c>
      <c r="BB431" t="s">
        <v>912</v>
      </c>
      <c r="BC431" s="7">
        <v>39478</v>
      </c>
      <c r="BG431">
        <v>20</v>
      </c>
      <c r="BH431" s="17">
        <f t="shared" ca="1" si="6"/>
        <v>49</v>
      </c>
      <c r="BI431" s="17"/>
      <c r="BJ431" s="17"/>
    </row>
    <row r="432" spans="1:62" hidden="1">
      <c r="A432">
        <v>28015062</v>
      </c>
      <c r="B432" s="2" t="str">
        <f>HYPERLINK("http://www.windermere.com/index.cfm?fuseaction=Listing.ListingDetail&amp;ListingID=19280039","Active")</f>
        <v>Active</v>
      </c>
      <c r="D432" t="s">
        <v>1024</v>
      </c>
      <c r="E432" t="s">
        <v>1287</v>
      </c>
      <c r="F432" s="18">
        <v>969500</v>
      </c>
      <c r="G432" t="s">
        <v>247</v>
      </c>
      <c r="H432" s="1">
        <v>3078</v>
      </c>
      <c r="I432">
        <v>6476</v>
      </c>
      <c r="J432">
        <v>5</v>
      </c>
      <c r="K432">
        <v>3</v>
      </c>
      <c r="M432" s="2" t="str">
        <f>HYPERLINK("http://www.windermere.com/index.cfm?fuseaction=Listing.MapPropertyInteractive&amp;ListingID=19280039&amp;resize=true&amp;windowWidth=800&amp;windowHeight=600","Map")</f>
        <v>Map</v>
      </c>
      <c r="O432" s="2" t="str">
        <f>HYPERLINK("http://www.windermere.com/index.cfm?fuseaction=Listing.MultiImageViewer&amp;ListingID=19280039&amp;ln=28015062&amp;pub_mls=1","More")</f>
        <v>More</v>
      </c>
      <c r="P432" t="s">
        <v>44</v>
      </c>
      <c r="AI432" t="s">
        <v>66</v>
      </c>
      <c r="AJ432">
        <v>98117</v>
      </c>
      <c r="AS432" t="s">
        <v>1288</v>
      </c>
      <c r="AT432">
        <v>19280039</v>
      </c>
      <c r="AU432" s="12">
        <v>39495</v>
      </c>
      <c r="BB432" t="s">
        <v>912</v>
      </c>
      <c r="BC432" s="7">
        <v>39472</v>
      </c>
      <c r="BG432">
        <v>26</v>
      </c>
      <c r="BH432" s="17">
        <f t="shared" ca="1" si="6"/>
        <v>55</v>
      </c>
      <c r="BI432" s="17"/>
      <c r="BJ432" s="17"/>
    </row>
    <row r="433" spans="1:62" hidden="1">
      <c r="A433">
        <v>28019183</v>
      </c>
      <c r="B433" s="2" t="str">
        <f>HYPERLINK("http://www.windermere.com/index.cfm?fuseaction=Listing.ListingDetail&amp;ListingID=19308744","Active")</f>
        <v>Active</v>
      </c>
      <c r="D433" s="19" t="s">
        <v>1435</v>
      </c>
      <c r="E433" t="s">
        <v>1289</v>
      </c>
      <c r="F433" s="18">
        <v>1049000</v>
      </c>
      <c r="G433" t="s">
        <v>147</v>
      </c>
      <c r="H433" s="1">
        <v>2978</v>
      </c>
      <c r="I433">
        <v>5000</v>
      </c>
      <c r="J433">
        <v>3</v>
      </c>
      <c r="K433">
        <v>2.5</v>
      </c>
      <c r="M433" s="2" t="str">
        <f>HYPERLINK("http://www.windermere.com/index.cfm?fuseaction=Listing.MapPropertyInteractive&amp;ListingID=19308744&amp;resize=true&amp;windowWidth=800&amp;windowHeight=600","Map")</f>
        <v>Map</v>
      </c>
      <c r="O433" s="2" t="str">
        <f>HYPERLINK("http://www.windermere.com/index.cfm?fuseaction=viewGallery.Home&amp;customTourID=206358&amp;wvt=0","More")</f>
        <v>More</v>
      </c>
      <c r="P433" t="s">
        <v>44</v>
      </c>
      <c r="AI433" t="s">
        <v>66</v>
      </c>
      <c r="AJ433">
        <v>98117</v>
      </c>
      <c r="AS433" t="s">
        <v>1290</v>
      </c>
      <c r="AT433">
        <v>19308744</v>
      </c>
      <c r="AU433" s="12">
        <v>39495</v>
      </c>
      <c r="BB433" t="s">
        <v>912</v>
      </c>
      <c r="BC433" s="7">
        <v>39479</v>
      </c>
      <c r="BG433">
        <v>19</v>
      </c>
      <c r="BH433" s="17">
        <f t="shared" ca="1" si="6"/>
        <v>48</v>
      </c>
      <c r="BI433" s="17"/>
      <c r="BJ433" s="17"/>
    </row>
    <row r="434" spans="1:62" hidden="1">
      <c r="A434">
        <v>27209198</v>
      </c>
      <c r="B434" s="2" t="str">
        <f>HYPERLINK("http://www.windermere.com/index.cfm?fuseaction=Listing.ListingDetail&amp;ListingID=19048331","Active")</f>
        <v>Active</v>
      </c>
      <c r="D434" t="s">
        <v>101</v>
      </c>
      <c r="E434" t="s">
        <v>1291</v>
      </c>
      <c r="F434" s="10">
        <v>1099950</v>
      </c>
      <c r="G434" t="s">
        <v>171</v>
      </c>
      <c r="H434" s="1">
        <v>3900</v>
      </c>
      <c r="I434">
        <v>12635</v>
      </c>
      <c r="J434">
        <v>4</v>
      </c>
      <c r="K434">
        <v>3</v>
      </c>
      <c r="M434" s="2" t="str">
        <f>HYPERLINK("http://www.windermere.com/index.cfm?fuseaction=Listing.MapPropertyInteractive&amp;ListingID=19048331&amp;resize=true&amp;windowWidth=800&amp;windowHeight=600","Map")</f>
        <v>Map</v>
      </c>
      <c r="O434" s="2" t="str">
        <f>HYPERLINK("http://www.windermere.com/index.cfm?fuseaction=Listing.MultiImageViewer&amp;ListingID=19048331&amp;ln=27209198&amp;pub_mls=1","More")</f>
        <v>More</v>
      </c>
      <c r="P434" t="s">
        <v>44</v>
      </c>
      <c r="AI434" t="s">
        <v>66</v>
      </c>
      <c r="AJ434">
        <v>98117</v>
      </c>
      <c r="AS434" t="s">
        <v>1292</v>
      </c>
      <c r="AT434">
        <v>19048331</v>
      </c>
      <c r="AU434" s="12">
        <v>39495</v>
      </c>
      <c r="BB434" t="s">
        <v>912</v>
      </c>
      <c r="BC434" s="7">
        <v>39420</v>
      </c>
      <c r="BG434">
        <v>78</v>
      </c>
      <c r="BH434" s="17">
        <f t="shared" ca="1" si="6"/>
        <v>107</v>
      </c>
      <c r="BI434" s="17"/>
      <c r="BJ434" s="17"/>
    </row>
    <row r="435" spans="1:62" hidden="1">
      <c r="A435">
        <v>27135714</v>
      </c>
      <c r="B435" s="15" t="str">
        <f>HYPERLINK("http://www.windermere.com/index.cfm?fuseaction=Listing.ListingDetail&amp;ListingID=18893411","Subject To Inspection")</f>
        <v>Subject To Inspection</v>
      </c>
      <c r="D435" t="s">
        <v>63</v>
      </c>
      <c r="E435" t="s">
        <v>1293</v>
      </c>
      <c r="F435" s="10">
        <v>1105000</v>
      </c>
      <c r="G435" t="s">
        <v>147</v>
      </c>
      <c r="H435" s="1">
        <v>3439</v>
      </c>
      <c r="I435">
        <v>5000</v>
      </c>
      <c r="J435">
        <v>3</v>
      </c>
      <c r="K435">
        <v>2.5</v>
      </c>
      <c r="M435" s="2" t="str">
        <f>HYPERLINK("http://www.windermere.com/index.cfm?fuseaction=Listing.MapPropertyInteractive&amp;ListingID=18893411&amp;resize=true&amp;windowWidth=800&amp;windowHeight=600","Map")</f>
        <v>Map</v>
      </c>
      <c r="O435" s="2" t="str">
        <f>HYPERLINK("http://www.windermere.com/index.cfm?fuseaction=Listing.MultiImageViewer&amp;ListingID=18893411&amp;ln=27135714&amp;pub_mls=1","More")</f>
        <v>More</v>
      </c>
      <c r="P435" t="s">
        <v>44</v>
      </c>
      <c r="AI435" t="s">
        <v>66</v>
      </c>
      <c r="AJ435">
        <v>98117</v>
      </c>
      <c r="AS435" t="s">
        <v>1294</v>
      </c>
      <c r="AT435">
        <v>18893411</v>
      </c>
      <c r="AU435" s="12">
        <v>39495</v>
      </c>
      <c r="BB435" t="s">
        <v>912</v>
      </c>
      <c r="BC435" s="7">
        <v>39290</v>
      </c>
      <c r="BD435">
        <v>-2</v>
      </c>
      <c r="BE435" s="6" t="s">
        <v>1319</v>
      </c>
      <c r="BG435">
        <v>208</v>
      </c>
      <c r="BH435" s="17">
        <f t="shared" ca="1" si="6"/>
        <v>237</v>
      </c>
      <c r="BI435" s="17"/>
      <c r="BJ435" s="17"/>
    </row>
    <row r="436" spans="1:62" hidden="1">
      <c r="A436">
        <v>28026968</v>
      </c>
      <c r="B436" s="2" t="str">
        <f>HYPERLINK("http://www.windermere.com/index.cfm?fuseaction=Listing.ListingDetail&amp;ListingID=19370188","Active")</f>
        <v>Active</v>
      </c>
      <c r="D436" t="s">
        <v>88</v>
      </c>
      <c r="E436" t="s">
        <v>1295</v>
      </c>
      <c r="F436" s="10">
        <v>1149000</v>
      </c>
      <c r="G436" t="s">
        <v>147</v>
      </c>
      <c r="H436" s="1">
        <v>4240</v>
      </c>
      <c r="I436">
        <v>6180</v>
      </c>
      <c r="J436">
        <v>5</v>
      </c>
      <c r="K436">
        <v>3.5</v>
      </c>
      <c r="M436" s="2" t="str">
        <f>HYPERLINK("http://www.windermere.com/index.cfm?fuseaction=Listing.MapPropertyInteractive&amp;ListingID=19370188&amp;resize=true&amp;windowWidth=800&amp;windowHeight=600","Map")</f>
        <v>Map</v>
      </c>
      <c r="O436" s="2" t="str">
        <f>HYPERLINK("http://www.windermere.com/index.cfm?fuseaction=Listing.MultiImageViewer&amp;ListingID=19370188&amp;ln=28026968&amp;pub_mls=1","More")</f>
        <v>More</v>
      </c>
      <c r="P436" t="s">
        <v>44</v>
      </c>
      <c r="AI436" t="s">
        <v>66</v>
      </c>
      <c r="AJ436">
        <v>98117</v>
      </c>
      <c r="AS436" t="s">
        <v>1296</v>
      </c>
      <c r="AT436">
        <v>19370188</v>
      </c>
      <c r="AU436" s="12">
        <v>39495</v>
      </c>
      <c r="BB436" t="s">
        <v>912</v>
      </c>
      <c r="BC436" s="7">
        <v>39492</v>
      </c>
      <c r="BG436">
        <v>6</v>
      </c>
      <c r="BH436" s="17">
        <f t="shared" ca="1" si="6"/>
        <v>35</v>
      </c>
      <c r="BI436" s="17"/>
      <c r="BJ436" s="17"/>
    </row>
    <row r="437" spans="1:62" hidden="1">
      <c r="A437">
        <v>27186503</v>
      </c>
      <c r="B437" s="2" t="str">
        <f>HYPERLINK("http://www.windermere.com/index.cfm?fuseaction=Listing.ListingDetail&amp;ListingID=18821044","Active")</f>
        <v>Active</v>
      </c>
      <c r="D437" t="s">
        <v>1203</v>
      </c>
      <c r="E437" t="s">
        <v>1299</v>
      </c>
      <c r="F437" s="18">
        <v>1149950</v>
      </c>
      <c r="G437" t="s">
        <v>1300</v>
      </c>
      <c r="H437" s="1">
        <v>4790</v>
      </c>
      <c r="I437">
        <v>13735</v>
      </c>
      <c r="J437">
        <v>4</v>
      </c>
      <c r="K437">
        <v>3.25</v>
      </c>
      <c r="M437" s="2" t="str">
        <f>HYPERLINK("http://www.windermere.com/index.cfm?fuseaction=Listing.MapPropertyInteractive&amp;ListingID=18821044&amp;resize=true&amp;windowWidth=800&amp;windowHeight=600","Map")</f>
        <v>Map</v>
      </c>
      <c r="O437" s="2" t="str">
        <f>HYPERLINK("http://www.windermere.com/index.cfm?fuseaction=viewGallery.Home&amp;customTourID=197784&amp;wvt=0","More")</f>
        <v>More</v>
      </c>
      <c r="P437" t="s">
        <v>44</v>
      </c>
      <c r="AI437" t="s">
        <v>66</v>
      </c>
      <c r="AJ437">
        <v>98117</v>
      </c>
      <c r="AS437" t="s">
        <v>1301</v>
      </c>
      <c r="AT437">
        <v>18821044</v>
      </c>
      <c r="AU437" s="12">
        <v>39495</v>
      </c>
      <c r="BB437" t="s">
        <v>912</v>
      </c>
      <c r="BC437" s="7">
        <v>39372</v>
      </c>
      <c r="BG437">
        <v>126</v>
      </c>
      <c r="BH437" s="17">
        <f t="shared" ca="1" si="6"/>
        <v>155</v>
      </c>
      <c r="BI437" s="17"/>
      <c r="BJ437" s="17"/>
    </row>
    <row r="438" spans="1:62" hidden="1">
      <c r="A438">
        <v>28000688</v>
      </c>
      <c r="B438" s="2" t="str">
        <f>HYPERLINK("http://www.windermere.com/index.cfm?fuseaction=Listing.ListingDetail&amp;ListingID=19147071","Active")</f>
        <v>Active</v>
      </c>
      <c r="D438" t="s">
        <v>1024</v>
      </c>
      <c r="E438" t="s">
        <v>1297</v>
      </c>
      <c r="F438" s="10">
        <v>1250000</v>
      </c>
      <c r="G438" t="s">
        <v>495</v>
      </c>
      <c r="H438" s="1">
        <v>3930</v>
      </c>
      <c r="I438">
        <v>4800</v>
      </c>
      <c r="J438">
        <v>5</v>
      </c>
      <c r="K438">
        <v>4</v>
      </c>
      <c r="M438" s="2" t="str">
        <f>HYPERLINK("http://www.windermere.com/index.cfm?fuseaction=Listing.MapPropertyInteractive&amp;ListingID=19147071&amp;resize=true&amp;windowWidth=800&amp;windowHeight=600","Map")</f>
        <v>Map</v>
      </c>
      <c r="O438" s="2" t="str">
        <f>HYPERLINK("http://www.windermere.com/index.cfm?fuseaction=Listing.MultiImageViewer&amp;ListingID=19147071&amp;ln=28000688&amp;pub_mls=1","More")</f>
        <v>More</v>
      </c>
      <c r="P438" t="s">
        <v>44</v>
      </c>
      <c r="AI438" t="s">
        <v>66</v>
      </c>
      <c r="AJ438">
        <v>98117</v>
      </c>
      <c r="AS438" t="s">
        <v>1298</v>
      </c>
      <c r="AT438">
        <v>19147071</v>
      </c>
      <c r="AU438" s="12">
        <v>39495</v>
      </c>
      <c r="BB438" t="s">
        <v>912</v>
      </c>
      <c r="BC438" s="7">
        <v>39449</v>
      </c>
      <c r="BG438">
        <v>49</v>
      </c>
      <c r="BH438" s="17">
        <f t="shared" ca="1" si="6"/>
        <v>78</v>
      </c>
      <c r="BI438" s="17"/>
      <c r="BJ438" s="17"/>
    </row>
    <row r="439" spans="1:62" hidden="1">
      <c r="A439">
        <v>27167528</v>
      </c>
      <c r="B439" s="2" t="str">
        <f>HYPERLINK("http://www.windermere.com/index.cfm?fuseaction=Listing.ListingDetail&amp;ListingID=18622733","Active")</f>
        <v>Active</v>
      </c>
      <c r="D439" t="s">
        <v>78</v>
      </c>
      <c r="E439" t="s">
        <v>1302</v>
      </c>
      <c r="F439" s="10">
        <v>1445000</v>
      </c>
      <c r="G439" t="s">
        <v>1300</v>
      </c>
      <c r="H439" s="1">
        <v>2310</v>
      </c>
      <c r="I439">
        <v>11283</v>
      </c>
      <c r="J439">
        <v>4</v>
      </c>
      <c r="K439">
        <v>3</v>
      </c>
      <c r="M439" s="2" t="str">
        <f>HYPERLINK("http://www.windermere.com/index.cfm?fuseaction=Listing.MapPropertyInteractive&amp;ListingID=18622733&amp;resize=true&amp;windowWidth=800&amp;windowHeight=600","Map")</f>
        <v>Map</v>
      </c>
      <c r="O439" s="2" t="str">
        <f>HYPERLINK("http://www.windermere.com/index.cfm?fuseaction=Listing.MultiImageViewer&amp;ListingID=18622733&amp;ln=27167528&amp;pub_mls=1","More")</f>
        <v>More</v>
      </c>
      <c r="P439" t="s">
        <v>44</v>
      </c>
      <c r="AI439" t="s">
        <v>66</v>
      </c>
      <c r="AJ439">
        <v>98117</v>
      </c>
      <c r="AS439" t="s">
        <v>1303</v>
      </c>
      <c r="AT439">
        <v>18622733</v>
      </c>
      <c r="AU439" s="12">
        <v>39495</v>
      </c>
      <c r="BB439" t="s">
        <v>912</v>
      </c>
      <c r="BC439" s="7">
        <v>39337</v>
      </c>
      <c r="BG439">
        <v>161</v>
      </c>
      <c r="BH439" s="17">
        <f t="shared" ca="1" si="6"/>
        <v>190</v>
      </c>
      <c r="BI439" s="17"/>
      <c r="BJ439" s="17"/>
    </row>
    <row r="440" spans="1:62" hidden="1">
      <c r="A440">
        <v>27198848</v>
      </c>
      <c r="B440" s="2" t="str">
        <f>HYPERLINK("http://www.windermere.com/index.cfm?fuseaction=Listing.ListingDetail&amp;ListingID=18930143","Active")</f>
        <v>Active</v>
      </c>
      <c r="D440" t="s">
        <v>101</v>
      </c>
      <c r="E440" t="s">
        <v>1304</v>
      </c>
      <c r="F440" s="10">
        <v>1590000</v>
      </c>
      <c r="G440" t="s">
        <v>1187</v>
      </c>
      <c r="H440" s="1">
        <v>2870</v>
      </c>
      <c r="J440">
        <v>4</v>
      </c>
      <c r="K440">
        <v>3.5</v>
      </c>
      <c r="M440" s="2" t="str">
        <f>HYPERLINK("http://www.windermere.com/index.cfm?fuseaction=Listing.MapPropertyInteractive&amp;ListingID=18930143&amp;resize=true&amp;windowWidth=800&amp;windowHeight=600","Map")</f>
        <v>Map</v>
      </c>
      <c r="O440" s="2" t="str">
        <f>HYPERLINK("http://www.windermere.com/index.cfm?fuseaction=Listing.MultiImageViewer&amp;ListingID=18930143&amp;ln=27198848&amp;pub_mls=1","More")</f>
        <v>More</v>
      </c>
      <c r="P440" t="s">
        <v>44</v>
      </c>
      <c r="AI440" t="s">
        <v>66</v>
      </c>
      <c r="AJ440">
        <v>98117</v>
      </c>
      <c r="AS440" t="s">
        <v>1305</v>
      </c>
      <c r="AT440">
        <v>18930143</v>
      </c>
      <c r="AU440" s="12">
        <v>39495</v>
      </c>
      <c r="BB440" t="s">
        <v>912</v>
      </c>
      <c r="BC440" s="7">
        <v>39396</v>
      </c>
      <c r="BG440">
        <v>102</v>
      </c>
      <c r="BH440" s="17">
        <f t="shared" ca="1" si="6"/>
        <v>131</v>
      </c>
      <c r="BI440" s="17"/>
      <c r="BJ440" s="17"/>
    </row>
    <row r="441" spans="1:62" hidden="1">
      <c r="A441">
        <v>27209871</v>
      </c>
      <c r="B441" s="2" t="str">
        <f>HYPERLINK("http://www.windermere.com/index.cfm?fuseaction=Listing.ListingDetail&amp;ListingID=19461870","Active")</f>
        <v>Active</v>
      </c>
      <c r="D441" t="s">
        <v>1024</v>
      </c>
      <c r="E441" t="s">
        <v>1306</v>
      </c>
      <c r="F441" s="18">
        <v>1500000</v>
      </c>
      <c r="G441" t="s">
        <v>173</v>
      </c>
      <c r="H441" s="1">
        <v>4550</v>
      </c>
      <c r="I441">
        <v>10000</v>
      </c>
      <c r="J441" s="3">
        <v>5</v>
      </c>
      <c r="K441">
        <v>3</v>
      </c>
      <c r="M441" s="2" t="str">
        <f>HYPERLINK("http://www.windermere.com/index.cfm?fuseaction=Listing.MapPropertyInteractive&amp;ListingID=19461870&amp;resize=true&amp;windowWidth=800&amp;windowHeight=600","Map")</f>
        <v>Map</v>
      </c>
      <c r="O441" s="2" t="str">
        <f>HYPERLINK("http://www.windermere.com/index.cfm?fuseaction=viewGallery.Home&amp;customTourID=202361&amp;wvt=0","More")</f>
        <v>More</v>
      </c>
      <c r="P441" t="s">
        <v>44</v>
      </c>
      <c r="AI441" t="s">
        <v>66</v>
      </c>
      <c r="AJ441">
        <v>98117</v>
      </c>
      <c r="AS441" s="19" t="s">
        <v>1619</v>
      </c>
      <c r="AT441" s="19">
        <v>19461870</v>
      </c>
      <c r="AU441" s="12">
        <v>39495</v>
      </c>
      <c r="BB441" t="s">
        <v>912</v>
      </c>
      <c r="BC441" s="7">
        <v>39426</v>
      </c>
      <c r="BG441">
        <v>72</v>
      </c>
      <c r="BH441" s="17">
        <f t="shared" ca="1" si="6"/>
        <v>101</v>
      </c>
      <c r="BI441" s="17"/>
      <c r="BJ441" s="17"/>
    </row>
    <row r="442" spans="1:62" hidden="1">
      <c r="A442">
        <v>28008620</v>
      </c>
      <c r="B442" s="2" t="str">
        <f>HYPERLINK("http://www.windermere.com/index.cfm?fuseaction=Listing.ListingDetail&amp;ListingID=19229227","Active")</f>
        <v>Active</v>
      </c>
      <c r="D442" t="s">
        <v>101</v>
      </c>
      <c r="E442" t="s">
        <v>1307</v>
      </c>
      <c r="F442" s="10">
        <v>1795000</v>
      </c>
      <c r="G442" t="s">
        <v>1308</v>
      </c>
      <c r="H442" s="1">
        <v>3830</v>
      </c>
      <c r="I442">
        <v>16048</v>
      </c>
      <c r="J442">
        <v>4</v>
      </c>
      <c r="K442">
        <v>3.5</v>
      </c>
      <c r="M442" s="2" t="str">
        <f>HYPERLINK("http://www.windermere.com/index.cfm?fuseaction=Listing.MapPropertyInteractive&amp;ListingID=19229227&amp;resize=true&amp;windowWidth=800&amp;windowHeight=600","Map")</f>
        <v>Map</v>
      </c>
      <c r="O442" s="2" t="str">
        <f>HYPERLINK("http://www.windermere.com/index.cfm?fuseaction=viewGallery.Home&amp;customTourID=203992&amp;wvt=0","More")</f>
        <v>More</v>
      </c>
      <c r="P442" t="s">
        <v>44</v>
      </c>
      <c r="AI442" t="s">
        <v>66</v>
      </c>
      <c r="AJ442">
        <v>98117</v>
      </c>
      <c r="AS442" t="s">
        <v>1309</v>
      </c>
      <c r="AT442">
        <v>19229227</v>
      </c>
      <c r="AU442" s="12">
        <v>39495</v>
      </c>
      <c r="BB442" t="s">
        <v>912</v>
      </c>
      <c r="BC442" s="7">
        <v>39466</v>
      </c>
      <c r="BG442">
        <v>32</v>
      </c>
      <c r="BH442" s="17">
        <f t="shared" ca="1" si="6"/>
        <v>61</v>
      </c>
      <c r="BI442" s="17"/>
      <c r="BJ442" s="17"/>
    </row>
    <row r="443" spans="1:62" hidden="1">
      <c r="A443">
        <v>28026914</v>
      </c>
      <c r="B443" s="2" t="str">
        <f>HYPERLINK("http://www.windermere.com/index.cfm?fuseaction=Listing.ListingDetail&amp;ListingID=19387987","Active")</f>
        <v>Active</v>
      </c>
      <c r="D443" t="s">
        <v>42</v>
      </c>
      <c r="E443" t="s">
        <v>1352</v>
      </c>
      <c r="F443" s="10">
        <v>349950</v>
      </c>
      <c r="G443" t="s">
        <v>132</v>
      </c>
      <c r="H443" s="1">
        <v>870</v>
      </c>
      <c r="I443">
        <v>5460</v>
      </c>
      <c r="J443">
        <v>2</v>
      </c>
      <c r="K443">
        <v>1</v>
      </c>
      <c r="M443" s="2" t="str">
        <f>HYPERLINK("http://www.windermere.com/index.cfm?fuseaction=Listing.MapPropertyInteractive&amp;ListingID=19387987&amp;resize=true&amp;windowWidth=800&amp;windowHeight=600","Map")</f>
        <v>Map</v>
      </c>
      <c r="O443" s="2" t="str">
        <f>HYPERLINK("http://www.windermere.com/index.cfm?fuseaction=viewGallery.Home&amp;customTourID=207470&amp;wvt=0","More")</f>
        <v>More</v>
      </c>
      <c r="AI443" t="s">
        <v>66</v>
      </c>
      <c r="AJ443">
        <v>98133</v>
      </c>
      <c r="AS443" t="s">
        <v>1353</v>
      </c>
      <c r="AT443">
        <v>19387987</v>
      </c>
      <c r="AU443" s="7">
        <v>39497</v>
      </c>
      <c r="BB443" t="s">
        <v>912</v>
      </c>
      <c r="BC443" s="7">
        <v>39496</v>
      </c>
      <c r="BD443">
        <v>2</v>
      </c>
      <c r="BE443" t="s">
        <v>1383</v>
      </c>
      <c r="BG443">
        <v>2</v>
      </c>
    </row>
    <row r="444" spans="1:62" hidden="1">
      <c r="A444">
        <v>28029437</v>
      </c>
      <c r="B444" s="2" t="str">
        <f>HYPERLINK("http://www.windermere.com/index.cfm?fuseaction=Listing.ListingDetail&amp;ListingID=19389689","Active")</f>
        <v>Active</v>
      </c>
      <c r="D444" t="s">
        <v>60</v>
      </c>
      <c r="E444" t="s">
        <v>1354</v>
      </c>
      <c r="F444" s="10">
        <v>350000</v>
      </c>
      <c r="G444" t="s">
        <v>137</v>
      </c>
      <c r="H444">
        <v>840</v>
      </c>
      <c r="I444">
        <v>5904</v>
      </c>
      <c r="J444">
        <v>2</v>
      </c>
      <c r="K444">
        <v>1</v>
      </c>
      <c r="M444" s="2" t="str">
        <f>HYPERLINK("http://www.windermere.com/index.cfm?fuseaction=Listing.MapPropertyInteractive&amp;ListingID=19389689&amp;resize=true&amp;windowWidth=800&amp;windowHeight=600","Map")</f>
        <v>Map</v>
      </c>
      <c r="AI444" t="s">
        <v>66</v>
      </c>
      <c r="AJ444">
        <v>98103</v>
      </c>
      <c r="AS444" t="s">
        <v>1355</v>
      </c>
      <c r="AT444">
        <v>19389689</v>
      </c>
      <c r="AU444" s="7">
        <v>39497</v>
      </c>
      <c r="BB444" t="s">
        <v>912</v>
      </c>
      <c r="BC444" s="7">
        <v>39497</v>
      </c>
      <c r="BD444">
        <v>2</v>
      </c>
      <c r="BE444" t="s">
        <v>1382</v>
      </c>
      <c r="BG444">
        <v>1</v>
      </c>
    </row>
    <row r="445" spans="1:62" hidden="1">
      <c r="A445">
        <v>28029674</v>
      </c>
      <c r="B445" s="2" t="str">
        <f>HYPERLINK("http://www.windermere.com/index.cfm?fuseaction=Listing.ListingDetail&amp;ListingID=19390786","Active")</f>
        <v>Active</v>
      </c>
      <c r="D445" t="s">
        <v>920</v>
      </c>
      <c r="E445" t="s">
        <v>1356</v>
      </c>
      <c r="F445" s="18">
        <v>369950</v>
      </c>
      <c r="G445" t="s">
        <v>247</v>
      </c>
      <c r="H445" s="1">
        <v>1845</v>
      </c>
      <c r="J445">
        <v>3</v>
      </c>
      <c r="K445">
        <v>3.5</v>
      </c>
      <c r="M445" s="2" t="str">
        <f>HYPERLINK("http://www.windermere.com/index.cfm?fuseaction=Listing.MapPropertyInteractive&amp;ListingID=19390786&amp;resize=true&amp;windowWidth=800&amp;windowHeight=600","Map")</f>
        <v>Map</v>
      </c>
      <c r="O445" s="2" t="str">
        <f>HYPERLINK("http://www.windermere.com/index.cfm?fuseaction=Listing.MultiImageViewer&amp;ListingID=19390786&amp;ln=28029674&amp;pub_mls=1","More")</f>
        <v>More</v>
      </c>
      <c r="AI445" t="s">
        <v>66</v>
      </c>
      <c r="AJ445">
        <v>98125</v>
      </c>
      <c r="AS445" t="s">
        <v>1357</v>
      </c>
      <c r="AT445">
        <v>19390786</v>
      </c>
      <c r="AU445" s="7">
        <v>39497</v>
      </c>
      <c r="BB445" t="s">
        <v>912</v>
      </c>
      <c r="BC445" s="7">
        <v>39497</v>
      </c>
      <c r="BD445">
        <v>3</v>
      </c>
      <c r="BE445" t="s">
        <v>1327</v>
      </c>
      <c r="BG445">
        <v>1</v>
      </c>
    </row>
    <row r="446" spans="1:62" hidden="1">
      <c r="A446">
        <v>28029629</v>
      </c>
      <c r="B446" s="2" t="str">
        <f>HYPERLINK("http://www.windermere.com/index.cfm?fuseaction=Listing.ListingDetail&amp;ListingID=19390529","Active")</f>
        <v>Active</v>
      </c>
      <c r="D446" t="s">
        <v>920</v>
      </c>
      <c r="E446" t="s">
        <v>1358</v>
      </c>
      <c r="F446" s="18">
        <v>359950</v>
      </c>
      <c r="G446" t="s">
        <v>147</v>
      </c>
      <c r="H446" s="1">
        <v>1680</v>
      </c>
      <c r="J446">
        <v>3</v>
      </c>
      <c r="K446">
        <v>3.5</v>
      </c>
      <c r="M446" s="2" t="str">
        <f>HYPERLINK("http://www.windermere.com/index.cfm?fuseaction=Listing.MapPropertyInteractive&amp;ListingID=19390529&amp;resize=true&amp;windowWidth=800&amp;windowHeight=600","Map")</f>
        <v>Map</v>
      </c>
      <c r="O446" s="2" t="str">
        <f>HYPERLINK("http://www.windermere.com/index.cfm?fuseaction=Listing.MultiImageViewer&amp;ListingID=19390529&amp;ln=28029629&amp;pub_mls=1","More")</f>
        <v>More</v>
      </c>
      <c r="AI446" t="s">
        <v>66</v>
      </c>
      <c r="AJ446">
        <v>98125</v>
      </c>
      <c r="AS446" t="s">
        <v>1359</v>
      </c>
      <c r="AT446">
        <v>19390529</v>
      </c>
      <c r="AU446" s="7">
        <v>39497</v>
      </c>
      <c r="BB446" t="s">
        <v>912</v>
      </c>
      <c r="BC446" s="7">
        <v>39497</v>
      </c>
      <c r="BD446">
        <v>3</v>
      </c>
      <c r="BE446" t="s">
        <v>1327</v>
      </c>
      <c r="BG446">
        <v>1</v>
      </c>
    </row>
    <row r="447" spans="1:62" hidden="1">
      <c r="A447">
        <v>28029687</v>
      </c>
      <c r="B447" s="4" t="str">
        <f>HYPERLINK("http://www.windermere.com/index.cfm?fuseaction=Listing.ListingDetail&amp;ListingID=19390872","Subject To Inspection")</f>
        <v>Subject To Inspection</v>
      </c>
      <c r="D447" t="s">
        <v>920</v>
      </c>
      <c r="E447" t="s">
        <v>1360</v>
      </c>
      <c r="F447" s="10">
        <v>383900</v>
      </c>
      <c r="G447" t="s">
        <v>247</v>
      </c>
      <c r="H447" s="1">
        <v>1845</v>
      </c>
      <c r="J447">
        <v>3</v>
      </c>
      <c r="K447">
        <v>3.5</v>
      </c>
      <c r="M447" s="2" t="str">
        <f>HYPERLINK("http://www.windermere.com/index.cfm?fuseaction=Listing.MapPropertyInteractive&amp;ListingID=19390872&amp;resize=true&amp;windowWidth=800&amp;windowHeight=600","Map")</f>
        <v>Map</v>
      </c>
      <c r="O447" s="2" t="str">
        <f>HYPERLINK("http://www.windermere.com/index.cfm?fuseaction=Listing.MultiImageViewer&amp;ListingID=19390872&amp;ln=28029687&amp;pub_mls=1","More")</f>
        <v>More</v>
      </c>
      <c r="AI447" t="s">
        <v>66</v>
      </c>
      <c r="AJ447">
        <v>98125</v>
      </c>
      <c r="AS447" t="s">
        <v>1361</v>
      </c>
      <c r="AT447">
        <v>19390872</v>
      </c>
      <c r="AU447" s="7">
        <v>39497</v>
      </c>
      <c r="BB447" t="s">
        <v>912</v>
      </c>
      <c r="BC447" s="7">
        <v>39497</v>
      </c>
      <c r="BD447">
        <v>3</v>
      </c>
      <c r="BE447" t="s">
        <v>1327</v>
      </c>
      <c r="BG447">
        <v>1</v>
      </c>
    </row>
    <row r="448" spans="1:62" hidden="1">
      <c r="A448">
        <v>28029300</v>
      </c>
      <c r="B448" s="15" t="str">
        <f>HYPERLINK("http://www.windermere.com/index.cfm?fuseaction=Listing.ListingDetail&amp;ListingID=19389098","Subject To Inspection")</f>
        <v>Subject To Inspection</v>
      </c>
      <c r="D448" t="s">
        <v>213</v>
      </c>
      <c r="E448" t="s">
        <v>1362</v>
      </c>
      <c r="F448" s="10">
        <v>389000</v>
      </c>
      <c r="G448" t="s">
        <v>135</v>
      </c>
      <c r="H448" s="1">
        <v>1100</v>
      </c>
      <c r="I448">
        <v>8657</v>
      </c>
      <c r="J448">
        <v>2</v>
      </c>
      <c r="K448">
        <v>1</v>
      </c>
      <c r="M448" s="2" t="str">
        <f>HYPERLINK("http://www.windermere.com/index.cfm?fuseaction=Listing.MapPropertyInteractive&amp;ListingID=19389098&amp;resize=true&amp;windowWidth=800&amp;windowHeight=600","Map")</f>
        <v>Map</v>
      </c>
      <c r="O448" s="2" t="str">
        <f>HYPERLINK("http://www.windermere.com/index.cfm?fuseaction=Listing.MultiImageViewer&amp;ListingID=19389098&amp;ln=28029300&amp;pub_mls=1","More")</f>
        <v>More</v>
      </c>
      <c r="AI448" t="s">
        <v>66</v>
      </c>
      <c r="AJ448">
        <v>98125</v>
      </c>
      <c r="AS448" t="s">
        <v>1363</v>
      </c>
      <c r="AT448">
        <v>19389098</v>
      </c>
      <c r="AU448" s="7">
        <v>39497</v>
      </c>
      <c r="BB448" t="s">
        <v>912</v>
      </c>
      <c r="BC448" s="7">
        <v>39497</v>
      </c>
      <c r="BD448">
        <v>4</v>
      </c>
      <c r="BE448" t="s">
        <v>1384</v>
      </c>
      <c r="BF448" t="s">
        <v>1345</v>
      </c>
      <c r="BG448">
        <v>1</v>
      </c>
    </row>
    <row r="449" spans="1:59" hidden="1">
      <c r="A449">
        <v>28029872</v>
      </c>
      <c r="B449" s="15" t="str">
        <f>HYPERLINK("http://www.windermere.com/index.cfm?fuseaction=Listing.ListingDetail&amp;ListingID=19391774","Subject To Inspection")</f>
        <v>Subject To Inspection</v>
      </c>
      <c r="D449" t="s">
        <v>920</v>
      </c>
      <c r="E449" t="s">
        <v>1338</v>
      </c>
      <c r="F449" s="10">
        <v>398000</v>
      </c>
      <c r="G449" t="s">
        <v>617</v>
      </c>
      <c r="H449" s="1">
        <v>1290</v>
      </c>
      <c r="I449">
        <v>6397</v>
      </c>
      <c r="J449">
        <v>3</v>
      </c>
      <c r="K449">
        <v>1.5</v>
      </c>
      <c r="M449" s="2" t="str">
        <f>HYPERLINK("http://www.windermere.com/index.cfm?fuseaction=Listing.MapPropertyInteractive&amp;ListingID=19391774&amp;resize=true&amp;windowWidth=800&amp;windowHeight=600","Map")</f>
        <v>Map</v>
      </c>
      <c r="O449" s="2" t="str">
        <f>HYPERLINK("http://www.windermere.com/index.cfm?fuseaction=Listing.MultiImageViewer&amp;ListingID=19391774&amp;ln=28029872&amp;pub_mls=1","More")</f>
        <v>More</v>
      </c>
      <c r="AI449" t="s">
        <v>66</v>
      </c>
      <c r="AJ449">
        <v>98103</v>
      </c>
      <c r="AS449" t="s">
        <v>1364</v>
      </c>
      <c r="AT449">
        <v>19391774</v>
      </c>
      <c r="AU449" s="7">
        <v>39497</v>
      </c>
      <c r="BB449" t="s">
        <v>912</v>
      </c>
      <c r="BC449" s="7">
        <v>39497</v>
      </c>
      <c r="BD449">
        <v>4</v>
      </c>
      <c r="BE449" t="s">
        <v>1385</v>
      </c>
      <c r="BF449" t="s">
        <v>1345</v>
      </c>
      <c r="BG449">
        <v>1</v>
      </c>
    </row>
    <row r="450" spans="1:59" hidden="1">
      <c r="A450">
        <v>28029600</v>
      </c>
      <c r="B450" s="15" t="str">
        <f>HYPERLINK("http://www.windermere.com/index.cfm?fuseaction=Listing.ListingDetail&amp;ListingID=19390333","Subject To Inspection")</f>
        <v>Subject To Inspection</v>
      </c>
      <c r="D450" t="s">
        <v>968</v>
      </c>
      <c r="E450" t="s">
        <v>1366</v>
      </c>
      <c r="F450" s="10">
        <v>429950</v>
      </c>
      <c r="G450" t="s">
        <v>186</v>
      </c>
      <c r="H450" s="1">
        <v>1580</v>
      </c>
      <c r="I450">
        <v>6891</v>
      </c>
      <c r="J450">
        <v>3</v>
      </c>
      <c r="K450">
        <v>1.75</v>
      </c>
      <c r="M450" s="2" t="str">
        <f>HYPERLINK("http://www.windermere.com/index.cfm?fuseaction=Listing.MapPropertyInteractive&amp;ListingID=19390333&amp;resize=true&amp;windowWidth=800&amp;windowHeight=600","Map")</f>
        <v>Map</v>
      </c>
      <c r="O450" s="2" t="str">
        <f>HYPERLINK("http://www.windermere.com/index.cfm?fuseaction=Listing.MultiImageViewer&amp;ListingID=19390333&amp;ln=28029600&amp;pub_mls=1","More")</f>
        <v>More</v>
      </c>
      <c r="AI450" t="s">
        <v>66</v>
      </c>
      <c r="AJ450">
        <v>98125</v>
      </c>
      <c r="AS450" t="s">
        <v>1367</v>
      </c>
      <c r="AT450">
        <v>19390333</v>
      </c>
      <c r="AU450" s="7">
        <v>39497</v>
      </c>
      <c r="BB450" t="s">
        <v>912</v>
      </c>
      <c r="BC450" s="7">
        <v>39497</v>
      </c>
      <c r="BD450">
        <v>4</v>
      </c>
      <c r="BE450" t="s">
        <v>1386</v>
      </c>
      <c r="BG450">
        <v>1</v>
      </c>
    </row>
    <row r="451" spans="1:59" hidden="1">
      <c r="A451">
        <v>28008686</v>
      </c>
      <c r="B451" s="2" t="str">
        <f>HYPERLINK("http://www.windermere.com/index.cfm?fuseaction=Listing.ListingDetail&amp;ListingID=19223951","Active")</f>
        <v>Active</v>
      </c>
      <c r="D451" t="s">
        <v>204</v>
      </c>
      <c r="E451" t="s">
        <v>1368</v>
      </c>
      <c r="F451" s="10">
        <v>495950</v>
      </c>
      <c r="G451" t="s">
        <v>1369</v>
      </c>
      <c r="H451" s="1">
        <v>1890</v>
      </c>
      <c r="I451">
        <v>7200</v>
      </c>
      <c r="J451">
        <v>3</v>
      </c>
      <c r="K451">
        <v>2.5</v>
      </c>
      <c r="M451" s="2" t="str">
        <f>HYPERLINK("http://www.windermere.com/index.cfm?fuseaction=Listing.MapPropertyInteractive&amp;ListingID=19223951&amp;resize=true&amp;windowWidth=800&amp;windowHeight=600","Map")</f>
        <v>Map</v>
      </c>
      <c r="O451" s="2" t="str">
        <f>HYPERLINK("http://www.windermere.com/index.cfm?fuseaction=Listing.MultiImageViewer&amp;ListingID=19223951&amp;ln=28008686&amp;pub_mls=1","More")</f>
        <v>More</v>
      </c>
      <c r="AI451" t="s">
        <v>66</v>
      </c>
      <c r="AJ451">
        <v>98125</v>
      </c>
      <c r="AS451" t="s">
        <v>1370</v>
      </c>
      <c r="AT451">
        <v>19223951</v>
      </c>
      <c r="AU451" s="7">
        <v>39497</v>
      </c>
      <c r="BB451" t="s">
        <v>912</v>
      </c>
      <c r="BC451" s="7">
        <v>39497</v>
      </c>
      <c r="BD451">
        <v>1</v>
      </c>
      <c r="BE451" t="s">
        <v>1387</v>
      </c>
      <c r="BG451">
        <v>1</v>
      </c>
    </row>
    <row r="452" spans="1:59" hidden="1">
      <c r="A452">
        <v>28029324</v>
      </c>
      <c r="B452" s="4" t="str">
        <f>HYPERLINK("http://www.windermere.com/index.cfm?fuseaction=Listing.ListingDetail&amp;ListingID=19390093","Subject To Inspection")</f>
        <v>Subject To Inspection</v>
      </c>
      <c r="D452" t="s">
        <v>63</v>
      </c>
      <c r="E452" t="s">
        <v>1372</v>
      </c>
      <c r="F452" s="18">
        <v>495000</v>
      </c>
      <c r="G452" t="s">
        <v>159</v>
      </c>
      <c r="H452" s="1">
        <v>1760</v>
      </c>
      <c r="I452">
        <v>4013</v>
      </c>
      <c r="J452">
        <v>3</v>
      </c>
      <c r="K452">
        <v>1.75</v>
      </c>
      <c r="M452" s="2" t="str">
        <f>HYPERLINK("http://www.windermere.com/index.cfm?fuseaction=Listing.MapPropertyInteractive&amp;ListingID=19390093&amp;resize=true&amp;windowWidth=800&amp;windowHeight=600","Map")</f>
        <v>Map</v>
      </c>
      <c r="O452" s="2" t="str">
        <f>HYPERLINK("http://www.windermere.com/index.cfm?fuseaction=Listing.MultiImageViewer&amp;ListingID=19390093&amp;ln=28029324&amp;pub_mls=1","More")</f>
        <v>More</v>
      </c>
      <c r="P452" t="s">
        <v>44</v>
      </c>
      <c r="AI452" t="s">
        <v>66</v>
      </c>
      <c r="AJ452">
        <v>98117</v>
      </c>
      <c r="AS452" t="s">
        <v>1373</v>
      </c>
      <c r="AT452">
        <v>19390093</v>
      </c>
      <c r="AU452" s="7">
        <v>39497</v>
      </c>
      <c r="BB452" t="s">
        <v>912</v>
      </c>
      <c r="BC452" s="7">
        <v>39497</v>
      </c>
      <c r="BD452">
        <v>2</v>
      </c>
      <c r="BE452" t="s">
        <v>1388</v>
      </c>
      <c r="BG452">
        <v>1</v>
      </c>
    </row>
    <row r="453" spans="1:59" hidden="1">
      <c r="A453">
        <v>28030154</v>
      </c>
      <c r="B453" s="4" t="str">
        <f>HYPERLINK("http://www.windermere.com/index.cfm?fuseaction=Listing.ListingDetail&amp;ListingID=19394909","Subject To Inspection")</f>
        <v>Subject To Inspection</v>
      </c>
      <c r="D453" t="s">
        <v>55</v>
      </c>
      <c r="E453" t="s">
        <v>1389</v>
      </c>
      <c r="F453" s="10">
        <v>319000</v>
      </c>
      <c r="G453" t="s">
        <v>126</v>
      </c>
      <c r="H453">
        <v>970</v>
      </c>
      <c r="I453">
        <v>6350</v>
      </c>
      <c r="J453">
        <v>2</v>
      </c>
      <c r="K453">
        <v>1</v>
      </c>
      <c r="M453" s="2" t="str">
        <f>HYPERLINK("http://www.windermere.com/index.cfm?fuseaction=Listing.MapPropertyInteractive&amp;ListingID=19394909&amp;resize=true&amp;windowWidth=800&amp;windowHeight=600","Map")</f>
        <v>Map</v>
      </c>
      <c r="O453" s="2" t="str">
        <f>HYPERLINK("http://www.windermere.com/index.cfm?fuseaction=Listing.MultiImageViewer&amp;ListingID=19394909&amp;ln=28030154&amp;pub_mls=1","More")</f>
        <v>More</v>
      </c>
      <c r="AI453" t="s">
        <v>66</v>
      </c>
      <c r="AJ453">
        <v>98117</v>
      </c>
      <c r="AS453" t="s">
        <v>1390</v>
      </c>
      <c r="AT453">
        <v>19394909</v>
      </c>
      <c r="AU453" s="7">
        <v>39498</v>
      </c>
      <c r="BB453" t="s">
        <v>912</v>
      </c>
      <c r="BC453" s="7">
        <v>39497</v>
      </c>
      <c r="BD453">
        <v>-4</v>
      </c>
      <c r="BE453" t="s">
        <v>1409</v>
      </c>
      <c r="BG453">
        <v>1</v>
      </c>
    </row>
    <row r="454" spans="1:59" hidden="1">
      <c r="A454">
        <v>28030632</v>
      </c>
      <c r="B454" s="2" t="str">
        <f>HYPERLINK("http://www.windermere.com/index.cfm?fuseaction=Listing.ListingDetail&amp;ListingID=19398213","Active")</f>
        <v>Active</v>
      </c>
      <c r="D454" t="s">
        <v>55</v>
      </c>
      <c r="E454" t="s">
        <v>1391</v>
      </c>
      <c r="F454" s="10">
        <v>349000</v>
      </c>
      <c r="G454" t="s">
        <v>247</v>
      </c>
      <c r="H454" s="1">
        <v>1409</v>
      </c>
      <c r="J454">
        <v>3</v>
      </c>
      <c r="K454" s="19">
        <v>3.25</v>
      </c>
      <c r="M454" s="2" t="str">
        <f>HYPERLINK("http://www.windermere.com/index.cfm?fuseaction=Listing.MapPropertyInteractive&amp;ListingID=19398213&amp;resize=true&amp;windowWidth=800&amp;windowHeight=600","Map")</f>
        <v>Map</v>
      </c>
      <c r="O454" s="2" t="str">
        <f>HYPERLINK("http://www.windermere.com/index.cfm?fuseaction=Listing.MultiImageViewer&amp;ListingID=19398213&amp;ln=28030632&amp;pub_mls=1","More")</f>
        <v>More</v>
      </c>
      <c r="AI454" t="s">
        <v>66</v>
      </c>
      <c r="AJ454">
        <v>98133</v>
      </c>
      <c r="AS454" t="s">
        <v>1392</v>
      </c>
      <c r="AT454">
        <v>19398213</v>
      </c>
      <c r="AU454" s="7">
        <v>39498</v>
      </c>
      <c r="BB454" t="s">
        <v>912</v>
      </c>
      <c r="BC454" s="7">
        <v>39497</v>
      </c>
      <c r="BD454">
        <v>-3</v>
      </c>
      <c r="BE454" t="s">
        <v>1327</v>
      </c>
      <c r="BG454">
        <v>1</v>
      </c>
    </row>
    <row r="455" spans="1:59" hidden="1">
      <c r="A455">
        <v>28030545</v>
      </c>
      <c r="B455" s="15" t="str">
        <f>HYPERLINK("http://www.windermere.com/index.cfm?fuseaction=Listing.ListingDetail&amp;ListingID=19397485","Subject To Inspection")</f>
        <v>Subject To Inspection</v>
      </c>
      <c r="D455" t="s">
        <v>66</v>
      </c>
      <c r="E455" t="s">
        <v>1393</v>
      </c>
      <c r="F455" s="10">
        <v>424900</v>
      </c>
      <c r="G455" t="s">
        <v>748</v>
      </c>
      <c r="H455" s="1">
        <v>2010</v>
      </c>
      <c r="I455">
        <v>11245</v>
      </c>
      <c r="J455">
        <v>4</v>
      </c>
      <c r="K455">
        <v>2.5</v>
      </c>
      <c r="M455" s="2" t="str">
        <f>HYPERLINK("http://www.windermere.com/index.cfm?fuseaction=Listing.MapPropertyInteractive&amp;ListingID=19397485&amp;resize=true&amp;windowWidth=800&amp;windowHeight=600","Map")</f>
        <v>Map</v>
      </c>
      <c r="O455" s="2" t="str">
        <f>HYPERLINK("http://www.windermere.com/index.cfm?fuseaction=Listing.MultiImageViewer&amp;ListingID=19397485&amp;ln=28030545&amp;pub_mls=1","More")</f>
        <v>More</v>
      </c>
      <c r="AI455" t="s">
        <v>396</v>
      </c>
      <c r="AJ455">
        <v>98155</v>
      </c>
      <c r="AS455" t="s">
        <v>1394</v>
      </c>
      <c r="AT455">
        <v>19397485</v>
      </c>
      <c r="AU455" s="7">
        <v>39498</v>
      </c>
      <c r="BB455" t="s">
        <v>912</v>
      </c>
      <c r="BC455" s="7">
        <v>39497</v>
      </c>
      <c r="BD455">
        <v>1</v>
      </c>
      <c r="BE455" t="s">
        <v>1410</v>
      </c>
      <c r="BG455">
        <v>1</v>
      </c>
    </row>
    <row r="456" spans="1:59" hidden="1">
      <c r="A456">
        <v>28029921</v>
      </c>
      <c r="B456" s="2" t="str">
        <f>HYPERLINK("http://www.windermere.com/index.cfm?fuseaction=Listing.ListingDetail&amp;ListingID=19393632","Active")</f>
        <v>Active</v>
      </c>
      <c r="D456" t="s">
        <v>60</v>
      </c>
      <c r="E456" t="s">
        <v>1395</v>
      </c>
      <c r="F456" s="10">
        <v>449950</v>
      </c>
      <c r="G456" t="s">
        <v>154</v>
      </c>
      <c r="H456" s="21">
        <v>1800</v>
      </c>
      <c r="I456">
        <v>5100</v>
      </c>
      <c r="J456">
        <v>3</v>
      </c>
      <c r="K456">
        <v>1</v>
      </c>
      <c r="M456" s="2" t="str">
        <f>HYPERLINK("http://www.windermere.com/index.cfm?fuseaction=Listing.MapPropertyInteractive&amp;ListingID=19393632&amp;resize=true&amp;windowWidth=800&amp;windowHeight=600","Map")</f>
        <v>Map</v>
      </c>
      <c r="O456" s="2" t="str">
        <f>HYPERLINK("http://www.windermere.com/index.cfm?fuseaction=Listing.MultiImageViewer&amp;ListingID=19393632&amp;ln=28029921&amp;pub_mls=1","More")</f>
        <v>More</v>
      </c>
      <c r="AI456" t="s">
        <v>66</v>
      </c>
      <c r="AJ456">
        <v>98103</v>
      </c>
      <c r="AS456" t="s">
        <v>1396</v>
      </c>
      <c r="AT456">
        <v>19393632</v>
      </c>
      <c r="AU456" s="7">
        <v>39498</v>
      </c>
      <c r="BB456" t="s">
        <v>912</v>
      </c>
      <c r="BC456" s="7">
        <v>39497</v>
      </c>
      <c r="BD456">
        <v>2</v>
      </c>
      <c r="BE456" t="s">
        <v>1411</v>
      </c>
      <c r="BG456">
        <v>1</v>
      </c>
    </row>
    <row r="457" spans="1:59" hidden="1">
      <c r="A457">
        <v>28030039</v>
      </c>
      <c r="B457" s="2" t="str">
        <f>HYPERLINK("http://www.windermere.com/index.cfm?fuseaction=Listing.ListingDetail&amp;ListingID=19394453","Active")</f>
        <v>Active</v>
      </c>
      <c r="D457" t="s">
        <v>63</v>
      </c>
      <c r="E457" t="s">
        <v>1397</v>
      </c>
      <c r="F457" s="10">
        <v>450000</v>
      </c>
      <c r="G457" t="s">
        <v>227</v>
      </c>
      <c r="H457" s="1">
        <v>1050</v>
      </c>
      <c r="I457">
        <v>2550</v>
      </c>
      <c r="J457">
        <v>2</v>
      </c>
      <c r="K457">
        <v>1</v>
      </c>
      <c r="M457" s="2" t="str">
        <f>HYPERLINK("http://www.windermere.com/index.cfm?fuseaction=Listing.MapPropertyInteractive&amp;ListingID=19394453&amp;resize=true&amp;windowWidth=800&amp;windowHeight=600","Map")</f>
        <v>Map</v>
      </c>
      <c r="O457" s="2" t="str">
        <f>HYPERLINK("http://www.windermere.com/index.cfm?fuseaction=Listing.MultiImageViewer&amp;ListingID=19394453&amp;ln=28030039&amp;pub_mls=1","More")</f>
        <v>More</v>
      </c>
      <c r="AI457" t="s">
        <v>66</v>
      </c>
      <c r="AJ457">
        <v>98117</v>
      </c>
      <c r="AS457" t="s">
        <v>1398</v>
      </c>
      <c r="AT457">
        <v>19394453</v>
      </c>
      <c r="AU457" s="7">
        <v>39498</v>
      </c>
      <c r="BB457" t="s">
        <v>912</v>
      </c>
      <c r="BC457" s="7">
        <v>39497</v>
      </c>
      <c r="BD457">
        <v>-3</v>
      </c>
      <c r="BE457" t="s">
        <v>1412</v>
      </c>
      <c r="BG457">
        <v>1</v>
      </c>
    </row>
    <row r="458" spans="1:59" hidden="1">
      <c r="A458">
        <v>28029447</v>
      </c>
      <c r="B458" s="15" t="str">
        <f>HYPERLINK("http://www.windermere.com/index.cfm?fuseaction=Listing.ListingDetail&amp;ListingID=19395167","Contingent")</f>
        <v>Contingent</v>
      </c>
      <c r="D458" t="s">
        <v>202</v>
      </c>
      <c r="E458" t="s">
        <v>1399</v>
      </c>
      <c r="F458" s="10">
        <v>499000</v>
      </c>
      <c r="G458" t="s">
        <v>168</v>
      </c>
      <c r="H458" s="1">
        <v>1500</v>
      </c>
      <c r="I458">
        <v>6030</v>
      </c>
      <c r="J458">
        <v>3</v>
      </c>
      <c r="K458">
        <v>1.75</v>
      </c>
      <c r="M458" s="2" t="str">
        <f>HYPERLINK("http://www.windermere.com/index.cfm?fuseaction=Listing.MapPropertyInteractive&amp;ListingID=19395167&amp;resize=true&amp;windowWidth=800&amp;windowHeight=600","Map")</f>
        <v>Map</v>
      </c>
      <c r="O458" s="2" t="str">
        <f>HYPERLINK("http://www.windermere.com/index.cfm?fuseaction=Listing.MultiImageViewer&amp;ListingID=19395167&amp;ln=28029447&amp;pub_mls=1","More")</f>
        <v>More</v>
      </c>
      <c r="P458" t="s">
        <v>44</v>
      </c>
      <c r="AI458" t="s">
        <v>66</v>
      </c>
      <c r="AJ458">
        <v>98125</v>
      </c>
      <c r="AS458" t="s">
        <v>1400</v>
      </c>
      <c r="AT458">
        <v>19395167</v>
      </c>
      <c r="AU458" s="7">
        <v>39498</v>
      </c>
      <c r="BB458" t="s">
        <v>912</v>
      </c>
      <c r="BC458" s="7">
        <v>39497</v>
      </c>
      <c r="BD458">
        <v>4</v>
      </c>
      <c r="BF458" t="s">
        <v>1345</v>
      </c>
      <c r="BG458">
        <v>1</v>
      </c>
    </row>
    <row r="459" spans="1:59" hidden="1">
      <c r="A459">
        <v>28030832</v>
      </c>
      <c r="B459" s="15" t="str">
        <f>HYPERLINK("http://www.windermere.com/index.cfm?fuseaction=Listing.ListingDetail&amp;ListingID=19400611","Subject To Inspection")</f>
        <v>Subject To Inspection</v>
      </c>
      <c r="D459" t="s">
        <v>1023</v>
      </c>
      <c r="E459" t="s">
        <v>1415</v>
      </c>
      <c r="F459" s="10">
        <v>362000</v>
      </c>
      <c r="G459" t="s">
        <v>142</v>
      </c>
      <c r="H459" s="1">
        <v>2130</v>
      </c>
      <c r="I459">
        <v>6534</v>
      </c>
      <c r="J459">
        <v>4</v>
      </c>
      <c r="K459">
        <v>2</v>
      </c>
      <c r="M459" s="2" t="str">
        <f>HYPERLINK("http://www.windermere.com/index.cfm?fuseaction=Listing.MapPropertyInteractive&amp;ListingID=19400611&amp;resize=true&amp;windowWidth=800&amp;windowHeight=600","Map")</f>
        <v>Map</v>
      </c>
      <c r="O459" s="2" t="str">
        <f>HYPERLINK("http://www.windermere.com/index.cfm?fuseaction=Listing.MultiImageViewer&amp;ListingID=19400611&amp;ln=28030832&amp;pub_mls=1","More")</f>
        <v>More</v>
      </c>
      <c r="AI459" t="s">
        <v>66</v>
      </c>
      <c r="AJ459">
        <v>98117</v>
      </c>
      <c r="AS459" t="s">
        <v>1416</v>
      </c>
      <c r="AT459">
        <v>19400611</v>
      </c>
      <c r="AU459" s="7">
        <v>39499</v>
      </c>
      <c r="BB459" t="s">
        <v>912</v>
      </c>
      <c r="BC459" s="7">
        <v>39499</v>
      </c>
      <c r="BD459">
        <v>-4</v>
      </c>
      <c r="BE459" t="s">
        <v>1445</v>
      </c>
      <c r="BG459">
        <v>1</v>
      </c>
    </row>
    <row r="460" spans="1:59" hidden="1">
      <c r="A460">
        <v>28030482</v>
      </c>
      <c r="B460" s="2" t="str">
        <f>HYPERLINK("http://www.windermere.com/index.cfm?fuseaction=Listing.ListingDetail&amp;ListingID=19402080","Active")</f>
        <v>Active</v>
      </c>
      <c r="D460" s="3" t="s">
        <v>66</v>
      </c>
      <c r="E460" t="s">
        <v>1417</v>
      </c>
      <c r="F460" s="10">
        <v>375000</v>
      </c>
      <c r="G460" t="s">
        <v>495</v>
      </c>
      <c r="H460" s="1">
        <v>1396</v>
      </c>
      <c r="I460">
        <v>3227</v>
      </c>
      <c r="J460">
        <v>3</v>
      </c>
      <c r="K460">
        <v>2</v>
      </c>
      <c r="M460" s="2" t="str">
        <f>HYPERLINK("http://www.windermere.com/index.cfm?fuseaction=Listing.MapPropertyInteractive&amp;ListingID=19402080&amp;resize=true&amp;windowWidth=800&amp;windowHeight=600","Map")</f>
        <v>Map</v>
      </c>
      <c r="O460" s="2" t="str">
        <f>HYPERLINK("http://www.windermere.com/index.cfm?fuseaction=Listing.MultiImageViewer&amp;ListingID=19402080&amp;ln=28030482&amp;pub_mls=1","More")</f>
        <v>More</v>
      </c>
      <c r="P460" t="s">
        <v>44</v>
      </c>
      <c r="AI460" t="s">
        <v>66</v>
      </c>
      <c r="AJ460">
        <v>98177</v>
      </c>
      <c r="AS460" t="s">
        <v>1418</v>
      </c>
      <c r="AT460">
        <v>19402080</v>
      </c>
      <c r="AU460" s="7">
        <v>39499</v>
      </c>
      <c r="BB460" t="s">
        <v>912</v>
      </c>
      <c r="BC460" s="7">
        <v>39499</v>
      </c>
      <c r="BD460">
        <v>-1</v>
      </c>
      <c r="BE460" t="s">
        <v>1446</v>
      </c>
      <c r="BG460">
        <v>1</v>
      </c>
    </row>
    <row r="461" spans="1:59" hidden="1">
      <c r="A461">
        <v>28031236</v>
      </c>
      <c r="B461" s="2" t="str">
        <f>HYPERLINK("http://www.windermere.com/index.cfm?fuseaction=Listing.ListingDetail&amp;ListingID=19403464","Active")</f>
        <v>Active</v>
      </c>
      <c r="D461" t="s">
        <v>100</v>
      </c>
      <c r="E461" t="s">
        <v>1419</v>
      </c>
      <c r="F461" s="18">
        <v>394500</v>
      </c>
      <c r="G461" t="s">
        <v>424</v>
      </c>
      <c r="H461">
        <v>905</v>
      </c>
      <c r="J461">
        <v>2</v>
      </c>
      <c r="K461">
        <v>1.5</v>
      </c>
      <c r="M461" s="2" t="str">
        <f>HYPERLINK("http://www.windermere.com/index.cfm?fuseaction=Listing.MapPropertyInteractive&amp;ListingID=19403464&amp;resize=true&amp;windowWidth=800&amp;windowHeight=600","Map")</f>
        <v>Map</v>
      </c>
      <c r="O461" s="2" t="str">
        <f>HYPERLINK("http://www.windermere.com/index.cfm?fuseaction=Listing.MultiImageViewer&amp;ListingID=19403464&amp;ln=28031236&amp;pub_mls=1","More")</f>
        <v>More</v>
      </c>
      <c r="P461" t="s">
        <v>44</v>
      </c>
      <c r="AI461" t="s">
        <v>66</v>
      </c>
      <c r="AJ461">
        <v>98103</v>
      </c>
      <c r="AS461" t="s">
        <v>1420</v>
      </c>
      <c r="AT461">
        <v>19403464</v>
      </c>
      <c r="AU461" s="7">
        <v>39499</v>
      </c>
      <c r="BB461" t="s">
        <v>912</v>
      </c>
      <c r="BC461" s="7">
        <v>39499</v>
      </c>
      <c r="BD461">
        <v>-4</v>
      </c>
      <c r="BE461" t="s">
        <v>1447</v>
      </c>
      <c r="BG461">
        <v>1</v>
      </c>
    </row>
    <row r="462" spans="1:59" hidden="1">
      <c r="A462">
        <v>28030415</v>
      </c>
      <c r="B462" s="2" t="str">
        <f>HYPERLINK("http://www.windermere.com/index.cfm?fuseaction=Listing.ListingDetail&amp;ListingID=19403826","Active")</f>
        <v>Active</v>
      </c>
      <c r="D462" t="s">
        <v>100</v>
      </c>
      <c r="E462" s="3" t="s">
        <v>1461</v>
      </c>
      <c r="F462" s="10">
        <v>419000</v>
      </c>
      <c r="G462" t="s">
        <v>173</v>
      </c>
      <c r="H462" s="1">
        <v>1300</v>
      </c>
      <c r="J462">
        <v>4</v>
      </c>
      <c r="K462">
        <v>2</v>
      </c>
      <c r="M462" s="2" t="str">
        <f>HYPERLINK("http://www.windermere.com/index.cfm?fuseaction=Listing.MapPropertyInteractive&amp;ListingID=19403826&amp;resize=true&amp;windowWidth=800&amp;windowHeight=600","Map")</f>
        <v>Map</v>
      </c>
      <c r="O462" s="2" t="str">
        <f>HYPERLINK("http://www.windermere.com/index.cfm?fuseaction=Listing.MultiImageViewer&amp;ListingID=19403826&amp;ln=28030415&amp;pub_mls=1","More")</f>
        <v>More</v>
      </c>
      <c r="AI462" t="s">
        <v>66</v>
      </c>
      <c r="AJ462">
        <v>98103</v>
      </c>
      <c r="AS462" t="s">
        <v>1421</v>
      </c>
      <c r="AT462">
        <v>19403826</v>
      </c>
      <c r="AU462" s="7">
        <v>39499</v>
      </c>
      <c r="BB462" t="s">
        <v>912</v>
      </c>
      <c r="BC462" s="7">
        <v>39499</v>
      </c>
      <c r="BD462">
        <v>-3</v>
      </c>
      <c r="BE462" t="s">
        <v>1448</v>
      </c>
      <c r="BG462">
        <v>1</v>
      </c>
    </row>
    <row r="463" spans="1:59" hidden="1">
      <c r="A463">
        <v>28031354</v>
      </c>
      <c r="B463" s="15" t="str">
        <f>HYPERLINK("http://www.windermere.com/index.cfm?fuseaction=Listing.ListingDetail&amp;ListingID=19404486","Subject To Inspection")</f>
        <v>Subject To Inspection</v>
      </c>
      <c r="D463" t="s">
        <v>70</v>
      </c>
      <c r="E463" t="s">
        <v>1422</v>
      </c>
      <c r="F463" s="10">
        <v>429000</v>
      </c>
      <c r="G463" t="s">
        <v>1423</v>
      </c>
      <c r="H463" s="1">
        <v>1740</v>
      </c>
      <c r="I463">
        <v>7140</v>
      </c>
      <c r="J463">
        <v>3</v>
      </c>
      <c r="K463" s="19">
        <v>2.5</v>
      </c>
      <c r="M463" s="2" t="str">
        <f>HYPERLINK("http://www.windermere.com/index.cfm?fuseaction=Listing.MapPropertyInteractive&amp;ListingID=19404486&amp;resize=true&amp;windowWidth=800&amp;windowHeight=600","Map")</f>
        <v>Map</v>
      </c>
      <c r="AI463" t="s">
        <v>66</v>
      </c>
      <c r="AJ463">
        <v>98177</v>
      </c>
      <c r="AS463" t="s">
        <v>1424</v>
      </c>
      <c r="AT463">
        <v>19404486</v>
      </c>
      <c r="AU463" s="7">
        <v>39499</v>
      </c>
      <c r="BB463" t="s">
        <v>912</v>
      </c>
      <c r="BC463" s="7">
        <v>39499</v>
      </c>
      <c r="BD463">
        <v>1</v>
      </c>
      <c r="BE463" t="s">
        <v>1449</v>
      </c>
      <c r="BG463">
        <v>1</v>
      </c>
    </row>
    <row r="464" spans="1:59" hidden="1">
      <c r="A464">
        <v>28030626</v>
      </c>
      <c r="B464" s="2" t="str">
        <f>HYPERLINK("http://www.windermere.com/index.cfm?fuseaction=Listing.ListingDetail&amp;ListingID=19399436","Active")</f>
        <v>Active</v>
      </c>
      <c r="D464" t="s">
        <v>100</v>
      </c>
      <c r="E464" t="s">
        <v>1425</v>
      </c>
      <c r="F464" s="10">
        <v>459000</v>
      </c>
      <c r="G464" t="s">
        <v>159</v>
      </c>
      <c r="H464" s="1">
        <v>1670</v>
      </c>
      <c r="I464">
        <v>3025</v>
      </c>
      <c r="J464">
        <v>2</v>
      </c>
      <c r="K464">
        <v>1.75</v>
      </c>
      <c r="M464" s="2" t="str">
        <f>HYPERLINK("http://www.windermere.com/index.cfm?fuseaction=Listing.MapPropertyInteractive&amp;ListingID=19399436&amp;resize=true&amp;windowWidth=800&amp;windowHeight=600","Map")</f>
        <v>Map</v>
      </c>
      <c r="P464" t="s">
        <v>44</v>
      </c>
      <c r="AI464" t="s">
        <v>66</v>
      </c>
      <c r="AJ464">
        <v>98107</v>
      </c>
      <c r="AS464" t="s">
        <v>1426</v>
      </c>
      <c r="AT464">
        <v>19399436</v>
      </c>
      <c r="AU464" s="7">
        <v>39499</v>
      </c>
      <c r="BB464" t="s">
        <v>912</v>
      </c>
      <c r="BC464" s="7">
        <v>39499</v>
      </c>
      <c r="BD464">
        <v>2</v>
      </c>
      <c r="BE464" t="s">
        <v>1450</v>
      </c>
      <c r="BG464">
        <v>1</v>
      </c>
    </row>
    <row r="465" spans="1:59" hidden="1">
      <c r="A465">
        <v>28030509</v>
      </c>
      <c r="B465" s="2" t="str">
        <f>HYPERLINK("http://www.windermere.com/index.cfm?fuseaction=Listing.ListingDetail&amp;ListingID=19403814","Active")</f>
        <v>Active</v>
      </c>
      <c r="D465" t="s">
        <v>100</v>
      </c>
      <c r="E465" t="s">
        <v>1427</v>
      </c>
      <c r="F465" s="18">
        <v>449950</v>
      </c>
      <c r="G465" t="s">
        <v>674</v>
      </c>
      <c r="H465" s="1">
        <v>1630</v>
      </c>
      <c r="I465">
        <v>1350</v>
      </c>
      <c r="J465">
        <v>2</v>
      </c>
      <c r="K465">
        <v>2.25</v>
      </c>
      <c r="M465" s="2" t="str">
        <f>HYPERLINK("http://www.windermere.com/index.cfm?fuseaction=Listing.MapPropertyInteractive&amp;ListingID=19403814&amp;resize=true&amp;windowWidth=800&amp;windowHeight=600","Map")</f>
        <v>Map</v>
      </c>
      <c r="O465" s="2" t="str">
        <f>HYPERLINK("http://www.windermere.com/index.cfm?fuseaction=Listing.MultiImageViewer&amp;ListingID=19403814&amp;ln=28030509&amp;pub_mls=1","More")</f>
        <v>More</v>
      </c>
      <c r="P465" t="s">
        <v>44</v>
      </c>
      <c r="AI465" t="s">
        <v>66</v>
      </c>
      <c r="AJ465">
        <v>98103</v>
      </c>
      <c r="AS465" t="s">
        <v>1428</v>
      </c>
      <c r="AT465">
        <v>19403814</v>
      </c>
      <c r="AU465" s="7">
        <v>39499</v>
      </c>
      <c r="BB465" t="s">
        <v>912</v>
      </c>
      <c r="BC465" s="7">
        <v>39499</v>
      </c>
      <c r="BD465">
        <v>-4</v>
      </c>
      <c r="BE465" t="s">
        <v>1327</v>
      </c>
      <c r="BG465">
        <v>1</v>
      </c>
    </row>
    <row r="466" spans="1:59" hidden="1">
      <c r="A466">
        <v>28008254</v>
      </c>
      <c r="B466" s="2" t="str">
        <f>HYPERLINK("http://www.windermere.com/index.cfm?fuseaction=Listing.ListingDetail&amp;ListingID=19224161","Active")</f>
        <v>Active</v>
      </c>
      <c r="D466" t="s">
        <v>63</v>
      </c>
      <c r="E466" t="s">
        <v>1429</v>
      </c>
      <c r="F466" s="10">
        <v>499950</v>
      </c>
      <c r="G466" t="s">
        <v>247</v>
      </c>
      <c r="H466" s="1">
        <v>1780</v>
      </c>
      <c r="J466">
        <v>3</v>
      </c>
      <c r="K466">
        <v>3</v>
      </c>
      <c r="M466" s="2" t="str">
        <f>HYPERLINK("http://www.windermere.com/index.cfm?fuseaction=Listing.MapPropertyInteractive&amp;ListingID=19224161&amp;resize=true&amp;windowWidth=800&amp;windowHeight=600","Map")</f>
        <v>Map</v>
      </c>
      <c r="P466" t="s">
        <v>44</v>
      </c>
      <c r="AI466" t="s">
        <v>66</v>
      </c>
      <c r="AJ466" s="19">
        <v>98107</v>
      </c>
      <c r="AS466" t="s">
        <v>1430</v>
      </c>
      <c r="AT466">
        <v>19224161</v>
      </c>
      <c r="AU466" s="7">
        <v>39499</v>
      </c>
      <c r="BB466" t="s">
        <v>912</v>
      </c>
      <c r="BC466" s="7">
        <v>39462</v>
      </c>
      <c r="BD466">
        <v>-4</v>
      </c>
      <c r="BE466" t="s">
        <v>1451</v>
      </c>
      <c r="BG466">
        <v>38</v>
      </c>
    </row>
    <row r="467" spans="1:59" hidden="1">
      <c r="A467">
        <v>28030680</v>
      </c>
      <c r="B467" s="2" t="str">
        <f>HYPERLINK("http://www.windermere.com/index.cfm?fuseaction=Listing.ListingDetail&amp;ListingID=19398832","Active")</f>
        <v>Active</v>
      </c>
      <c r="D467" t="s">
        <v>207</v>
      </c>
      <c r="E467" t="s">
        <v>1431</v>
      </c>
      <c r="F467" s="10">
        <v>499950</v>
      </c>
      <c r="G467" t="s">
        <v>130</v>
      </c>
      <c r="H467" s="1">
        <v>1800</v>
      </c>
      <c r="I467">
        <v>5243</v>
      </c>
      <c r="J467">
        <v>4</v>
      </c>
      <c r="K467">
        <v>2</v>
      </c>
      <c r="M467" s="2" t="str">
        <f>HYPERLINK("http://www.windermere.com/index.cfm?fuseaction=Listing.MapPropertyInteractive&amp;ListingID=19398832&amp;resize=true&amp;windowWidth=800&amp;windowHeight=600","Map")</f>
        <v>Map</v>
      </c>
      <c r="O467" s="2" t="str">
        <f>HYPERLINK("http://www.windermere.com/index.cfm?fuseaction=Listing.MultiImageViewer&amp;ListingID=19398832&amp;ln=28030680&amp;pub_mls=1","More")</f>
        <v>More</v>
      </c>
      <c r="AI467" t="s">
        <v>66</v>
      </c>
      <c r="AJ467">
        <v>98115</v>
      </c>
      <c r="AS467" t="s">
        <v>1432</v>
      </c>
      <c r="AT467">
        <v>19398832</v>
      </c>
      <c r="AU467" s="7">
        <v>39499</v>
      </c>
      <c r="BB467" t="s">
        <v>912</v>
      </c>
      <c r="BC467" s="7">
        <v>39499</v>
      </c>
      <c r="BD467">
        <v>3</v>
      </c>
      <c r="BE467" t="s">
        <v>1452</v>
      </c>
      <c r="BG467">
        <v>1</v>
      </c>
    </row>
    <row r="468" spans="1:59" hidden="1">
      <c r="A468">
        <v>28030012</v>
      </c>
      <c r="B468" s="4" t="str">
        <f>HYPERLINK("http://www.windermere.com/index.cfm?fuseaction=Listing.ListingDetail&amp;ListingID=19403828","Subject To Inspection")</f>
        <v>Subject To Inspection</v>
      </c>
      <c r="D468" t="s">
        <v>88</v>
      </c>
      <c r="E468" t="s">
        <v>1433</v>
      </c>
      <c r="F468" s="10">
        <v>575000</v>
      </c>
      <c r="G468" t="s">
        <v>144</v>
      </c>
      <c r="H468" s="1">
        <v>2440</v>
      </c>
      <c r="J468">
        <v>4</v>
      </c>
      <c r="K468" s="19">
        <v>2</v>
      </c>
      <c r="M468" s="2" t="str">
        <f>HYPERLINK("http://www.windermere.com/index.cfm?fuseaction=Listing.MapPropertyInteractive&amp;ListingID=19403828&amp;resize=true&amp;windowWidth=800&amp;windowHeight=600","Map")</f>
        <v>Map</v>
      </c>
      <c r="O468" s="2" t="str">
        <f>HYPERLINK("http://www.windermere.com/index.cfm?fuseaction=Listing.MultiImageViewer&amp;ListingID=19403828&amp;ln=28030012&amp;pub_mls=1","More")</f>
        <v>More</v>
      </c>
      <c r="P468" t="s">
        <v>44</v>
      </c>
      <c r="AI468" t="s">
        <v>66</v>
      </c>
      <c r="AJ468">
        <v>98117</v>
      </c>
      <c r="AS468" t="s">
        <v>1434</v>
      </c>
      <c r="AT468">
        <v>19403828</v>
      </c>
      <c r="AU468" s="7">
        <v>39499</v>
      </c>
      <c r="BB468" t="s">
        <v>912</v>
      </c>
      <c r="BC468" s="7">
        <v>39499</v>
      </c>
      <c r="BD468">
        <v>2</v>
      </c>
      <c r="BE468" t="s">
        <v>1453</v>
      </c>
      <c r="BG468">
        <v>1</v>
      </c>
    </row>
    <row r="469" spans="1:59" hidden="1">
      <c r="A469">
        <v>28032147</v>
      </c>
      <c r="B469" s="2" t="str">
        <f>HYPERLINK("http://www.windermere.com/index.cfm?fuseaction=Listing.ListingDetail&amp;ListingID=19412092","Active")</f>
        <v>Active</v>
      </c>
      <c r="D469" t="s">
        <v>42</v>
      </c>
      <c r="E469" t="s">
        <v>1476</v>
      </c>
      <c r="F469" s="10">
        <v>314000</v>
      </c>
      <c r="G469" t="s">
        <v>147</v>
      </c>
      <c r="H469" s="1">
        <v>1432</v>
      </c>
      <c r="J469">
        <v>3</v>
      </c>
      <c r="K469">
        <v>2.5</v>
      </c>
      <c r="M469" s="2" t="str">
        <f>HYPERLINK("http://www.windermere.com/index.cfm?fuseaction=Listing.MapPropertyInteractive&amp;ListingID=19412092&amp;resize=true&amp;windowWidth=800&amp;windowHeight=600","Map")</f>
        <v>Map</v>
      </c>
      <c r="O469" s="2" t="str">
        <f>HYPERLINK("http://www.windermere.com/index.cfm?fuseaction=Listing.MultiImageViewer&amp;ListingID=19412092&amp;ln=28032147&amp;pub_mls=1","More")</f>
        <v>More</v>
      </c>
      <c r="AI469" t="s">
        <v>66</v>
      </c>
      <c r="AJ469">
        <v>98133</v>
      </c>
      <c r="AS469" t="s">
        <v>1477</v>
      </c>
      <c r="AT469">
        <v>19412092</v>
      </c>
      <c r="AU469" s="7">
        <v>39501</v>
      </c>
      <c r="BB469" t="s">
        <v>912</v>
      </c>
    </row>
    <row r="470" spans="1:59" hidden="1">
      <c r="A470">
        <v>28031803</v>
      </c>
      <c r="B470" s="2" t="str">
        <f>HYPERLINK("http://www.windermere.com/index.cfm?fuseaction=Listing.ListingDetail&amp;ListingID=19408082","Active")</f>
        <v>Active</v>
      </c>
      <c r="D470" t="s">
        <v>66</v>
      </c>
      <c r="E470" t="s">
        <v>1454</v>
      </c>
      <c r="F470" s="18">
        <v>305000</v>
      </c>
      <c r="G470" t="s">
        <v>379</v>
      </c>
      <c r="H470" s="1">
        <v>1140</v>
      </c>
      <c r="I470">
        <v>9240</v>
      </c>
      <c r="J470">
        <v>4</v>
      </c>
      <c r="K470">
        <v>1</v>
      </c>
      <c r="M470" s="2" t="str">
        <f>HYPERLINK("http://www.windermere.com/index.cfm?fuseaction=Listing.MapPropertyInteractive&amp;ListingID=19408082&amp;resize=true&amp;windowWidth=800&amp;windowHeight=600","Map")</f>
        <v>Map</v>
      </c>
      <c r="O470" s="2" t="str">
        <f>HYPERLINK("http://www.windermere.com/index.cfm?fuseaction=Listing.MultiImageViewer&amp;ListingID=19408082&amp;ln=28031803&amp;pub_mls=1","More")</f>
        <v>More</v>
      </c>
      <c r="AI470" t="s">
        <v>66</v>
      </c>
      <c r="AJ470" s="19">
        <v>98155</v>
      </c>
      <c r="AS470" t="s">
        <v>1455</v>
      </c>
      <c r="AT470">
        <v>19408082</v>
      </c>
      <c r="AU470" s="7">
        <v>39501</v>
      </c>
      <c r="BB470" t="s">
        <v>912</v>
      </c>
    </row>
    <row r="471" spans="1:59" hidden="1">
      <c r="A471">
        <v>28031593</v>
      </c>
      <c r="B471" s="2" t="str">
        <f>HYPERLINK("http://www.windermere.com/index.cfm?fuseaction=Listing.ListingDetail&amp;ListingID=19407034","Active")</f>
        <v>Active</v>
      </c>
      <c r="D471" t="s">
        <v>199</v>
      </c>
      <c r="E471" t="s">
        <v>1457</v>
      </c>
      <c r="F471" s="10">
        <v>399000</v>
      </c>
      <c r="G471" t="s">
        <v>168</v>
      </c>
      <c r="J471">
        <v>4</v>
      </c>
      <c r="K471">
        <v>2</v>
      </c>
      <c r="M471" s="2" t="str">
        <f>HYPERLINK("http://www.windermere.com/index.cfm?fuseaction=Listing.MapPropertyInteractive&amp;ListingID=19407034&amp;resize=true&amp;windowWidth=800&amp;windowHeight=600","Map")</f>
        <v>Map</v>
      </c>
      <c r="O471" s="2" t="str">
        <f>HYPERLINK("http://www.windermere.com/index.cfm?fuseaction=viewGallery.Home&amp;customTourID=208435&amp;wvt=0","More")</f>
        <v>More</v>
      </c>
      <c r="AI471" t="s">
        <v>66</v>
      </c>
      <c r="AJ471">
        <v>98125</v>
      </c>
      <c r="AS471" t="s">
        <v>1458</v>
      </c>
      <c r="AT471">
        <v>19407034</v>
      </c>
      <c r="AU471" s="7">
        <v>39501</v>
      </c>
      <c r="BB471" t="s">
        <v>912</v>
      </c>
    </row>
    <row r="472" spans="1:59" hidden="1">
      <c r="A472">
        <v>28031815</v>
      </c>
      <c r="B472" s="2" t="str">
        <f>HYPERLINK("http://www.windermere.com/index.cfm?fuseaction=Listing.ListingDetail&amp;ListingID=19409882","Active")</f>
        <v>Active</v>
      </c>
      <c r="D472" t="s">
        <v>109</v>
      </c>
      <c r="E472" t="s">
        <v>1459</v>
      </c>
      <c r="F472" s="10">
        <v>399800</v>
      </c>
      <c r="G472" t="s">
        <v>154</v>
      </c>
      <c r="H472">
        <v>910</v>
      </c>
      <c r="I472">
        <v>5100</v>
      </c>
      <c r="J472">
        <v>2</v>
      </c>
      <c r="K472">
        <v>1</v>
      </c>
      <c r="M472" s="2" t="str">
        <f>HYPERLINK("http://www.windermere.com/index.cfm?fuseaction=Listing.MapPropertyInteractive&amp;ListingID=19409882&amp;resize=true&amp;windowWidth=800&amp;windowHeight=600","Map")</f>
        <v>Map</v>
      </c>
      <c r="O472" s="2" t="str">
        <f>HYPERLINK("http://www.windermere.com/index.cfm?fuseaction=Listing.MultiImageViewer&amp;ListingID=19409882&amp;ln=28031815&amp;pub_mls=1","More")</f>
        <v>More</v>
      </c>
      <c r="P472" t="s">
        <v>44</v>
      </c>
      <c r="AI472" t="s">
        <v>66</v>
      </c>
      <c r="AJ472">
        <v>98105</v>
      </c>
      <c r="AS472" t="s">
        <v>1460</v>
      </c>
      <c r="AT472">
        <v>19409882</v>
      </c>
      <c r="AU472" s="7">
        <v>39501</v>
      </c>
      <c r="BB472" t="s">
        <v>912</v>
      </c>
    </row>
    <row r="473" spans="1:59" hidden="1">
      <c r="A473">
        <v>28031984</v>
      </c>
      <c r="B473" s="2" t="str">
        <f>HYPERLINK("http://www.windermere.com/index.cfm?fuseaction=Listing.ListingDetail&amp;ListingID=19409141","Active")</f>
        <v>Active</v>
      </c>
      <c r="D473" t="s">
        <v>60</v>
      </c>
      <c r="E473" t="s">
        <v>1462</v>
      </c>
      <c r="F473" s="10">
        <v>425000</v>
      </c>
      <c r="G473" t="s">
        <v>219</v>
      </c>
      <c r="H473" s="1">
        <v>1280</v>
      </c>
      <c r="I473">
        <v>3060</v>
      </c>
      <c r="J473">
        <v>3</v>
      </c>
      <c r="K473">
        <v>1.5</v>
      </c>
      <c r="M473" s="2" t="str">
        <f>HYPERLINK("http://www.windermere.com/index.cfm?fuseaction=Listing.MapPropertyInteractive&amp;ListingID=19409141&amp;resize=true&amp;windowWidth=800&amp;windowHeight=600","Map")</f>
        <v>Map</v>
      </c>
      <c r="O473" s="2" t="str">
        <f>HYPERLINK("http://www.windermere.com/index.cfm?fuseaction=viewGallery.Home&amp;customTourID=208553&amp;wvt=0","More")</f>
        <v>More</v>
      </c>
      <c r="AI473" t="s">
        <v>66</v>
      </c>
      <c r="AJ473">
        <v>98103</v>
      </c>
      <c r="AS473" t="s">
        <v>1463</v>
      </c>
      <c r="AT473">
        <v>19409141</v>
      </c>
      <c r="AU473" s="7">
        <v>39501</v>
      </c>
      <c r="BB473" t="s">
        <v>912</v>
      </c>
    </row>
    <row r="474" spans="1:59" hidden="1">
      <c r="A474">
        <v>28032200</v>
      </c>
      <c r="B474" s="4" t="str">
        <f>HYPERLINK("http://www.windermere.com/index.cfm?fuseaction=Listing.ListingDetail&amp;ListingID=19412399","Subject To Inspection")</f>
        <v>Subject To Inspection</v>
      </c>
      <c r="D474" t="s">
        <v>63</v>
      </c>
      <c r="E474" t="s">
        <v>1484</v>
      </c>
      <c r="F474" s="10">
        <v>439950</v>
      </c>
      <c r="G474" t="s">
        <v>147</v>
      </c>
      <c r="H474" s="1">
        <v>1469</v>
      </c>
      <c r="J474">
        <v>3</v>
      </c>
      <c r="K474">
        <v>3.5</v>
      </c>
      <c r="M474" s="2" t="str">
        <f>HYPERLINK("http://www.windermere.com/index.cfm?fuseaction=Listing.MapPropertyInteractive&amp;ListingID=19412399&amp;resize=true&amp;windowWidth=800&amp;windowHeight=600","Map")</f>
        <v>Map</v>
      </c>
      <c r="O474" s="2" t="str">
        <f>HYPERLINK("http://www.windermere.com/index.cfm?fuseaction=Listing.MultiImageViewer&amp;ListingID=19412399&amp;ln=28032200&amp;pub_mls=1","More")</f>
        <v>More</v>
      </c>
      <c r="AI474" t="s">
        <v>66</v>
      </c>
      <c r="AJ474">
        <v>98107</v>
      </c>
      <c r="AS474" t="s">
        <v>1485</v>
      </c>
      <c r="AT474">
        <v>19412399</v>
      </c>
      <c r="AU474" s="7">
        <v>39501</v>
      </c>
      <c r="BB474" t="s">
        <v>912</v>
      </c>
    </row>
    <row r="475" spans="1:59" hidden="1">
      <c r="A475">
        <v>28031588</v>
      </c>
      <c r="B475" s="2" t="str">
        <f>HYPERLINK("http://www.windermere.com/index.cfm?fuseaction=Listing.ListingDetail&amp;ListingID=19407733","Active")</f>
        <v>Active</v>
      </c>
      <c r="D475" t="s">
        <v>109</v>
      </c>
      <c r="E475" t="s">
        <v>1465</v>
      </c>
      <c r="F475" s="18">
        <v>429950</v>
      </c>
      <c r="G475" t="s">
        <v>247</v>
      </c>
      <c r="H475" s="1">
        <v>1439</v>
      </c>
      <c r="J475">
        <v>2</v>
      </c>
      <c r="K475">
        <v>2.25</v>
      </c>
      <c r="M475" s="2" t="str">
        <f>HYPERLINK("http://www.windermere.com/index.cfm?fuseaction=Listing.MapPropertyInteractive&amp;ListingID=19407733&amp;resize=true&amp;windowWidth=800&amp;windowHeight=600","Map")</f>
        <v>Map</v>
      </c>
      <c r="O475" s="2" t="str">
        <f>HYPERLINK("http://www.windermere.com/index.cfm?fuseaction=Listing.MultiImageViewer&amp;ListingID=19407733&amp;ln=28031588&amp;pub_mls=1","More")</f>
        <v>More</v>
      </c>
      <c r="P475" t="s">
        <v>44</v>
      </c>
      <c r="AI475" t="s">
        <v>66</v>
      </c>
      <c r="AJ475">
        <v>98103</v>
      </c>
      <c r="AS475" t="s">
        <v>1466</v>
      </c>
      <c r="AT475">
        <v>19407733</v>
      </c>
      <c r="AU475" s="7">
        <v>39501</v>
      </c>
      <c r="BB475" t="s">
        <v>912</v>
      </c>
    </row>
    <row r="476" spans="1:59" hidden="1">
      <c r="A476">
        <v>28031574</v>
      </c>
      <c r="B476" s="2" t="str">
        <f>HYPERLINK("http://www.windermere.com/index.cfm?fuseaction=Listing.ListingDetail&amp;ListingID=19407101","Active")</f>
        <v>Active</v>
      </c>
      <c r="D476" t="s">
        <v>109</v>
      </c>
      <c r="E476" t="s">
        <v>1467</v>
      </c>
      <c r="F476" s="10">
        <v>464950</v>
      </c>
      <c r="G476" t="s">
        <v>247</v>
      </c>
      <c r="H476" s="1">
        <v>1439</v>
      </c>
      <c r="J476">
        <v>2</v>
      </c>
      <c r="K476">
        <v>2.25</v>
      </c>
      <c r="M476" s="2" t="str">
        <f>HYPERLINK("http://www.windermere.com/index.cfm?fuseaction=Listing.MapPropertyInteractive&amp;ListingID=19407101&amp;resize=true&amp;windowWidth=800&amp;windowHeight=600","Map")</f>
        <v>Map</v>
      </c>
      <c r="O476" s="2" t="str">
        <f>HYPERLINK("http://www.windermere.com/index.cfm?fuseaction=Listing.MultiImageViewer&amp;ListingID=19407101&amp;ln=28031574&amp;pub_mls=1","More")</f>
        <v>More</v>
      </c>
      <c r="P476" t="s">
        <v>44</v>
      </c>
      <c r="AI476" t="s">
        <v>66</v>
      </c>
      <c r="AJ476">
        <v>98103</v>
      </c>
      <c r="AS476" t="s">
        <v>1468</v>
      </c>
      <c r="AT476">
        <v>19407101</v>
      </c>
      <c r="AU476" s="7">
        <v>39501</v>
      </c>
      <c r="BB476" t="s">
        <v>912</v>
      </c>
    </row>
    <row r="477" spans="1:59">
      <c r="A477">
        <v>28031494</v>
      </c>
      <c r="B477" s="4" t="str">
        <f>HYPERLINK("http://www.windermere.com/index.cfm?fuseaction=Listing.ListingDetail&amp;ListingID=19406599","Subject To Inspection")</f>
        <v>Subject To Inspection</v>
      </c>
      <c r="D477" t="s">
        <v>63</v>
      </c>
      <c r="E477" t="s">
        <v>1470</v>
      </c>
      <c r="F477" s="18">
        <v>475500</v>
      </c>
      <c r="G477" t="s">
        <v>161</v>
      </c>
      <c r="H477" s="1">
        <v>1337</v>
      </c>
      <c r="I477">
        <v>5110</v>
      </c>
      <c r="J477">
        <v>3</v>
      </c>
      <c r="K477">
        <v>1.75</v>
      </c>
      <c r="M477" s="2" t="str">
        <f>HYPERLINK("http://www.windermere.com/index.cfm?fuseaction=Listing.MapPropertyInteractive&amp;ListingID=19406599&amp;resize=true&amp;windowWidth=800&amp;windowHeight=600","Map")</f>
        <v>Map</v>
      </c>
      <c r="O477" s="2" t="str">
        <f>HYPERLINK("http://www.windermere.com/index.cfm?fuseaction=Listing.MultiImageViewer&amp;ListingID=19406599&amp;ln=28031494&amp;pub_mls=1","More")</f>
        <v>More</v>
      </c>
      <c r="P477" t="s">
        <v>44</v>
      </c>
      <c r="AI477" t="s">
        <v>66</v>
      </c>
      <c r="AJ477">
        <v>98117</v>
      </c>
      <c r="AS477" t="s">
        <v>1471</v>
      </c>
      <c r="AT477">
        <v>19406599</v>
      </c>
      <c r="AU477" s="7">
        <v>39501</v>
      </c>
      <c r="BB477" t="s">
        <v>912</v>
      </c>
      <c r="BD477" t="s">
        <v>1625</v>
      </c>
      <c r="BE477" t="s">
        <v>1627</v>
      </c>
      <c r="BF477" s="7">
        <v>39508</v>
      </c>
    </row>
    <row r="478" spans="1:59" hidden="1">
      <c r="A478">
        <v>28031548</v>
      </c>
      <c r="B478" s="15" t="str">
        <f>HYPERLINK("http://www.windermere.com/index.cfm?fuseaction=Listing.ListingDetail&amp;ListingID=19406985","Subject To Inspection")</f>
        <v>Subject To Inspection</v>
      </c>
      <c r="D478" t="s">
        <v>109</v>
      </c>
      <c r="E478" t="s">
        <v>1472</v>
      </c>
      <c r="F478" s="10">
        <v>499000</v>
      </c>
      <c r="G478" t="s">
        <v>440</v>
      </c>
      <c r="H478" s="1">
        <v>1910</v>
      </c>
      <c r="I478">
        <v>2942</v>
      </c>
      <c r="J478">
        <v>3</v>
      </c>
      <c r="K478">
        <v>1.75</v>
      </c>
      <c r="M478" s="2" t="str">
        <f>HYPERLINK("http://www.windermere.com/index.cfm?fuseaction=Listing.MapPropertyInteractive&amp;ListingID=19406985&amp;resize=true&amp;windowWidth=800&amp;windowHeight=600","Map")</f>
        <v>Map</v>
      </c>
      <c r="O478" s="2" t="str">
        <f>HYPERLINK("http://www.windermere.com/index.cfm?fuseaction=Listing.MultiImageViewer&amp;ListingID=19406985&amp;ln=28031548&amp;pub_mls=1","More")</f>
        <v>More</v>
      </c>
      <c r="AI478" t="s">
        <v>66</v>
      </c>
      <c r="AJ478">
        <v>98105</v>
      </c>
      <c r="AS478" t="s">
        <v>1473</v>
      </c>
      <c r="AT478">
        <v>19406985</v>
      </c>
      <c r="AU478" s="7">
        <v>39501</v>
      </c>
      <c r="BB478" t="s">
        <v>912</v>
      </c>
    </row>
    <row r="479" spans="1:59" hidden="1">
      <c r="A479">
        <v>27182990</v>
      </c>
      <c r="B479" s="2" t="str">
        <f>HYPERLINK("http://www.windermere.com/index.cfm?fuseaction=Listing.ListingDetail&amp;ListingID=19409788","Active")</f>
        <v>Active</v>
      </c>
      <c r="D479" t="s">
        <v>204</v>
      </c>
      <c r="E479" t="s">
        <v>1474</v>
      </c>
      <c r="F479" s="10">
        <v>500000</v>
      </c>
      <c r="G479" t="s">
        <v>132</v>
      </c>
      <c r="H479" s="1">
        <v>3340</v>
      </c>
      <c r="I479">
        <v>11994</v>
      </c>
      <c r="J479">
        <v>4</v>
      </c>
      <c r="K479">
        <v>2.25</v>
      </c>
      <c r="M479" s="2" t="str">
        <f>HYPERLINK("http://www.windermere.com/index.cfm?fuseaction=Listing.MapPropertyInteractive&amp;ListingID=19409788&amp;resize=true&amp;windowWidth=800&amp;windowHeight=600","Map")</f>
        <v>Map</v>
      </c>
      <c r="O479" s="2" t="str">
        <f>HYPERLINK("http://www.windermere.com/index.cfm?fuseaction=viewGallery.Home&amp;customTourID=196755&amp;wvt=0","More")</f>
        <v>More</v>
      </c>
      <c r="P479" t="s">
        <v>44</v>
      </c>
      <c r="AI479" t="s">
        <v>66</v>
      </c>
      <c r="AJ479">
        <v>98125</v>
      </c>
      <c r="AS479" t="s">
        <v>1475</v>
      </c>
      <c r="AT479">
        <v>19409788</v>
      </c>
      <c r="AU479" s="7">
        <v>39501</v>
      </c>
      <c r="BB479" t="s">
        <v>912</v>
      </c>
    </row>
    <row r="480" spans="1:59" hidden="1">
      <c r="A480">
        <v>28031990</v>
      </c>
      <c r="B480" s="2" t="str">
        <f>HYPERLINK("http://www.windermere.com/index.cfm?fuseaction=Listing.ListingDetail&amp;ListingID=19409790","Active")</f>
        <v>Active</v>
      </c>
      <c r="D480" t="s">
        <v>101</v>
      </c>
      <c r="E480" t="s">
        <v>1478</v>
      </c>
      <c r="F480" s="10">
        <v>579950</v>
      </c>
      <c r="G480" t="s">
        <v>1423</v>
      </c>
      <c r="H480" s="1">
        <v>2090</v>
      </c>
      <c r="I480">
        <v>7800</v>
      </c>
      <c r="J480">
        <v>4</v>
      </c>
      <c r="K480">
        <v>3</v>
      </c>
      <c r="M480" s="2" t="str">
        <f>HYPERLINK("http://www.windermere.com/index.cfm?fuseaction=Listing.MapPropertyInteractive&amp;ListingID=19409790&amp;resize=true&amp;windowWidth=800&amp;windowHeight=600","Map")</f>
        <v>Map</v>
      </c>
      <c r="O480" s="2" t="str">
        <f>HYPERLINK("http://www.windermere.com/index.cfm?fuseaction=Listing.MultiImageViewer&amp;ListingID=19409790&amp;ln=28031990&amp;pub_mls=1","More")</f>
        <v>More</v>
      </c>
      <c r="P480" t="s">
        <v>44</v>
      </c>
      <c r="AI480" t="s">
        <v>66</v>
      </c>
      <c r="AJ480">
        <v>98117</v>
      </c>
      <c r="AS480" t="s">
        <v>1479</v>
      </c>
      <c r="AT480">
        <v>19409790</v>
      </c>
      <c r="AU480" s="7">
        <v>39501</v>
      </c>
      <c r="BB480" t="s">
        <v>912</v>
      </c>
    </row>
    <row r="481" spans="1:58" hidden="1">
      <c r="A481">
        <v>28031979</v>
      </c>
      <c r="B481" s="2" t="str">
        <f>HYPERLINK("http://www.windermere.com/index.cfm?fuseaction=Listing.ListingDetail&amp;ListingID=19409140","Active")</f>
        <v>Active</v>
      </c>
      <c r="D481" t="s">
        <v>78</v>
      </c>
      <c r="E481" t="s">
        <v>1480</v>
      </c>
      <c r="F481" s="18">
        <v>699950</v>
      </c>
      <c r="G481" t="s">
        <v>180</v>
      </c>
      <c r="H481" s="1">
        <v>2320</v>
      </c>
      <c r="I481">
        <v>4046</v>
      </c>
      <c r="J481">
        <v>4</v>
      </c>
      <c r="K481">
        <v>2.5</v>
      </c>
      <c r="M481" s="2" t="str">
        <f>HYPERLINK("http://www.windermere.com/index.cfm?fuseaction=Listing.MapPropertyInteractive&amp;ListingID=19409140&amp;resize=true&amp;windowWidth=800&amp;windowHeight=600","Map")</f>
        <v>Map</v>
      </c>
      <c r="O481" s="2" t="str">
        <f>HYPERLINK("http://www.windermere.com/index.cfm?fuseaction=Listing.MultiImageViewer&amp;ListingID=19409140&amp;ln=28031979&amp;pub_mls=1","More")</f>
        <v>More</v>
      </c>
      <c r="P481" t="s">
        <v>44</v>
      </c>
      <c r="AI481" t="s">
        <v>66</v>
      </c>
      <c r="AJ481">
        <v>98117</v>
      </c>
      <c r="AS481" t="s">
        <v>1481</v>
      </c>
      <c r="AT481">
        <v>19409140</v>
      </c>
      <c r="AU481" s="7">
        <v>39501</v>
      </c>
      <c r="BB481" t="s">
        <v>912</v>
      </c>
    </row>
    <row r="482" spans="1:58" hidden="1">
      <c r="A482">
        <v>28033159</v>
      </c>
      <c r="B482" s="2" t="str">
        <f>HYPERLINK("http://www.windermere.com/index.cfm?fuseaction=Listing.ListingDetail&amp;ListingID=19438383","Active")</f>
        <v>Active</v>
      </c>
      <c r="D482" t="s">
        <v>55</v>
      </c>
      <c r="E482" t="s">
        <v>1486</v>
      </c>
      <c r="F482" s="10">
        <v>359000</v>
      </c>
      <c r="G482" t="s">
        <v>147</v>
      </c>
      <c r="J482">
        <v>3</v>
      </c>
      <c r="K482">
        <v>2</v>
      </c>
      <c r="M482" s="2" t="str">
        <f>HYPERLINK("http://www.windermere.com/index.cfm?fuseaction=Listing.MapPropertyInteractive&amp;ListingID=19438383&amp;resize=true&amp;windowWidth=800&amp;windowHeight=600","Map")</f>
        <v>Map</v>
      </c>
      <c r="O482" s="2" t="str">
        <f>HYPERLINK("http://www.windermere.com/index.cfm?fuseaction=Listing.MultiImageViewer&amp;ListingID=19438383&amp;ln=28033159&amp;pub_mls=1","More")</f>
        <v>More</v>
      </c>
      <c r="AI482" t="s">
        <v>66</v>
      </c>
      <c r="AJ482">
        <v>98177</v>
      </c>
      <c r="AS482" t="s">
        <v>1487</v>
      </c>
      <c r="AT482">
        <v>19438383</v>
      </c>
      <c r="AU482" s="7">
        <v>39503</v>
      </c>
      <c r="BB482" t="s">
        <v>912</v>
      </c>
    </row>
    <row r="483" spans="1:58" hidden="1">
      <c r="A483">
        <v>28032469</v>
      </c>
      <c r="B483" s="2" t="str">
        <f>HYPERLINK("http://www.windermere.com/index.cfm?fuseaction=Listing.ListingDetail&amp;ListingID=19437800","Active")</f>
        <v>Active</v>
      </c>
      <c r="D483" t="s">
        <v>920</v>
      </c>
      <c r="E483" t="s">
        <v>1488</v>
      </c>
      <c r="F483" s="10">
        <v>385000</v>
      </c>
      <c r="G483" t="s">
        <v>156</v>
      </c>
      <c r="H483" s="1">
        <v>1960</v>
      </c>
      <c r="I483">
        <v>9815</v>
      </c>
      <c r="J483">
        <v>3</v>
      </c>
      <c r="K483">
        <v>1.75</v>
      </c>
      <c r="M483" s="2" t="str">
        <f>HYPERLINK("http://www.windermere.com/index.cfm?fuseaction=Listing.MapPropertyInteractive&amp;ListingID=19437800&amp;resize=true&amp;windowWidth=800&amp;windowHeight=600","Map")</f>
        <v>Map</v>
      </c>
      <c r="O483" s="2" t="str">
        <f>HYPERLINK("http://www.windermere.com/index.cfm?fuseaction=viewGallery.Home&amp;customTourID=208729&amp;wvt=0","More")</f>
        <v>More</v>
      </c>
      <c r="AI483" t="s">
        <v>66</v>
      </c>
      <c r="AJ483">
        <v>98125</v>
      </c>
      <c r="AS483" t="s">
        <v>1489</v>
      </c>
      <c r="AT483">
        <v>19437800</v>
      </c>
      <c r="AU483" s="7">
        <v>39503</v>
      </c>
      <c r="BB483" t="s">
        <v>912</v>
      </c>
    </row>
    <row r="484" spans="1:58" hidden="1">
      <c r="A484">
        <v>28032301</v>
      </c>
      <c r="B484" s="4" t="str">
        <f>HYPERLINK("http://www.windermere.com/index.cfm?fuseaction=Listing.ListingDetail&amp;ListingID=19413443","Subject To Inspection")</f>
        <v>Subject To Inspection</v>
      </c>
      <c r="D484" t="s">
        <v>60</v>
      </c>
      <c r="E484" t="s">
        <v>1490</v>
      </c>
      <c r="F484" s="10">
        <v>390000</v>
      </c>
      <c r="G484" t="s">
        <v>171</v>
      </c>
      <c r="H484" s="1">
        <v>1530</v>
      </c>
      <c r="I484">
        <v>5000</v>
      </c>
      <c r="J484">
        <v>3</v>
      </c>
      <c r="K484">
        <v>1.5</v>
      </c>
      <c r="M484" s="2" t="str">
        <f>HYPERLINK("http://www.windermere.com/index.cfm?fuseaction=Listing.MapPropertyInteractive&amp;ListingID=19413443&amp;resize=true&amp;windowWidth=800&amp;windowHeight=600","Map")</f>
        <v>Map</v>
      </c>
      <c r="O484" s="2" t="str">
        <f>HYPERLINK("http://www.windermere.com/index.cfm?fuseaction=Listing.MultiImageViewer&amp;ListingID=19413443&amp;ln=28032301&amp;pub_mls=1","More")</f>
        <v>More</v>
      </c>
      <c r="P484" t="s">
        <v>44</v>
      </c>
      <c r="AI484" t="s">
        <v>66</v>
      </c>
      <c r="AJ484">
        <v>98103</v>
      </c>
      <c r="AS484" t="s">
        <v>1491</v>
      </c>
      <c r="AT484">
        <v>19413443</v>
      </c>
      <c r="AU484" s="7">
        <v>39503</v>
      </c>
      <c r="BB484" t="s">
        <v>912</v>
      </c>
    </row>
    <row r="485" spans="1:58" hidden="1">
      <c r="A485">
        <v>28032926</v>
      </c>
      <c r="B485" s="4" t="str">
        <f>HYPERLINK("http://www.windermere.com/index.cfm?fuseaction=Listing.ListingDetail&amp;ListingID=19438316","Subject To Inspection")</f>
        <v>Subject To Inspection</v>
      </c>
      <c r="D485" t="s">
        <v>70</v>
      </c>
      <c r="E485" t="s">
        <v>1492</v>
      </c>
      <c r="F485" s="10">
        <v>425000</v>
      </c>
      <c r="G485" t="s">
        <v>227</v>
      </c>
      <c r="H485" s="1">
        <v>2360</v>
      </c>
      <c r="I485">
        <v>7500</v>
      </c>
      <c r="J485">
        <v>3</v>
      </c>
      <c r="K485">
        <v>2</v>
      </c>
      <c r="M485" s="2" t="str">
        <f>HYPERLINK("http://www.windermere.com/index.cfm?fuseaction=Listing.MapPropertyInteractive&amp;ListingID=19438316&amp;resize=true&amp;windowWidth=800&amp;windowHeight=600","Map")</f>
        <v>Map</v>
      </c>
      <c r="O485" s="2" t="str">
        <f>HYPERLINK("http://www.windermere.com/index.cfm?fuseaction=Listing.MultiImageViewer&amp;ListingID=19438316&amp;ln=28032926&amp;pub_mls=1","More")</f>
        <v>More</v>
      </c>
      <c r="P485" t="s">
        <v>44</v>
      </c>
      <c r="AI485" t="s">
        <v>66</v>
      </c>
      <c r="AJ485">
        <v>98133</v>
      </c>
      <c r="AS485" t="s">
        <v>1493</v>
      </c>
      <c r="AT485">
        <v>19438316</v>
      </c>
      <c r="AU485" s="7">
        <v>39503</v>
      </c>
      <c r="BB485" t="s">
        <v>912</v>
      </c>
    </row>
    <row r="486" spans="1:58" hidden="1">
      <c r="A486">
        <v>28033132</v>
      </c>
      <c r="B486" s="2" t="str">
        <f>HYPERLINK("http://www.windermere.com/index.cfm?fuseaction=Listing.ListingDetail&amp;ListingID=19438452","Active")</f>
        <v>Active</v>
      </c>
      <c r="D486" t="s">
        <v>63</v>
      </c>
      <c r="E486" t="s">
        <v>1494</v>
      </c>
      <c r="F486" s="10">
        <v>439500</v>
      </c>
      <c r="G486" t="s">
        <v>495</v>
      </c>
      <c r="H486" s="1">
        <v>1690</v>
      </c>
      <c r="J486">
        <v>3</v>
      </c>
      <c r="K486">
        <v>2.5</v>
      </c>
      <c r="M486" s="2" t="str">
        <f>HYPERLINK("http://www.windermere.com/index.cfm?fuseaction=Listing.MapPropertyInteractive&amp;ListingID=19438452&amp;resize=true&amp;windowWidth=800&amp;windowHeight=600","Map")</f>
        <v>Map</v>
      </c>
      <c r="O486" s="2" t="str">
        <f>HYPERLINK("http://www.windermere.com/index.cfm?fuseaction=viewGallery.Home&amp;customTourID=208671&amp;wvt=0","More")</f>
        <v>More</v>
      </c>
      <c r="P486" t="s">
        <v>44</v>
      </c>
      <c r="AI486" t="s">
        <v>66</v>
      </c>
      <c r="AJ486">
        <v>98107</v>
      </c>
      <c r="AS486" t="s">
        <v>1495</v>
      </c>
      <c r="AT486">
        <v>19438452</v>
      </c>
      <c r="AU486" s="7">
        <v>39503</v>
      </c>
      <c r="BB486" t="s">
        <v>912</v>
      </c>
    </row>
    <row r="487" spans="1:58" hidden="1">
      <c r="A487">
        <v>28032372</v>
      </c>
      <c r="B487" s="2" t="str">
        <f>HYPERLINK("http://www.windermere.com/index.cfm?fuseaction=Listing.ListingDetail&amp;ListingID=19414449","Active")</f>
        <v>Active</v>
      </c>
      <c r="D487" t="s">
        <v>199</v>
      </c>
      <c r="E487" t="s">
        <v>1496</v>
      </c>
      <c r="F487" s="18">
        <v>419950</v>
      </c>
      <c r="G487" t="s">
        <v>171</v>
      </c>
      <c r="H487" s="1">
        <v>1970</v>
      </c>
      <c r="I487">
        <v>9746</v>
      </c>
      <c r="J487">
        <v>4</v>
      </c>
      <c r="K487">
        <v>2</v>
      </c>
      <c r="M487" s="2" t="str">
        <f>HYPERLINK("http://www.windermere.com/index.cfm?fuseaction=Listing.MapPropertyInteractive&amp;ListingID=19414449&amp;resize=true&amp;windowWidth=800&amp;windowHeight=600","Map")</f>
        <v>Map</v>
      </c>
      <c r="O487" s="2" t="str">
        <f>HYPERLINK("http://www.windermere.com/index.cfm?fuseaction=Listing.MultiImageViewer&amp;ListingID=19414449&amp;ln=28032372&amp;pub_mls=1","More")</f>
        <v>More</v>
      </c>
      <c r="AI487" t="s">
        <v>66</v>
      </c>
      <c r="AJ487">
        <v>98125</v>
      </c>
      <c r="AS487" t="s">
        <v>1497</v>
      </c>
      <c r="AT487">
        <v>19414449</v>
      </c>
      <c r="AU487" s="7">
        <v>39503</v>
      </c>
      <c r="BB487" t="s">
        <v>912</v>
      </c>
    </row>
    <row r="488" spans="1:58" hidden="1">
      <c r="A488">
        <v>28032617</v>
      </c>
      <c r="B488" s="15" t="str">
        <f>HYPERLINK("http://www.windermere.com/index.cfm?fuseaction=Listing.ListingDetail&amp;ListingID=19416957","Subject To Inspection")</f>
        <v>Subject To Inspection</v>
      </c>
      <c r="D488" t="s">
        <v>207</v>
      </c>
      <c r="E488" t="s">
        <v>1498</v>
      </c>
      <c r="F488" s="10">
        <v>475000</v>
      </c>
      <c r="G488" t="s">
        <v>144</v>
      </c>
      <c r="H488" s="1">
        <v>1410</v>
      </c>
      <c r="I488">
        <v>3500</v>
      </c>
      <c r="J488">
        <v>2</v>
      </c>
      <c r="K488">
        <v>1</v>
      </c>
      <c r="M488" s="2" t="str">
        <f>HYPERLINK("http://www.windermere.com/index.cfm?fuseaction=Listing.MapPropertyInteractive&amp;ListingID=19416957&amp;resize=true&amp;windowWidth=800&amp;windowHeight=600","Map")</f>
        <v>Map</v>
      </c>
      <c r="O488" s="2" t="str">
        <f>HYPERLINK("http://www.windermere.com/index.cfm?fuseaction=viewGallery.Home&amp;customTourID=208603&amp;wvt=0","More")</f>
        <v>More</v>
      </c>
      <c r="AI488" t="s">
        <v>66</v>
      </c>
      <c r="AJ488">
        <v>98115</v>
      </c>
      <c r="AS488" t="s">
        <v>1499</v>
      </c>
      <c r="AT488">
        <v>19416957</v>
      </c>
      <c r="AU488" s="7">
        <v>39503</v>
      </c>
      <c r="BB488" t="s">
        <v>912</v>
      </c>
    </row>
    <row r="489" spans="1:58" hidden="1">
      <c r="A489">
        <v>28032560</v>
      </c>
      <c r="B489" s="2" t="str">
        <f>HYPERLINK("http://www.windermere.com/index.cfm?fuseaction=Listing.ListingDetail&amp;ListingID=19416095","Active")</f>
        <v>Active</v>
      </c>
      <c r="D489" t="s">
        <v>218</v>
      </c>
      <c r="E489" t="s">
        <v>1500</v>
      </c>
      <c r="F489" s="10">
        <v>499000</v>
      </c>
      <c r="G489" t="s">
        <v>142</v>
      </c>
      <c r="H489" s="1">
        <v>1930</v>
      </c>
      <c r="I489">
        <v>3348</v>
      </c>
      <c r="J489">
        <v>3</v>
      </c>
      <c r="K489">
        <v>1.5</v>
      </c>
      <c r="M489" s="2" t="str">
        <f>HYPERLINK("http://www.windermere.com/index.cfm?fuseaction=Listing.MapPropertyInteractive&amp;ListingID=19416095&amp;resize=true&amp;windowWidth=800&amp;windowHeight=600","Map")</f>
        <v>Map</v>
      </c>
      <c r="O489" s="2" t="str">
        <f>HYPERLINK("http://www.windermere.com/index.cfm?fuseaction=Listing.MultiImageViewer&amp;ListingID=19416095&amp;ln=28032560&amp;pub_mls=1","More")</f>
        <v>More</v>
      </c>
      <c r="P489" t="s">
        <v>44</v>
      </c>
      <c r="AI489" t="s">
        <v>66</v>
      </c>
      <c r="AJ489">
        <v>98115</v>
      </c>
      <c r="AS489" t="s">
        <v>1501</v>
      </c>
      <c r="AT489">
        <v>19416095</v>
      </c>
      <c r="AU489" s="7">
        <v>39503</v>
      </c>
      <c r="BB489" t="s">
        <v>912</v>
      </c>
    </row>
    <row r="490" spans="1:58" hidden="1">
      <c r="A490">
        <v>28030136</v>
      </c>
      <c r="B490" s="2" t="str">
        <f>HYPERLINK("http://www.windermere.com/index.cfm?fuseaction=Listing.ListingDetail&amp;ListingID=19420266","Active")</f>
        <v>Active</v>
      </c>
      <c r="D490" t="s">
        <v>190</v>
      </c>
      <c r="E490" t="s">
        <v>1502</v>
      </c>
      <c r="F490" s="10">
        <v>499950</v>
      </c>
      <c r="G490" t="s">
        <v>394</v>
      </c>
      <c r="H490" s="1">
        <v>2010</v>
      </c>
      <c r="I490">
        <v>3153</v>
      </c>
      <c r="J490">
        <v>4</v>
      </c>
      <c r="K490">
        <v>1.75</v>
      </c>
      <c r="M490" s="2" t="str">
        <f>HYPERLINK("http://www.windermere.com/index.cfm?fuseaction=Listing.MapPropertyInteractive&amp;ListingID=19420266&amp;resize=true&amp;windowWidth=800&amp;windowHeight=600","Map")</f>
        <v>Map</v>
      </c>
      <c r="O490" s="2" t="str">
        <f>HYPERLINK("http://www.windermere.com/index.cfm?fuseaction=viewGallery.Home&amp;customTourID=207859&amp;wvt=0","More")</f>
        <v>More</v>
      </c>
      <c r="AI490" t="s">
        <v>66</v>
      </c>
      <c r="AJ490">
        <v>98115</v>
      </c>
      <c r="AS490" t="s">
        <v>1503</v>
      </c>
      <c r="AT490">
        <v>19420266</v>
      </c>
      <c r="AU490" s="7">
        <v>39503</v>
      </c>
      <c r="BB490" t="s">
        <v>912</v>
      </c>
    </row>
    <row r="491" spans="1:58" hidden="1">
      <c r="A491">
        <v>28032855</v>
      </c>
      <c r="B491" s="2" t="str">
        <f>HYPERLINK("http://www.windermere.com/index.cfm?fuseaction=Listing.ListingDetail&amp;ListingID=19419027","Active")</f>
        <v>Active</v>
      </c>
      <c r="D491" t="s">
        <v>63</v>
      </c>
      <c r="E491" t="s">
        <v>1504</v>
      </c>
      <c r="F491" s="10">
        <v>549500</v>
      </c>
      <c r="G491" t="s">
        <v>180</v>
      </c>
      <c r="H491" s="1">
        <v>2610</v>
      </c>
      <c r="I491">
        <v>5000</v>
      </c>
      <c r="J491">
        <v>5</v>
      </c>
      <c r="K491">
        <v>1.75</v>
      </c>
      <c r="M491" s="2" t="str">
        <f>HYPERLINK("http://www.windermere.com/index.cfm?fuseaction=Listing.MapPropertyInteractive&amp;ListingID=19419027&amp;resize=true&amp;windowWidth=800&amp;windowHeight=600","Map")</f>
        <v>Map</v>
      </c>
      <c r="O491" s="2" t="str">
        <f>HYPERLINK("http://www.windermere.com/index.cfm?fuseaction=Listing.MultiImageViewer&amp;ListingID=19419027&amp;ln=28032855&amp;pub_mls=1","More")</f>
        <v>More</v>
      </c>
      <c r="AI491" t="s">
        <v>66</v>
      </c>
      <c r="AJ491">
        <v>98117</v>
      </c>
      <c r="AS491" t="s">
        <v>1505</v>
      </c>
      <c r="AT491">
        <v>19419027</v>
      </c>
      <c r="AU491" s="7">
        <v>39503</v>
      </c>
      <c r="BB491" t="s">
        <v>912</v>
      </c>
    </row>
    <row r="492" spans="1:58" hidden="1">
      <c r="A492">
        <v>28032356</v>
      </c>
      <c r="B492" s="2" t="str">
        <f>HYPERLINK("http://www.windermere.com/index.cfm?fuseaction=Listing.ListingDetail&amp;ListingID=19416193","Active")</f>
        <v>Active</v>
      </c>
      <c r="D492" t="s">
        <v>88</v>
      </c>
      <c r="E492" t="s">
        <v>1506</v>
      </c>
      <c r="F492" s="10">
        <v>634500</v>
      </c>
      <c r="G492" t="s">
        <v>135</v>
      </c>
      <c r="H492" s="1">
        <v>2960</v>
      </c>
      <c r="I492">
        <v>4680</v>
      </c>
      <c r="J492">
        <v>4</v>
      </c>
      <c r="K492">
        <v>2</v>
      </c>
      <c r="M492" s="2" t="str">
        <f>HYPERLINK("http://www.windermere.com/index.cfm?fuseaction=Listing.MapPropertyInteractive&amp;ListingID=19416193&amp;resize=true&amp;windowWidth=800&amp;windowHeight=600","Map")</f>
        <v>Map</v>
      </c>
      <c r="O492" s="2" t="str">
        <f>HYPERLINK("http://www.windermere.com/index.cfm?fuseaction=Listing.MultiImageViewer&amp;ListingID=19416193&amp;ln=28032356&amp;pub_mls=1","More")</f>
        <v>More</v>
      </c>
      <c r="AI492" t="s">
        <v>66</v>
      </c>
      <c r="AJ492">
        <v>98117</v>
      </c>
      <c r="AS492" t="s">
        <v>1507</v>
      </c>
      <c r="AT492">
        <v>19416193</v>
      </c>
      <c r="AU492" s="7">
        <v>39503</v>
      </c>
      <c r="BB492" t="s">
        <v>912</v>
      </c>
    </row>
    <row r="493" spans="1:58" hidden="1">
      <c r="A493">
        <v>28034263</v>
      </c>
      <c r="B493" s="2" t="str">
        <f>HYPERLINK("http://www.windermere.com/index.cfm?fuseaction=Listing.ListingDetail&amp;ListingID=19449307","Active")</f>
        <v>Active</v>
      </c>
      <c r="D493" t="s">
        <v>55</v>
      </c>
      <c r="E493" t="s">
        <v>1508</v>
      </c>
      <c r="F493" s="10">
        <v>344950</v>
      </c>
      <c r="G493" t="s">
        <v>247</v>
      </c>
      <c r="H493" s="1">
        <v>1320</v>
      </c>
      <c r="J493">
        <v>2</v>
      </c>
      <c r="K493">
        <v>2.5</v>
      </c>
      <c r="M493" s="2" t="str">
        <f>HYPERLINK("http://www.windermere.com/index.cfm?fuseaction=Listing.MapPropertyInteractive&amp;ListingID=19449307&amp;resize=true&amp;windowWidth=800&amp;windowHeight=600","Map")</f>
        <v>Map</v>
      </c>
      <c r="P493" t="s">
        <v>44</v>
      </c>
      <c r="AI493" t="s">
        <v>66</v>
      </c>
      <c r="AJ493">
        <v>98133</v>
      </c>
      <c r="AS493" t="s">
        <v>1509</v>
      </c>
      <c r="AT493">
        <v>19449307</v>
      </c>
      <c r="AU493" s="7">
        <v>39505</v>
      </c>
      <c r="BB493" t="s">
        <v>912</v>
      </c>
    </row>
    <row r="494" spans="1:58" hidden="1">
      <c r="A494">
        <v>28033800</v>
      </c>
      <c r="B494" s="2" t="str">
        <f>HYPERLINK("http://www.windermere.com/index.cfm?fuseaction=Listing.ListingDetail&amp;ListingID=19444295","Active")</f>
        <v>Active</v>
      </c>
      <c r="D494" t="s">
        <v>63</v>
      </c>
      <c r="E494" t="s">
        <v>366</v>
      </c>
      <c r="F494" s="18">
        <v>350000</v>
      </c>
      <c r="G494" t="s">
        <v>134</v>
      </c>
      <c r="H494">
        <v>980</v>
      </c>
      <c r="I494">
        <v>3200</v>
      </c>
      <c r="J494">
        <v>2</v>
      </c>
      <c r="K494">
        <v>1</v>
      </c>
      <c r="M494" s="2" t="str">
        <f>HYPERLINK("http://www.windermere.com/index.cfm?fuseaction=Listing.MapPropertyInteractive&amp;ListingID=19444295&amp;resize=true&amp;windowWidth=800&amp;windowHeight=600","Map")</f>
        <v>Map</v>
      </c>
      <c r="O494" s="2" t="str">
        <f>HYPERLINK("http://www.windermere.com/index.cfm?fuseaction=Listing.MultiImageViewer&amp;ListingID=19444295&amp;ln=28033800&amp;pub_mls=1","More")</f>
        <v>More</v>
      </c>
      <c r="AI494" t="s">
        <v>66</v>
      </c>
      <c r="AJ494">
        <v>98117</v>
      </c>
      <c r="AS494" t="s">
        <v>1510</v>
      </c>
      <c r="AT494">
        <v>19444295</v>
      </c>
      <c r="AU494" s="7">
        <v>39505</v>
      </c>
      <c r="BB494" t="s">
        <v>912</v>
      </c>
    </row>
    <row r="495" spans="1:58">
      <c r="A495">
        <v>28033985</v>
      </c>
      <c r="B495" s="2" t="str">
        <f>HYPERLINK("http://www.windermere.com/index.cfm?fuseaction=Listing.ListingDetail&amp;ListingID=19447885","Active")</f>
        <v>Active</v>
      </c>
      <c r="D495" t="s">
        <v>63</v>
      </c>
      <c r="E495" t="s">
        <v>235</v>
      </c>
      <c r="F495" s="10">
        <v>375000</v>
      </c>
      <c r="G495" t="s">
        <v>124</v>
      </c>
      <c r="I495">
        <v>3000</v>
      </c>
      <c r="J495">
        <v>2</v>
      </c>
      <c r="K495">
        <v>1</v>
      </c>
      <c r="M495" s="2" t="str">
        <f>HYPERLINK("http://www.windermere.com/index.cfm?fuseaction=Listing.MapPropertyInteractive&amp;ListingID=19447885&amp;resize=true&amp;windowWidth=800&amp;windowHeight=600","Map")</f>
        <v>Map</v>
      </c>
      <c r="O495" s="2" t="str">
        <f>HYPERLINK("http://www.windermere.com/index.cfm?fuseaction=Listing.MultiImageViewer&amp;ListingID=19447885&amp;ln=28033985&amp;pub_mls=1","More")</f>
        <v>More</v>
      </c>
      <c r="AI495" t="s">
        <v>66</v>
      </c>
      <c r="AJ495">
        <v>98117</v>
      </c>
      <c r="AS495" t="s">
        <v>1511</v>
      </c>
      <c r="AT495">
        <v>19447885</v>
      </c>
      <c r="AU495" s="7">
        <v>39505</v>
      </c>
      <c r="BB495" t="s">
        <v>912</v>
      </c>
      <c r="BD495" t="s">
        <v>1625</v>
      </c>
      <c r="BE495" t="s">
        <v>1629</v>
      </c>
      <c r="BF495" s="7">
        <v>39508</v>
      </c>
    </row>
    <row r="496" spans="1:58" hidden="1">
      <c r="A496">
        <v>28033526</v>
      </c>
      <c r="B496" s="2" t="str">
        <f>HYPERLINK("http://www.windermere.com/index.cfm?fuseaction=Listing.ListingDetail&amp;ListingID=19444687","Active")</f>
        <v>Active</v>
      </c>
      <c r="D496" t="s">
        <v>88</v>
      </c>
      <c r="E496" t="s">
        <v>1512</v>
      </c>
      <c r="F496" s="10">
        <v>379000</v>
      </c>
      <c r="G496" t="s">
        <v>135</v>
      </c>
      <c r="H496" s="1">
        <v>1010</v>
      </c>
      <c r="I496">
        <v>3800</v>
      </c>
      <c r="J496">
        <v>2</v>
      </c>
      <c r="K496">
        <v>1</v>
      </c>
      <c r="M496" s="2" t="str">
        <f>HYPERLINK("http://www.windermere.com/index.cfm?fuseaction=Listing.MapPropertyInteractive&amp;ListingID=19444687&amp;resize=true&amp;windowWidth=800&amp;windowHeight=600","Map")</f>
        <v>Map</v>
      </c>
      <c r="O496" s="2" t="str">
        <f>HYPERLINK("http://www.windermere.com/index.cfm?fuseaction=Listing.MultiImageViewer&amp;ListingID=19444687&amp;ln=28033526&amp;pub_mls=1","More")</f>
        <v>More</v>
      </c>
      <c r="P496" t="s">
        <v>44</v>
      </c>
      <c r="AI496" t="s">
        <v>66</v>
      </c>
      <c r="AJ496">
        <v>98107</v>
      </c>
      <c r="AS496" t="s">
        <v>1513</v>
      </c>
      <c r="AT496">
        <v>19444687</v>
      </c>
      <c r="AU496" s="7">
        <v>39505</v>
      </c>
      <c r="BB496" t="s">
        <v>912</v>
      </c>
    </row>
    <row r="497" spans="1:58" hidden="1">
      <c r="A497">
        <v>28033639</v>
      </c>
      <c r="B497" s="15" t="str">
        <f>HYPERLINK("http://www.windermere.com/index.cfm?fuseaction=Listing.ListingDetail&amp;ListingID=19443392","Subject To Inspection")</f>
        <v>Subject To Inspection</v>
      </c>
      <c r="D497" t="s">
        <v>55</v>
      </c>
      <c r="E497" t="s">
        <v>1514</v>
      </c>
      <c r="F497" s="10">
        <v>379000</v>
      </c>
      <c r="G497" t="s">
        <v>1515</v>
      </c>
      <c r="H497" s="1">
        <v>1860</v>
      </c>
      <c r="I497">
        <v>3762</v>
      </c>
      <c r="J497">
        <v>4</v>
      </c>
      <c r="K497">
        <v>3</v>
      </c>
      <c r="M497" s="2" t="str">
        <f>HYPERLINK("http://www.windermere.com/index.cfm?fuseaction=Listing.MapPropertyInteractive&amp;ListingID=19443392&amp;resize=true&amp;windowWidth=800&amp;windowHeight=600","Map")</f>
        <v>Map</v>
      </c>
      <c r="O497" s="2" t="str">
        <f>HYPERLINK("http://www.windermere.com/index.cfm?fuseaction=Listing.MultiImageViewer&amp;ListingID=19443392&amp;ln=28033639&amp;pub_mls=1","More")</f>
        <v>More</v>
      </c>
      <c r="AI497" t="s">
        <v>66</v>
      </c>
      <c r="AJ497">
        <v>98133</v>
      </c>
      <c r="AS497" t="s">
        <v>1516</v>
      </c>
      <c r="AT497">
        <v>19443392</v>
      </c>
      <c r="AU497" s="7">
        <v>39505</v>
      </c>
      <c r="BB497" t="s">
        <v>912</v>
      </c>
    </row>
    <row r="498" spans="1:58" hidden="1">
      <c r="A498">
        <v>28033169</v>
      </c>
      <c r="B498" s="4" t="str">
        <f>HYPERLINK("http://www.windermere.com/index.cfm?fuseaction=Listing.ListingDetail&amp;ListingID=19444689","Subject To Inspection")</f>
        <v>Subject To Inspection</v>
      </c>
      <c r="D498" t="s">
        <v>213</v>
      </c>
      <c r="E498" t="s">
        <v>1517</v>
      </c>
      <c r="F498" s="10">
        <v>399950</v>
      </c>
      <c r="G498" t="s">
        <v>132</v>
      </c>
      <c r="H498" s="1">
        <v>1630</v>
      </c>
      <c r="I498">
        <v>8146</v>
      </c>
      <c r="J498">
        <v>2</v>
      </c>
      <c r="K498">
        <v>1.5</v>
      </c>
      <c r="M498" s="2" t="str">
        <f>HYPERLINK("http://www.windermere.com/index.cfm?fuseaction=Listing.MapPropertyInteractive&amp;ListingID=19444689&amp;resize=true&amp;windowWidth=800&amp;windowHeight=600","Map")</f>
        <v>Map</v>
      </c>
      <c r="O498" s="2" t="str">
        <f>HYPERLINK("http://www.windermere.com/index.cfm?fuseaction=Listing.MultiImageViewer&amp;ListingID=19444689&amp;ln=28033169&amp;pub_mls=1","More")</f>
        <v>More</v>
      </c>
      <c r="P498" t="s">
        <v>44</v>
      </c>
      <c r="AI498" t="s">
        <v>66</v>
      </c>
      <c r="AJ498">
        <v>98125</v>
      </c>
      <c r="AS498" t="s">
        <v>1518</v>
      </c>
      <c r="AT498">
        <v>19444689</v>
      </c>
      <c r="AU498" s="7">
        <v>39505</v>
      </c>
      <c r="BB498" t="s">
        <v>912</v>
      </c>
    </row>
    <row r="499" spans="1:58" hidden="1">
      <c r="A499">
        <v>28034506</v>
      </c>
      <c r="B499" s="2" t="str">
        <f>HYPERLINK("http://www.windermere.com/index.cfm?fuseaction=Listing.ListingDetail&amp;ListingID=19449958","Active")</f>
        <v>Active</v>
      </c>
      <c r="D499" t="s">
        <v>218</v>
      </c>
      <c r="E499" t="s">
        <v>1519</v>
      </c>
      <c r="F499" s="10">
        <v>400000</v>
      </c>
      <c r="G499" t="s">
        <v>132</v>
      </c>
      <c r="I499">
        <v>4156</v>
      </c>
      <c r="J499">
        <v>3</v>
      </c>
      <c r="K499">
        <v>1</v>
      </c>
      <c r="M499" s="2" t="str">
        <f>HYPERLINK("http://www.windermere.com/index.cfm?fuseaction=Listing.MapPropertyInteractive&amp;ListingID=19449958&amp;resize=true&amp;windowWidth=800&amp;windowHeight=600","Map")</f>
        <v>Map</v>
      </c>
      <c r="O499" s="2" t="str">
        <f>HYPERLINK("http://www.windermere.com/index.cfm?fuseaction=Listing.MultiImageViewer&amp;ListingID=19449958&amp;ln=28034506&amp;pub_mls=1","More")</f>
        <v>More</v>
      </c>
      <c r="AI499" t="s">
        <v>66</v>
      </c>
      <c r="AJ499">
        <v>98115</v>
      </c>
      <c r="AS499" t="s">
        <v>1520</v>
      </c>
      <c r="AT499">
        <v>19449958</v>
      </c>
      <c r="AU499" s="7">
        <v>39505</v>
      </c>
      <c r="BB499" t="s">
        <v>912</v>
      </c>
    </row>
    <row r="500" spans="1:58">
      <c r="A500">
        <v>28031818</v>
      </c>
      <c r="B500" s="2" t="str">
        <f>HYPERLINK("http://www.windermere.com/index.cfm?fuseaction=Listing.ListingDetail&amp;ListingID=19439266","Active")</f>
        <v>Active</v>
      </c>
      <c r="D500" t="s">
        <v>63</v>
      </c>
      <c r="E500" t="s">
        <v>1521</v>
      </c>
      <c r="F500" s="10">
        <v>400000</v>
      </c>
      <c r="G500" t="s">
        <v>181</v>
      </c>
      <c r="H500" s="1">
        <v>1809</v>
      </c>
      <c r="I500">
        <v>3915</v>
      </c>
      <c r="J500">
        <v>3</v>
      </c>
      <c r="K500">
        <v>2</v>
      </c>
      <c r="M500" s="2" t="str">
        <f>HYPERLINK("http://www.windermere.com/index.cfm?fuseaction=Listing.MapPropertyInteractive&amp;ListingID=19439266&amp;resize=true&amp;windowWidth=800&amp;windowHeight=600","Map")</f>
        <v>Map</v>
      </c>
      <c r="O500" s="2" t="str">
        <f>HYPERLINK("http://www.windermere.com/index.cfm?fuseaction=Listing.MultiImageViewer&amp;ListingID=19439266&amp;ln=28031818&amp;pub_mls=1","More")</f>
        <v>More</v>
      </c>
      <c r="P500" t="s">
        <v>44</v>
      </c>
      <c r="AI500" t="s">
        <v>66</v>
      </c>
      <c r="AJ500">
        <v>98107</v>
      </c>
      <c r="AS500" s="2" t="s">
        <v>1522</v>
      </c>
      <c r="AT500">
        <v>19439266</v>
      </c>
      <c r="AU500" s="7">
        <v>39505</v>
      </c>
      <c r="BB500" t="s">
        <v>912</v>
      </c>
      <c r="BD500" t="s">
        <v>1625</v>
      </c>
      <c r="BE500" t="s">
        <v>1626</v>
      </c>
      <c r="BF500" s="7">
        <v>39508</v>
      </c>
    </row>
    <row r="501" spans="1:58" hidden="1">
      <c r="A501">
        <v>28032668</v>
      </c>
      <c r="B501" s="15" t="str">
        <f>HYPERLINK("http://www.windermere.com/index.cfm?fuseaction=Listing.ListingDetail&amp;ListingID=19445556","Subject To Inspection")</f>
        <v>Subject To Inspection</v>
      </c>
      <c r="D501" t="s">
        <v>63</v>
      </c>
      <c r="E501" t="s">
        <v>1523</v>
      </c>
      <c r="F501" s="10">
        <v>425000</v>
      </c>
      <c r="G501" t="s">
        <v>172</v>
      </c>
      <c r="H501" s="1">
        <v>1590</v>
      </c>
      <c r="I501">
        <v>7000</v>
      </c>
      <c r="J501">
        <v>2</v>
      </c>
      <c r="K501">
        <v>1</v>
      </c>
      <c r="M501" s="2" t="str">
        <f>HYPERLINK("http://www.windermere.com/index.cfm?fuseaction=Listing.MapPropertyInteractive&amp;ListingID=19445556&amp;resize=true&amp;windowWidth=800&amp;windowHeight=600","Map")</f>
        <v>Map</v>
      </c>
      <c r="O501" s="2" t="str">
        <f>HYPERLINK("http://www.windermere.com/index.cfm?fuseaction=viewGallery.Home&amp;customTourID=208682&amp;wvt=0","More")</f>
        <v>More</v>
      </c>
      <c r="P501" t="s">
        <v>44</v>
      </c>
      <c r="AI501" t="s">
        <v>66</v>
      </c>
      <c r="AJ501">
        <v>98107</v>
      </c>
      <c r="AS501" t="s">
        <v>1524</v>
      </c>
      <c r="AT501">
        <v>19445556</v>
      </c>
      <c r="AU501" s="7">
        <v>39505</v>
      </c>
      <c r="BB501" t="s">
        <v>912</v>
      </c>
    </row>
    <row r="502" spans="1:58">
      <c r="A502">
        <v>28033328</v>
      </c>
      <c r="B502" s="4" t="str">
        <f>HYPERLINK("http://www.windermere.com/index.cfm?fuseaction=Listing.ListingDetail&amp;ListingID=19441098","Subject To Inspection")</f>
        <v>Subject To Inspection</v>
      </c>
      <c r="D502" t="s">
        <v>63</v>
      </c>
      <c r="E502" t="s">
        <v>1525</v>
      </c>
      <c r="F502" s="10">
        <v>439000</v>
      </c>
      <c r="G502" t="s">
        <v>172</v>
      </c>
      <c r="H502" s="1">
        <v>1480</v>
      </c>
      <c r="I502">
        <v>5000</v>
      </c>
      <c r="J502">
        <v>2</v>
      </c>
      <c r="K502">
        <v>1</v>
      </c>
      <c r="M502" s="2" t="str">
        <f>HYPERLINK("http://www.windermere.com/index.cfm?fuseaction=Listing.MapPropertyInteractive&amp;ListingID=19441098&amp;resize=true&amp;windowWidth=800&amp;windowHeight=600","Map")</f>
        <v>Map</v>
      </c>
      <c r="O502" s="2" t="str">
        <f>HYPERLINK("http://www.windermere.com/index.cfm?fuseaction=viewGallery.Home&amp;customTourID=208733&amp;wvt=0","More")</f>
        <v>More</v>
      </c>
      <c r="AI502" t="s">
        <v>66</v>
      </c>
      <c r="AJ502">
        <v>98107</v>
      </c>
      <c r="AS502" t="s">
        <v>1526</v>
      </c>
      <c r="AT502">
        <v>19441098</v>
      </c>
      <c r="AU502" s="7">
        <v>39505</v>
      </c>
      <c r="BB502" t="s">
        <v>912</v>
      </c>
      <c r="BD502" t="s">
        <v>1622</v>
      </c>
      <c r="BE502" t="s">
        <v>1624</v>
      </c>
      <c r="BF502" s="7">
        <v>39508</v>
      </c>
    </row>
    <row r="503" spans="1:58" hidden="1">
      <c r="A503">
        <v>28033433</v>
      </c>
      <c r="B503" s="4" t="str">
        <f>HYPERLINK("http://www.windermere.com/index.cfm?fuseaction=Listing.ListingDetail&amp;ListingID=19444419","Subject To Inspection")</f>
        <v>Subject To Inspection</v>
      </c>
      <c r="D503" t="s">
        <v>192</v>
      </c>
      <c r="E503" t="s">
        <v>1527</v>
      </c>
      <c r="F503" s="10">
        <v>445000</v>
      </c>
      <c r="G503" t="s">
        <v>161</v>
      </c>
      <c r="H503" s="1">
        <v>2240</v>
      </c>
      <c r="I503">
        <v>5400</v>
      </c>
      <c r="J503">
        <v>3</v>
      </c>
      <c r="K503">
        <v>1</v>
      </c>
      <c r="M503" s="2" t="str">
        <f>HYPERLINK("http://www.windermere.com/index.cfm?fuseaction=Listing.MapPropertyInteractive&amp;ListingID=19444419&amp;resize=true&amp;windowWidth=800&amp;windowHeight=600","Map")</f>
        <v>Map</v>
      </c>
      <c r="O503" s="2" t="str">
        <f>HYPERLINK("http://www.windermere.com/index.cfm?fuseaction=viewGallery.Home&amp;customTourID=208760&amp;wvt=0","More")</f>
        <v>More</v>
      </c>
      <c r="P503" t="s">
        <v>44</v>
      </c>
      <c r="AI503" t="s">
        <v>66</v>
      </c>
      <c r="AJ503">
        <v>98115</v>
      </c>
      <c r="AS503" t="s">
        <v>1528</v>
      </c>
      <c r="AT503">
        <v>19444419</v>
      </c>
      <c r="AU503" s="7">
        <v>39505</v>
      </c>
      <c r="BB503" t="s">
        <v>912</v>
      </c>
    </row>
    <row r="504" spans="1:58" hidden="1">
      <c r="A504">
        <v>28033698</v>
      </c>
      <c r="B504" s="2" t="str">
        <f>HYPERLINK("http://www.windermere.com/index.cfm?fuseaction=Listing.ListingDetail&amp;ListingID=19444422","Active")</f>
        <v>Active</v>
      </c>
      <c r="D504" t="s">
        <v>207</v>
      </c>
      <c r="E504" t="s">
        <v>1529</v>
      </c>
      <c r="F504" s="10">
        <v>450000</v>
      </c>
      <c r="G504" t="s">
        <v>227</v>
      </c>
      <c r="H504" s="1">
        <v>2200</v>
      </c>
      <c r="I504">
        <v>5000</v>
      </c>
      <c r="J504">
        <v>3</v>
      </c>
      <c r="K504">
        <v>1</v>
      </c>
      <c r="M504" s="2" t="str">
        <f>HYPERLINK("http://www.windermere.com/index.cfm?fuseaction=Listing.MapPropertyInteractive&amp;ListingID=19444422&amp;resize=true&amp;windowWidth=800&amp;windowHeight=600","Map")</f>
        <v>Map</v>
      </c>
      <c r="O504" s="2" t="str">
        <f>HYPERLINK("http://www.windermere.com/index.cfm?fuseaction=Listing.MultiImageViewer&amp;ListingID=19444422&amp;ln=28033698&amp;pub_mls=1","More")</f>
        <v>More</v>
      </c>
      <c r="P504" t="s">
        <v>44</v>
      </c>
      <c r="AI504" t="s">
        <v>66</v>
      </c>
      <c r="AJ504">
        <v>98105</v>
      </c>
      <c r="AS504" t="s">
        <v>1530</v>
      </c>
      <c r="AT504">
        <v>19444422</v>
      </c>
      <c r="AU504" s="7">
        <v>39505</v>
      </c>
      <c r="BB504" t="s">
        <v>912</v>
      </c>
    </row>
    <row r="505" spans="1:58" hidden="1">
      <c r="A505">
        <v>28032421</v>
      </c>
      <c r="B505" s="2" t="str">
        <f>HYPERLINK("http://www.windermere.com/index.cfm?fuseaction=Listing.ListingDetail&amp;ListingID=19439314","Active")</f>
        <v>Active</v>
      </c>
      <c r="D505" t="s">
        <v>192</v>
      </c>
      <c r="E505" t="s">
        <v>1531</v>
      </c>
      <c r="F505" s="18">
        <v>450000</v>
      </c>
      <c r="G505" t="s">
        <v>1137</v>
      </c>
      <c r="H505" s="1">
        <v>1610</v>
      </c>
      <c r="I505">
        <v>2550</v>
      </c>
      <c r="J505">
        <v>3</v>
      </c>
      <c r="K505">
        <v>1.75</v>
      </c>
      <c r="M505" s="2" t="str">
        <f>HYPERLINK("http://www.windermere.com/index.cfm?fuseaction=Listing.MapPropertyInteractive&amp;ListingID=19439314&amp;resize=true&amp;windowWidth=800&amp;windowHeight=600","Map")</f>
        <v>Map</v>
      </c>
      <c r="O505" s="2" t="str">
        <f>HYPERLINK("http://www.windermere.com/index.cfm?fuseaction=Listing.MultiImageViewer&amp;ListingID=19439314&amp;ln=28032421&amp;pub_mls=1","More")</f>
        <v>More</v>
      </c>
      <c r="P505" t="s">
        <v>44</v>
      </c>
      <c r="AI505" t="s">
        <v>66</v>
      </c>
      <c r="AJ505">
        <v>98115</v>
      </c>
      <c r="AS505" t="s">
        <v>1532</v>
      </c>
      <c r="AT505">
        <v>19439314</v>
      </c>
      <c r="AU505" s="7">
        <v>39505</v>
      </c>
      <c r="BB505" t="s">
        <v>912</v>
      </c>
    </row>
    <row r="506" spans="1:58" hidden="1">
      <c r="A506">
        <v>28032145</v>
      </c>
      <c r="B506" s="2" t="str">
        <f>HYPERLINK("http://www.windermere.com/index.cfm?fuseaction=Listing.ListingDetail&amp;ListingID=19443385","Active")</f>
        <v>Active</v>
      </c>
      <c r="D506" t="s">
        <v>55</v>
      </c>
      <c r="E506" s="3" t="s">
        <v>1960</v>
      </c>
      <c r="F506" s="18">
        <v>450000</v>
      </c>
      <c r="G506" t="s">
        <v>394</v>
      </c>
      <c r="H506" s="1">
        <v>1640</v>
      </c>
      <c r="I506">
        <v>3790</v>
      </c>
      <c r="J506">
        <v>3</v>
      </c>
      <c r="K506">
        <v>1</v>
      </c>
      <c r="M506" s="2" t="str">
        <f>HYPERLINK("http://www.windermere.com/index.cfm?fuseaction=Listing.MapPropertyInteractive&amp;ListingID=19443385&amp;resize=true&amp;windowWidth=800&amp;windowHeight=600","Map")</f>
        <v>Map</v>
      </c>
      <c r="O506" s="2" t="str">
        <f>HYPERLINK("http://www.windermere.com/index.cfm?fuseaction=Listing.MultiImageViewer&amp;ListingID=19443385&amp;ln=28032145&amp;pub_mls=1","More")</f>
        <v>More</v>
      </c>
      <c r="P506" t="s">
        <v>44</v>
      </c>
      <c r="AI506" t="s">
        <v>66</v>
      </c>
      <c r="AJ506">
        <v>98103</v>
      </c>
      <c r="AS506" t="s">
        <v>1534</v>
      </c>
      <c r="AT506">
        <v>19443385</v>
      </c>
      <c r="AU506" s="7">
        <v>39505</v>
      </c>
      <c r="BB506" t="s">
        <v>912</v>
      </c>
    </row>
    <row r="507" spans="1:58" hidden="1">
      <c r="A507">
        <v>28033762</v>
      </c>
      <c r="B507" s="2" t="str">
        <f>HYPERLINK("http://www.windermere.com/index.cfm?fuseaction=Listing.ListingDetail&amp;ListingID=19444303","Active")</f>
        <v>Active</v>
      </c>
      <c r="D507" t="s">
        <v>99</v>
      </c>
      <c r="E507" t="s">
        <v>269</v>
      </c>
      <c r="F507" s="10">
        <v>489500</v>
      </c>
      <c r="G507" t="s">
        <v>138</v>
      </c>
      <c r="H507" s="1">
        <v>1980</v>
      </c>
      <c r="I507">
        <v>8538</v>
      </c>
      <c r="J507">
        <v>3</v>
      </c>
      <c r="K507">
        <v>2</v>
      </c>
      <c r="M507" s="2" t="str">
        <f>HYPERLINK("http://www.windermere.com/index.cfm?fuseaction=Listing.MapPropertyInteractive&amp;ListingID=19444303&amp;resize=true&amp;windowWidth=800&amp;windowHeight=600","Map")</f>
        <v>Map</v>
      </c>
      <c r="O507" s="2" t="str">
        <f>HYPERLINK("http://www.windermere.com/index.cfm?fuseaction=Listing.MultiImageViewer&amp;ListingID=19444303&amp;ln=28033762&amp;pub_mls=1","More")</f>
        <v>More</v>
      </c>
      <c r="P507" t="s">
        <v>44</v>
      </c>
      <c r="AI507" t="s">
        <v>66</v>
      </c>
      <c r="AJ507">
        <v>98117</v>
      </c>
      <c r="AS507" t="s">
        <v>1535</v>
      </c>
      <c r="AT507">
        <v>19444303</v>
      </c>
      <c r="AU507" s="7">
        <v>39505</v>
      </c>
      <c r="BB507" t="s">
        <v>912</v>
      </c>
    </row>
    <row r="508" spans="1:58" hidden="1">
      <c r="A508">
        <v>28033947</v>
      </c>
      <c r="B508" s="2" t="str">
        <f>HYPERLINK("http://www.windermere.com/index.cfm?fuseaction=Listing.ListingDetail&amp;ListingID=19447251","Active")</f>
        <v>Active</v>
      </c>
      <c r="D508" t="s">
        <v>60</v>
      </c>
      <c r="E508" t="s">
        <v>1536</v>
      </c>
      <c r="F508" s="10">
        <v>499950</v>
      </c>
      <c r="G508" t="s">
        <v>135</v>
      </c>
      <c r="H508" s="1">
        <v>1540</v>
      </c>
      <c r="I508">
        <v>4284</v>
      </c>
      <c r="J508">
        <v>3</v>
      </c>
      <c r="K508">
        <v>1.75</v>
      </c>
      <c r="M508" s="2" t="str">
        <f>HYPERLINK("http://www.windermere.com/index.cfm?fuseaction=Listing.MapPropertyInteractive&amp;ListingID=19447251&amp;resize=true&amp;windowWidth=800&amp;windowHeight=600","Map")</f>
        <v>Map</v>
      </c>
      <c r="O508" s="2" t="str">
        <f>HYPERLINK("http://www.windermere.com/index.cfm?fuseaction=Listing.MultiImageViewer&amp;ListingID=19447251&amp;ln=28033947&amp;pub_mls=1","More")</f>
        <v>More</v>
      </c>
      <c r="AI508" t="s">
        <v>66</v>
      </c>
      <c r="AJ508">
        <v>98105</v>
      </c>
      <c r="AS508" t="s">
        <v>1537</v>
      </c>
      <c r="AT508">
        <v>19447251</v>
      </c>
      <c r="AU508" s="7">
        <v>39505</v>
      </c>
      <c r="BB508" t="s">
        <v>912</v>
      </c>
    </row>
    <row r="509" spans="1:58" hidden="1">
      <c r="A509">
        <v>27202179</v>
      </c>
      <c r="B509" s="2" t="str">
        <f>HYPERLINK("http://www.windermere.com/index.cfm?fuseaction=Listing.ListingDetail&amp;ListingID=18991194","Active")</f>
        <v>Active</v>
      </c>
      <c r="D509" t="s">
        <v>55</v>
      </c>
      <c r="E509" t="s">
        <v>1538</v>
      </c>
      <c r="F509" s="10">
        <v>499950</v>
      </c>
      <c r="G509" t="s">
        <v>147</v>
      </c>
      <c r="H509" s="1">
        <v>1840</v>
      </c>
      <c r="I509">
        <v>4340</v>
      </c>
      <c r="J509">
        <v>4</v>
      </c>
      <c r="K509">
        <v>2.5</v>
      </c>
      <c r="M509" s="2" t="str">
        <f>HYPERLINK("http://www.windermere.com/index.cfm?fuseaction=Listing.MapPropertyInteractive&amp;ListingID=18991194&amp;resize=true&amp;windowWidth=800&amp;windowHeight=600","Map")</f>
        <v>Map</v>
      </c>
      <c r="O509" s="2" t="str">
        <f>HYPERLINK("http://www.windermere.com/index.cfm?fuseaction=Listing.MultiImageViewer&amp;ListingID=18991194&amp;ln=27202179&amp;pub_mls=1","More")</f>
        <v>More</v>
      </c>
      <c r="AI509" t="s">
        <v>66</v>
      </c>
      <c r="AJ509">
        <v>98133</v>
      </c>
      <c r="AS509" t="s">
        <v>1539</v>
      </c>
      <c r="AT509">
        <v>18991194</v>
      </c>
      <c r="AU509" s="7">
        <v>39505</v>
      </c>
      <c r="BB509" t="s">
        <v>912</v>
      </c>
    </row>
    <row r="510" spans="1:58" hidden="1">
      <c r="A510">
        <v>28033954</v>
      </c>
      <c r="B510" s="2" t="str">
        <f>HYPERLINK("http://www.windermere.com/index.cfm?fuseaction=Listing.ListingDetail&amp;ListingID=19447573","Active")</f>
        <v>Active</v>
      </c>
      <c r="D510" t="s">
        <v>63</v>
      </c>
      <c r="E510" t="s">
        <v>1540</v>
      </c>
      <c r="F510" s="10">
        <v>549950</v>
      </c>
      <c r="G510" t="s">
        <v>142</v>
      </c>
      <c r="H510" s="1">
        <v>2260</v>
      </c>
      <c r="I510">
        <v>3638</v>
      </c>
      <c r="J510">
        <v>3</v>
      </c>
      <c r="K510">
        <v>1.75</v>
      </c>
      <c r="M510" s="2" t="str">
        <f>HYPERLINK("http://www.windermere.com/index.cfm?fuseaction=Listing.MapPropertyInteractive&amp;ListingID=19447573&amp;resize=true&amp;windowWidth=800&amp;windowHeight=600","Map")</f>
        <v>Map</v>
      </c>
      <c r="AI510" t="s">
        <v>66</v>
      </c>
      <c r="AJ510">
        <v>98117</v>
      </c>
      <c r="AS510" t="s">
        <v>1541</v>
      </c>
      <c r="AT510">
        <v>19447573</v>
      </c>
      <c r="AU510" s="7">
        <v>39505</v>
      </c>
      <c r="BB510" t="s">
        <v>912</v>
      </c>
    </row>
    <row r="511" spans="1:58" hidden="1">
      <c r="A511">
        <v>28033971</v>
      </c>
      <c r="B511" s="2" t="str">
        <f>HYPERLINK("http://www.windermere.com/index.cfm?fuseaction=Listing.ListingDetail&amp;ListingID=19448225","Active")</f>
        <v>Active</v>
      </c>
      <c r="D511" t="s">
        <v>88</v>
      </c>
      <c r="E511" t="s">
        <v>1261</v>
      </c>
      <c r="F511" s="10">
        <v>698500</v>
      </c>
      <c r="G511" t="s">
        <v>151</v>
      </c>
      <c r="H511" s="1">
        <v>2760</v>
      </c>
      <c r="I511">
        <v>4500</v>
      </c>
      <c r="J511">
        <v>2</v>
      </c>
      <c r="K511">
        <v>1.75</v>
      </c>
      <c r="M511" s="2" t="str">
        <f>HYPERLINK("http://www.windermere.com/index.cfm?fuseaction=Listing.MapPropertyInteractive&amp;ListingID=19448225&amp;resize=true&amp;windowWidth=800&amp;windowHeight=600","Map")</f>
        <v>Map</v>
      </c>
      <c r="O511" s="2" t="str">
        <f>HYPERLINK("http://www.windermere.com/index.cfm?fuseaction=viewGallery.Home&amp;customTourID=197820&amp;wvt=0","More")</f>
        <v>More</v>
      </c>
      <c r="P511" t="s">
        <v>44</v>
      </c>
      <c r="AI511" t="s">
        <v>66</v>
      </c>
      <c r="AJ511">
        <v>98117</v>
      </c>
      <c r="AS511" t="s">
        <v>1542</v>
      </c>
      <c r="AT511">
        <v>19448225</v>
      </c>
      <c r="AU511" s="7">
        <v>39505</v>
      </c>
      <c r="BB511" t="s">
        <v>912</v>
      </c>
    </row>
    <row r="512" spans="1:58" hidden="1">
      <c r="A512">
        <v>28032011</v>
      </c>
      <c r="B512" s="2" t="str">
        <f>HYPERLINK("http://www.windermere.com/index.cfm?fuseaction=Listing.ListingDetail&amp;ListingID=19445431","Active")</f>
        <v>Active</v>
      </c>
      <c r="D512" t="s">
        <v>63</v>
      </c>
      <c r="E512" t="s">
        <v>1543</v>
      </c>
      <c r="F512" s="18">
        <v>698950</v>
      </c>
      <c r="G512" t="s">
        <v>623</v>
      </c>
      <c r="I512">
        <v>5300</v>
      </c>
      <c r="J512">
        <v>4</v>
      </c>
      <c r="K512">
        <v>2</v>
      </c>
      <c r="M512" s="2" t="str">
        <f>HYPERLINK("http://www.windermere.com/index.cfm?fuseaction=Listing.MapPropertyInteractive&amp;ListingID=19445431&amp;resize=true&amp;windowWidth=800&amp;windowHeight=600","Map")</f>
        <v>Map</v>
      </c>
      <c r="O512" s="2" t="str">
        <f>HYPERLINK("http://www.windermere.com/index.cfm?fuseaction=viewGallery.Home&amp;customTourID=209263&amp;wvt=0","More")</f>
        <v>More</v>
      </c>
      <c r="P512" t="s">
        <v>44</v>
      </c>
      <c r="AI512" t="s">
        <v>66</v>
      </c>
      <c r="AJ512">
        <v>98117</v>
      </c>
      <c r="AS512" t="s">
        <v>1544</v>
      </c>
      <c r="AT512">
        <v>19445431</v>
      </c>
      <c r="AU512" s="7">
        <v>39505</v>
      </c>
      <c r="BB512" t="s">
        <v>912</v>
      </c>
    </row>
    <row r="513" spans="1:54" hidden="1">
      <c r="A513">
        <v>28033385</v>
      </c>
      <c r="B513" s="4" t="str">
        <f>HYPERLINK("http://www.windermere.com/index.cfm?fuseaction=Listing.ListingDetail&amp;ListingID=19441832","Subject To Inspection")</f>
        <v>Subject To Inspection</v>
      </c>
      <c r="D513" t="s">
        <v>101</v>
      </c>
      <c r="E513" t="s">
        <v>1291</v>
      </c>
      <c r="F513" s="10">
        <v>949000</v>
      </c>
      <c r="G513" t="s">
        <v>171</v>
      </c>
      <c r="H513" s="1">
        <v>3900</v>
      </c>
      <c r="I513">
        <v>12635</v>
      </c>
      <c r="J513">
        <v>4</v>
      </c>
      <c r="K513">
        <v>3</v>
      </c>
      <c r="M513" s="2" t="str">
        <f>HYPERLINK("http://www.windermere.com/index.cfm?fuseaction=Listing.MapPropertyInteractive&amp;ListingID=19441832&amp;resize=true&amp;windowWidth=800&amp;windowHeight=600","Map")</f>
        <v>Map</v>
      </c>
      <c r="O513" s="2" t="str">
        <f>HYPERLINK("http://www.windermere.com/index.cfm?fuseaction=viewGallery.Home&amp;customTourID=210151&amp;wvt=0","More")</f>
        <v>More</v>
      </c>
      <c r="P513" t="s">
        <v>44</v>
      </c>
      <c r="AI513" t="s">
        <v>66</v>
      </c>
      <c r="AJ513">
        <v>98117</v>
      </c>
      <c r="AS513" t="s">
        <v>1545</v>
      </c>
      <c r="AT513">
        <v>19441832</v>
      </c>
      <c r="AU513" s="7">
        <v>39505</v>
      </c>
      <c r="BB513" t="s">
        <v>912</v>
      </c>
    </row>
    <row r="514" spans="1:54" hidden="1">
      <c r="A514">
        <v>28034656</v>
      </c>
      <c r="B514" s="2" t="str">
        <f>HYPERLINK("http://www.windermere.com/index.cfm?fuseaction=Listing.ListingDetail&amp;ListingID=19453125","Active")</f>
        <v>Active</v>
      </c>
      <c r="D514" t="s">
        <v>42</v>
      </c>
      <c r="E514" t="s">
        <v>1546</v>
      </c>
      <c r="F514" s="18">
        <v>360000</v>
      </c>
      <c r="G514" t="s">
        <v>168</v>
      </c>
      <c r="H514" s="1">
        <v>1150</v>
      </c>
      <c r="I514">
        <v>6000</v>
      </c>
      <c r="J514">
        <v>3</v>
      </c>
      <c r="K514">
        <v>1</v>
      </c>
      <c r="M514" s="2" t="str">
        <f>HYPERLINK("http://www.windermere.com/index.cfm?fuseaction=Listing.MapPropertyInteractive&amp;ListingID=19453125&amp;resize=true&amp;windowWidth=800&amp;windowHeight=600","Map")</f>
        <v>Map</v>
      </c>
      <c r="O514" s="2" t="str">
        <f>HYPERLINK("http://www.windermere.com/index.cfm?fuseaction=Listing.MultiImageViewer&amp;ListingID=19453125&amp;ln=28034656&amp;pub_mls=1","More")</f>
        <v>More</v>
      </c>
      <c r="P514" t="s">
        <v>44</v>
      </c>
      <c r="AI514" t="s">
        <v>66</v>
      </c>
      <c r="AJ514">
        <v>98133</v>
      </c>
      <c r="AS514" t="s">
        <v>1547</v>
      </c>
      <c r="AT514">
        <v>19453125</v>
      </c>
      <c r="AU514" s="7">
        <v>39506</v>
      </c>
      <c r="BB514" t="s">
        <v>912</v>
      </c>
    </row>
    <row r="515" spans="1:54" hidden="1">
      <c r="A515">
        <v>28030887</v>
      </c>
      <c r="B515" s="2" t="str">
        <f>HYPERLINK("http://www.windermere.com/index.cfm?fuseaction=Listing.ListingDetail&amp;ListingID=19451207","Active")</f>
        <v>Active</v>
      </c>
      <c r="D515" t="s">
        <v>99</v>
      </c>
      <c r="E515" t="s">
        <v>1549</v>
      </c>
      <c r="F515" s="10">
        <v>412000</v>
      </c>
      <c r="G515" t="s">
        <v>144</v>
      </c>
      <c r="H515" s="1">
        <v>1510</v>
      </c>
      <c r="I515">
        <v>4960</v>
      </c>
      <c r="J515">
        <v>3</v>
      </c>
      <c r="K515">
        <v>1.75</v>
      </c>
      <c r="M515" s="2" t="str">
        <f>HYPERLINK("http://www.windermere.com/index.cfm?fuseaction=Listing.MapPropertyInteractive&amp;ListingID=19451207&amp;resize=true&amp;windowWidth=800&amp;windowHeight=600","Map")</f>
        <v>Map</v>
      </c>
      <c r="O515" s="2" t="str">
        <f>HYPERLINK("http://www.windermere.com/index.cfm?fuseaction=Listing.MultiImageViewer&amp;ListingID=19451207&amp;ln=28030887&amp;pub_mls=1","More")</f>
        <v>More</v>
      </c>
      <c r="P515" t="s">
        <v>44</v>
      </c>
      <c r="AI515" t="s">
        <v>66</v>
      </c>
      <c r="AJ515">
        <v>98117</v>
      </c>
      <c r="AS515" t="s">
        <v>1550</v>
      </c>
      <c r="AT515">
        <v>19451207</v>
      </c>
      <c r="AU515" s="7">
        <v>39506</v>
      </c>
      <c r="BB515" t="s">
        <v>912</v>
      </c>
    </row>
    <row r="516" spans="1:54" hidden="1">
      <c r="A516">
        <v>28034241</v>
      </c>
      <c r="B516" s="2" t="str">
        <f>HYPERLINK("http://www.windermere.com/index.cfm?fuseaction=Listing.ListingDetail&amp;ListingID=19452854","Active")</f>
        <v>Active</v>
      </c>
      <c r="D516" t="s">
        <v>60</v>
      </c>
      <c r="E516" t="s">
        <v>1551</v>
      </c>
      <c r="F516" s="18">
        <v>449000</v>
      </c>
      <c r="G516" t="s">
        <v>159</v>
      </c>
      <c r="H516" s="1">
        <v>1420</v>
      </c>
      <c r="I516">
        <v>3000</v>
      </c>
      <c r="J516">
        <v>2</v>
      </c>
      <c r="K516">
        <v>1</v>
      </c>
      <c r="M516" s="2" t="str">
        <f>HYPERLINK("http://www.windermere.com/index.cfm?fuseaction=Listing.MapPropertyInteractive&amp;ListingID=19452854&amp;resize=true&amp;windowWidth=800&amp;windowHeight=600","Map")</f>
        <v>Map</v>
      </c>
      <c r="O516" s="2" t="str">
        <f>HYPERLINK("http://www.windermere.com/index.cfm?fuseaction=Listing.MultiImageViewer&amp;ListingID=19452854&amp;ln=28034241&amp;pub_mls=1","More")</f>
        <v>More</v>
      </c>
      <c r="AI516" t="s">
        <v>66</v>
      </c>
      <c r="AJ516">
        <v>98103</v>
      </c>
      <c r="AS516" t="s">
        <v>1552</v>
      </c>
      <c r="AT516">
        <v>19452854</v>
      </c>
      <c r="AU516" s="7">
        <v>39506</v>
      </c>
      <c r="BB516" t="s">
        <v>912</v>
      </c>
    </row>
    <row r="517" spans="1:54" hidden="1">
      <c r="A517">
        <v>28035261</v>
      </c>
      <c r="B517" s="4" t="str">
        <f>HYPERLINK("http://www.windermere.com/index.cfm?fuseaction=Listing.ListingDetail&amp;ListingID=19456959","Active")</f>
        <v>Active</v>
      </c>
      <c r="D517" s="19" t="s">
        <v>207</v>
      </c>
      <c r="E517" t="s">
        <v>1553</v>
      </c>
      <c r="F517" s="18">
        <v>468000</v>
      </c>
      <c r="G517" t="s">
        <v>180</v>
      </c>
      <c r="H517" s="1">
        <v>2020</v>
      </c>
      <c r="I517">
        <v>3600</v>
      </c>
      <c r="J517">
        <v>2</v>
      </c>
      <c r="K517">
        <v>1</v>
      </c>
      <c r="M517" s="2" t="str">
        <f>HYPERLINK("http://www.windermere.com/index.cfm?fuseaction=Listing.MapPropertyInteractive&amp;ListingID=19456959&amp;resize=true&amp;windowWidth=800&amp;windowHeight=600","Map")</f>
        <v>Map</v>
      </c>
      <c r="O517" s="2" t="str">
        <f>HYPERLINK("http://www.windermere.com/index.cfm?fuseaction=Listing.MultiImageViewer&amp;ListingID=19456959&amp;ln=28035261&amp;pub_mls=1","More")</f>
        <v>More</v>
      </c>
      <c r="P517" t="s">
        <v>44</v>
      </c>
      <c r="AI517" t="s">
        <v>66</v>
      </c>
      <c r="AJ517">
        <v>98105</v>
      </c>
      <c r="AS517" t="s">
        <v>1554</v>
      </c>
      <c r="AT517">
        <v>19456959</v>
      </c>
      <c r="AU517" s="7">
        <v>39506</v>
      </c>
      <c r="BB517" t="s">
        <v>912</v>
      </c>
    </row>
    <row r="518" spans="1:54" hidden="1">
      <c r="A518">
        <v>28034689</v>
      </c>
      <c r="B518" s="2" t="str">
        <f>HYPERLINK("http://www.windermere.com/index.cfm?fuseaction=Listing.ListingDetail&amp;ListingID=19453226","Active")</f>
        <v>Active</v>
      </c>
      <c r="D518" t="s">
        <v>63</v>
      </c>
      <c r="E518" t="s">
        <v>1555</v>
      </c>
      <c r="F518" s="10">
        <v>479950</v>
      </c>
      <c r="G518" t="s">
        <v>147</v>
      </c>
      <c r="H518" s="1">
        <v>2219</v>
      </c>
      <c r="J518">
        <v>3</v>
      </c>
      <c r="K518">
        <v>2.5</v>
      </c>
      <c r="M518" s="2" t="str">
        <f>HYPERLINK("http://www.windermere.com/index.cfm?fuseaction=Listing.MapPropertyInteractive&amp;ListingID=19453226&amp;resize=true&amp;windowWidth=800&amp;windowHeight=600","Map")</f>
        <v>Map</v>
      </c>
      <c r="O518" s="2" t="str">
        <f>HYPERLINK("http://www.windermere.com/index.cfm?fuseaction=Listing.MultiImageViewer&amp;ListingID=19453226&amp;ln=28034689&amp;pub_mls=1","More")</f>
        <v>More</v>
      </c>
      <c r="P518" t="s">
        <v>44</v>
      </c>
      <c r="AI518" t="s">
        <v>66</v>
      </c>
      <c r="AJ518">
        <v>98107</v>
      </c>
      <c r="AS518" t="s">
        <v>1556</v>
      </c>
      <c r="AT518">
        <v>19453226</v>
      </c>
      <c r="AU518" s="7">
        <v>39506</v>
      </c>
      <c r="BB518" t="s">
        <v>912</v>
      </c>
    </row>
    <row r="519" spans="1:54" hidden="1">
      <c r="A519">
        <v>28034825</v>
      </c>
      <c r="B519" s="2" t="str">
        <f>HYPERLINK("http://www.windermere.com/index.cfm?fuseaction=Listing.ListingDetail&amp;ListingID=19453712","Active")</f>
        <v>Active</v>
      </c>
      <c r="D519" t="s">
        <v>60</v>
      </c>
      <c r="E519" t="s">
        <v>1557</v>
      </c>
      <c r="F519" s="10">
        <v>485000</v>
      </c>
      <c r="G519" t="s">
        <v>139</v>
      </c>
      <c r="I519">
        <v>6000</v>
      </c>
      <c r="J519">
        <v>2</v>
      </c>
      <c r="K519">
        <v>1</v>
      </c>
      <c r="M519" s="2" t="str">
        <f>HYPERLINK("http://www.windermere.com/index.cfm?fuseaction=Listing.MapPropertyInteractive&amp;ListingID=19453712&amp;resize=true&amp;windowWidth=800&amp;windowHeight=600","Map")</f>
        <v>Map</v>
      </c>
      <c r="AI519" t="s">
        <v>66</v>
      </c>
      <c r="AJ519">
        <v>98103</v>
      </c>
      <c r="AS519" t="s">
        <v>1558</v>
      </c>
      <c r="AT519">
        <v>19453712</v>
      </c>
      <c r="AU519" s="7">
        <v>39506</v>
      </c>
      <c r="BB519" t="s">
        <v>912</v>
      </c>
    </row>
    <row r="520" spans="1:54" hidden="1">
      <c r="A520">
        <v>28000815</v>
      </c>
      <c r="B520" s="2" t="str">
        <f>HYPERLINK("http://www.windermere.com/index.cfm?fuseaction=Listing.ListingDetail&amp;ListingID=19147713","Active")</f>
        <v>Active</v>
      </c>
      <c r="D520" t="s">
        <v>226</v>
      </c>
      <c r="E520" t="s">
        <v>1559</v>
      </c>
      <c r="F520" s="10">
        <v>499000</v>
      </c>
      <c r="G520" t="s">
        <v>147</v>
      </c>
      <c r="H520" s="1">
        <v>1803</v>
      </c>
      <c r="J520">
        <v>3</v>
      </c>
      <c r="K520">
        <v>2.5</v>
      </c>
      <c r="M520" s="2" t="str">
        <f>HYPERLINK("http://www.windermere.com/index.cfm?fuseaction=Listing.MapPropertyInteractive&amp;ListingID=19147713&amp;resize=true&amp;windowWidth=800&amp;windowHeight=600","Map")</f>
        <v>Map</v>
      </c>
      <c r="O520" s="2" t="str">
        <f>HYPERLINK("http://www.windermere.com/index.cfm?fuseaction=Listing.MultiImageViewer&amp;ListingID=19147713&amp;ln=28000815&amp;pub_mls=1","More")</f>
        <v>More</v>
      </c>
      <c r="P520" t="s">
        <v>44</v>
      </c>
      <c r="AI520" t="s">
        <v>66</v>
      </c>
      <c r="AJ520">
        <v>98105</v>
      </c>
      <c r="AS520" t="s">
        <v>1560</v>
      </c>
      <c r="AT520">
        <v>19147713</v>
      </c>
      <c r="AU520" s="7">
        <v>39506</v>
      </c>
      <c r="BB520" t="s">
        <v>912</v>
      </c>
    </row>
    <row r="521" spans="1:54" hidden="1">
      <c r="A521">
        <v>28012499</v>
      </c>
      <c r="B521" s="2" t="str">
        <f>HYPERLINK("http://www.windermere.com/index.cfm?fuseaction=Listing.ListingDetail&amp;ListingID=19254876","Active")</f>
        <v>Active</v>
      </c>
      <c r="D521" t="s">
        <v>226</v>
      </c>
      <c r="E521" t="s">
        <v>1561</v>
      </c>
      <c r="F521" s="10">
        <v>499000</v>
      </c>
      <c r="G521" t="s">
        <v>147</v>
      </c>
      <c r="H521" s="1">
        <v>1803</v>
      </c>
      <c r="J521">
        <v>3</v>
      </c>
      <c r="K521">
        <v>2.5</v>
      </c>
      <c r="M521" s="2" t="str">
        <f>HYPERLINK("http://www.windermere.com/index.cfm?fuseaction=Listing.MapPropertyInteractive&amp;ListingID=19254876&amp;resize=true&amp;windowWidth=800&amp;windowHeight=600","Map")</f>
        <v>Map</v>
      </c>
      <c r="O521" s="2" t="str">
        <f>HYPERLINK("http://www.windermere.com/index.cfm?fuseaction=Listing.MultiImageViewer&amp;ListingID=19254876&amp;ln=28012499&amp;pub_mls=1","More")</f>
        <v>More</v>
      </c>
      <c r="P521" t="s">
        <v>44</v>
      </c>
      <c r="AI521" t="s">
        <v>66</v>
      </c>
      <c r="AJ521">
        <v>98105</v>
      </c>
      <c r="AS521" t="s">
        <v>1562</v>
      </c>
      <c r="AT521">
        <v>19254876</v>
      </c>
      <c r="AU521" s="7">
        <v>39506</v>
      </c>
      <c r="BB521" t="s">
        <v>912</v>
      </c>
    </row>
    <row r="522" spans="1:54" hidden="1">
      <c r="A522">
        <v>28035809</v>
      </c>
      <c r="B522" s="2" t="str">
        <f>HYPERLINK("http://www.windermere.com/index.cfm?fuseaction=Listing.ListingDetail&amp;ListingID=19461946","Active")</f>
        <v>Active</v>
      </c>
      <c r="D522" s="3" t="s">
        <v>202</v>
      </c>
      <c r="E522" t="s">
        <v>1566</v>
      </c>
      <c r="F522" s="10">
        <v>325000</v>
      </c>
      <c r="G522" t="s">
        <v>164</v>
      </c>
      <c r="H522" s="1">
        <v>1820</v>
      </c>
      <c r="I522">
        <v>13750</v>
      </c>
      <c r="J522">
        <v>2</v>
      </c>
      <c r="K522">
        <v>1</v>
      </c>
      <c r="M522" s="2" t="str">
        <f>HYPERLINK("http://www.windermere.com/index.cfm?fuseaction=Listing.MapPropertyInteractive&amp;ListingID=19461946&amp;resize=true&amp;windowWidth=800&amp;windowHeight=600","Map")</f>
        <v>Map</v>
      </c>
      <c r="O522" s="2" t="str">
        <f>HYPERLINK("http://www.windermere.com/index.cfm?fuseaction=viewGallery.Home&amp;customTourID=209409&amp;wvt=0","More")</f>
        <v>More</v>
      </c>
      <c r="AI522" t="s">
        <v>66</v>
      </c>
      <c r="AJ522">
        <v>98125</v>
      </c>
      <c r="AS522" t="s">
        <v>1567</v>
      </c>
      <c r="AT522">
        <v>19461946</v>
      </c>
      <c r="AU522" s="7">
        <v>39507</v>
      </c>
      <c r="BB522" t="s">
        <v>912</v>
      </c>
    </row>
    <row r="523" spans="1:54" hidden="1">
      <c r="A523">
        <v>28033065</v>
      </c>
      <c r="B523" s="2" t="str">
        <f>HYPERLINK("http://www.windermere.com/index.cfm?fuseaction=Listing.ListingDetail&amp;ListingID=19461955","Active")</f>
        <v>Active</v>
      </c>
      <c r="D523" t="s">
        <v>968</v>
      </c>
      <c r="E523" t="s">
        <v>1568</v>
      </c>
      <c r="F523" s="10">
        <v>345000</v>
      </c>
      <c r="G523" t="s">
        <v>599</v>
      </c>
      <c r="H523" s="1">
        <v>1390</v>
      </c>
      <c r="I523">
        <v>1402</v>
      </c>
      <c r="J523">
        <v>3</v>
      </c>
      <c r="K523">
        <v>2.25</v>
      </c>
      <c r="M523" s="2" t="str">
        <f>HYPERLINK("http://www.windermere.com/index.cfm?fuseaction=Listing.MapPropertyInteractive&amp;ListingID=19461955&amp;resize=true&amp;windowWidth=800&amp;windowHeight=600","Map")</f>
        <v>Map</v>
      </c>
      <c r="O523" s="2" t="str">
        <f>HYPERLINK("http://www.windermere.com/index.cfm?fuseaction=viewGallery.Home&amp;customTourID=208989&amp;wvt=0","More")</f>
        <v>More</v>
      </c>
      <c r="P523" t="s">
        <v>44</v>
      </c>
      <c r="AI523" t="s">
        <v>66</v>
      </c>
      <c r="AJ523">
        <v>98125</v>
      </c>
      <c r="AS523" t="s">
        <v>1569</v>
      </c>
      <c r="AT523">
        <v>19461955</v>
      </c>
      <c r="AU523" s="7">
        <v>39507</v>
      </c>
      <c r="BB523" t="s">
        <v>912</v>
      </c>
    </row>
    <row r="524" spans="1:54" hidden="1">
      <c r="A524">
        <v>28035871</v>
      </c>
      <c r="B524" s="2" t="str">
        <f>HYPERLINK("http://www.windermere.com/index.cfm?fuseaction=Listing.ListingDetail&amp;ListingID=19461894","Active")</f>
        <v>Active</v>
      </c>
      <c r="D524" t="s">
        <v>184</v>
      </c>
      <c r="E524" t="s">
        <v>1570</v>
      </c>
      <c r="F524" s="10">
        <v>349888</v>
      </c>
      <c r="G524" t="s">
        <v>247</v>
      </c>
      <c r="H524" s="1">
        <v>1400</v>
      </c>
      <c r="J524">
        <v>3</v>
      </c>
      <c r="K524">
        <v>2</v>
      </c>
      <c r="M524" s="2" t="str">
        <f>HYPERLINK("http://www.windermere.com/index.cfm?fuseaction=Listing.MapPropertyInteractive&amp;ListingID=19461894&amp;resize=true&amp;windowWidth=800&amp;windowHeight=600","Map")</f>
        <v>Map</v>
      </c>
      <c r="O524" s="2" t="str">
        <f>HYPERLINK("http://www.windermere.com/index.cfm?fuseaction=Listing.MultiImageViewer&amp;ListingID=19461894&amp;ln=28035871&amp;pub_mls=1","More")</f>
        <v>More</v>
      </c>
      <c r="P524" t="s">
        <v>44</v>
      </c>
      <c r="AI524" t="s">
        <v>66</v>
      </c>
      <c r="AJ524">
        <v>98125</v>
      </c>
      <c r="AS524" t="s">
        <v>1571</v>
      </c>
      <c r="AT524">
        <v>19461894</v>
      </c>
      <c r="AU524" s="7">
        <v>39507</v>
      </c>
      <c r="BB524" t="s">
        <v>912</v>
      </c>
    </row>
    <row r="525" spans="1:54" hidden="1">
      <c r="A525">
        <v>28035328</v>
      </c>
      <c r="B525" s="2" t="str">
        <f>HYPERLINK("http://www.windermere.com/index.cfm?fuseaction=Listing.ListingDetail&amp;ListingID=19457484","Active")</f>
        <v>Active</v>
      </c>
      <c r="D525" t="s">
        <v>70</v>
      </c>
      <c r="E525" t="s">
        <v>1572</v>
      </c>
      <c r="F525" s="10">
        <v>369000</v>
      </c>
      <c r="G525" t="s">
        <v>674</v>
      </c>
      <c r="H525" s="1">
        <v>1620</v>
      </c>
      <c r="I525">
        <v>1543</v>
      </c>
      <c r="J525">
        <v>3</v>
      </c>
      <c r="K525">
        <v>2.25</v>
      </c>
      <c r="M525" s="2" t="str">
        <f>HYPERLINK("http://www.windermere.com/index.cfm?fuseaction=Listing.MapPropertyInteractive&amp;ListingID=19457484&amp;resize=true&amp;windowWidth=800&amp;windowHeight=600","Map")</f>
        <v>Map</v>
      </c>
      <c r="O525" s="2" t="str">
        <f>HYPERLINK("http://www.windermere.com/index.cfm?fuseaction=Listing.MultiImageViewer&amp;ListingID=19457484&amp;ln=28035328&amp;pub_mls=1","More")</f>
        <v>More</v>
      </c>
      <c r="P525" t="s">
        <v>44</v>
      </c>
      <c r="AI525" t="s">
        <v>66</v>
      </c>
      <c r="AJ525">
        <v>98122</v>
      </c>
      <c r="AS525" t="s">
        <v>1573</v>
      </c>
      <c r="AT525">
        <v>19457484</v>
      </c>
      <c r="AU525" s="7">
        <v>39507</v>
      </c>
      <c r="BB525" t="s">
        <v>912</v>
      </c>
    </row>
    <row r="526" spans="1:54" hidden="1">
      <c r="A526">
        <v>28036011</v>
      </c>
      <c r="B526" s="2" t="str">
        <f>HYPERLINK("http://www.windermere.com/index.cfm?fuseaction=Listing.ListingDetail&amp;ListingID=19463328","Active")</f>
        <v>Active</v>
      </c>
      <c r="D526" t="s">
        <v>63</v>
      </c>
      <c r="E526" s="3" t="s">
        <v>1641</v>
      </c>
      <c r="F526" s="10">
        <v>399000</v>
      </c>
      <c r="G526" t="s">
        <v>247</v>
      </c>
      <c r="H526" s="1">
        <v>1250</v>
      </c>
      <c r="J526">
        <v>3</v>
      </c>
      <c r="K526">
        <v>2.5</v>
      </c>
      <c r="M526" s="2" t="str">
        <f>HYPERLINK("http://www.windermere.com/index.cfm?fuseaction=Listing.MapPropertyInteractive&amp;ListingID=19463328&amp;resize=true&amp;windowWidth=800&amp;windowHeight=600","Map")</f>
        <v>Map</v>
      </c>
      <c r="O526" s="2" t="str">
        <f>HYPERLINK("http://www.windermere.com/index.cfm?fuseaction=Listing.MultiImageViewer&amp;ListingID=19463328&amp;ln=28036011&amp;pub_mls=1","More")</f>
        <v>More</v>
      </c>
      <c r="AI526" t="s">
        <v>66</v>
      </c>
      <c r="AJ526">
        <v>98107</v>
      </c>
      <c r="AS526" t="s">
        <v>1575</v>
      </c>
      <c r="AT526">
        <v>19463328</v>
      </c>
      <c r="AU526" s="7">
        <v>39507</v>
      </c>
      <c r="BB526" t="s">
        <v>912</v>
      </c>
    </row>
    <row r="527" spans="1:54" hidden="1">
      <c r="A527">
        <v>28034396</v>
      </c>
      <c r="B527" s="4" t="str">
        <f>HYPERLINK("http://www.windermere.com/index.cfm?fuseaction=Listing.ListingDetail&amp;ListingID=19461116","Subject To Inspection")</f>
        <v>Subject To Inspection</v>
      </c>
      <c r="D527" t="s">
        <v>188</v>
      </c>
      <c r="E527" t="s">
        <v>1576</v>
      </c>
      <c r="F527" s="10">
        <v>399950</v>
      </c>
      <c r="G527" t="s">
        <v>124</v>
      </c>
      <c r="H527" s="1">
        <v>1260</v>
      </c>
      <c r="I527">
        <v>7733</v>
      </c>
      <c r="J527">
        <v>3</v>
      </c>
      <c r="K527">
        <v>1</v>
      </c>
      <c r="M527" s="2" t="str">
        <f>HYPERLINK("http://www.windermere.com/index.cfm?fuseaction=Listing.MapPropertyInteractive&amp;ListingID=19461116&amp;resize=true&amp;windowWidth=800&amp;windowHeight=600","Map")</f>
        <v>Map</v>
      </c>
      <c r="O527" s="2" t="str">
        <f>HYPERLINK("http://www.windermere.com/index.cfm?fuseaction=Listing.MultiImageViewer&amp;ListingID=19461116&amp;ln=28034396&amp;pub_mls=1","More")</f>
        <v>More</v>
      </c>
      <c r="AI527" t="s">
        <v>66</v>
      </c>
      <c r="AJ527">
        <v>98125</v>
      </c>
      <c r="AS527" t="s">
        <v>1577</v>
      </c>
      <c r="AT527">
        <v>19461116</v>
      </c>
      <c r="AU527" s="7">
        <v>39507</v>
      </c>
      <c r="BB527" t="s">
        <v>912</v>
      </c>
    </row>
    <row r="528" spans="1:54" hidden="1">
      <c r="A528">
        <v>28032706</v>
      </c>
      <c r="B528" s="4" t="str">
        <f>HYPERLINK("http://www.windermere.com/index.cfm?fuseaction=Listing.ListingDetail&amp;ListingID=19460715","Subject To Inspection")</f>
        <v>Subject To Inspection</v>
      </c>
      <c r="D528" t="s">
        <v>63</v>
      </c>
      <c r="E528" t="s">
        <v>178</v>
      </c>
      <c r="F528" s="10">
        <v>420000</v>
      </c>
      <c r="G528" t="s">
        <v>179</v>
      </c>
      <c r="H528" s="1">
        <v>1650</v>
      </c>
      <c r="I528">
        <v>5117</v>
      </c>
      <c r="J528">
        <v>3</v>
      </c>
      <c r="K528">
        <v>1</v>
      </c>
      <c r="M528" s="2" t="str">
        <f>HYPERLINK("http://www.windermere.com/index.cfm?fuseaction=Listing.MapPropertyInteractive&amp;ListingID=19460715&amp;resize=true&amp;windowWidth=800&amp;windowHeight=600","Map")</f>
        <v>Map</v>
      </c>
      <c r="O528" s="2" t="str">
        <f>HYPERLINK("http://www.windermere.com/index.cfm?fuseaction=viewGallery.Home&amp;customTourID=208636&amp;wvt=0","More")</f>
        <v>More</v>
      </c>
      <c r="P528" t="s">
        <v>44</v>
      </c>
      <c r="AI528" t="s">
        <v>66</v>
      </c>
      <c r="AJ528">
        <v>98107</v>
      </c>
      <c r="AS528" t="s">
        <v>1578</v>
      </c>
      <c r="AT528">
        <v>19460715</v>
      </c>
      <c r="AU528" s="7">
        <v>39507</v>
      </c>
      <c r="BB528" t="s">
        <v>912</v>
      </c>
    </row>
    <row r="529" spans="1:58" hidden="1">
      <c r="A529">
        <v>28036056</v>
      </c>
      <c r="B529" s="2" t="str">
        <f>HYPERLINK("http://www.windermere.com/index.cfm?fuseaction=Listing.ListingDetail&amp;ListingID=19463575","Active")</f>
        <v>Active</v>
      </c>
      <c r="D529" t="s">
        <v>78</v>
      </c>
      <c r="E529" t="s">
        <v>1579</v>
      </c>
      <c r="F529" s="10">
        <v>436900</v>
      </c>
      <c r="G529" t="s">
        <v>129</v>
      </c>
      <c r="H529" s="1">
        <v>2040</v>
      </c>
      <c r="I529">
        <v>5100</v>
      </c>
      <c r="J529">
        <v>2</v>
      </c>
      <c r="K529">
        <v>1.25</v>
      </c>
      <c r="M529" s="2" t="str">
        <f>HYPERLINK("http://www.windermere.com/index.cfm?fuseaction=Listing.MapPropertyInteractive&amp;ListingID=19463575&amp;resize=true&amp;windowWidth=800&amp;windowHeight=600","Map")</f>
        <v>Map</v>
      </c>
      <c r="O529" s="2" t="str">
        <f>HYPERLINK("http://www.windermere.com/index.cfm?fuseaction=Listing.MultiImageViewer&amp;ListingID=19463575&amp;ln=28036056&amp;pub_mls=1","More")</f>
        <v>More</v>
      </c>
      <c r="AI529" t="s">
        <v>66</v>
      </c>
      <c r="AJ529">
        <v>98117</v>
      </c>
      <c r="AS529" t="s">
        <v>1580</v>
      </c>
      <c r="AT529">
        <v>19463575</v>
      </c>
      <c r="AU529" s="7">
        <v>39507</v>
      </c>
      <c r="BB529" t="s">
        <v>912</v>
      </c>
    </row>
    <row r="530" spans="1:58" hidden="1">
      <c r="A530">
        <v>28032650</v>
      </c>
      <c r="B530" s="2" t="str">
        <f>HYPERLINK("http://www.windermere.com/index.cfm?fuseaction=Listing.ListingDetail&amp;ListingID=19459409","Active")</f>
        <v>Active</v>
      </c>
      <c r="D530" s="3" t="s">
        <v>1959</v>
      </c>
      <c r="E530" t="s">
        <v>1581</v>
      </c>
      <c r="F530" s="18">
        <v>419500</v>
      </c>
      <c r="G530" t="s">
        <v>137</v>
      </c>
      <c r="H530" s="1">
        <v>1460</v>
      </c>
      <c r="I530">
        <v>9900</v>
      </c>
      <c r="J530">
        <v>3</v>
      </c>
      <c r="K530">
        <v>1</v>
      </c>
      <c r="M530" s="2" t="str">
        <f>HYPERLINK("http://www.windermere.com/index.cfm?fuseaction=Listing.MapPropertyInteractive&amp;ListingID=19459409&amp;resize=true&amp;windowWidth=800&amp;windowHeight=600","Map")</f>
        <v>Map</v>
      </c>
      <c r="O530" s="2" t="str">
        <f>HYPERLINK("http://www.windermere.com/index.cfm?fuseaction=viewGallery.Home&amp;customTourID=209150&amp;wvt=0","More")</f>
        <v>More</v>
      </c>
      <c r="P530" t="s">
        <v>44</v>
      </c>
      <c r="AI530" t="s">
        <v>66</v>
      </c>
      <c r="AJ530">
        <v>98125</v>
      </c>
      <c r="AS530" t="s">
        <v>1582</v>
      </c>
      <c r="AT530">
        <v>19459409</v>
      </c>
      <c r="AU530" s="7">
        <v>39507</v>
      </c>
      <c r="BB530" t="s">
        <v>912</v>
      </c>
    </row>
    <row r="531" spans="1:58" hidden="1">
      <c r="A531">
        <v>28035641</v>
      </c>
      <c r="B531" s="2" t="str">
        <f>HYPERLINK("http://www.windermere.com/index.cfm?fuseaction=Listing.ListingDetail&amp;ListingID=19461123","Active")</f>
        <v>Active</v>
      </c>
      <c r="D531" t="s">
        <v>100</v>
      </c>
      <c r="E531" t="s">
        <v>1583</v>
      </c>
      <c r="F531" s="10">
        <v>449950</v>
      </c>
      <c r="G531" t="s">
        <v>147</v>
      </c>
      <c r="H531" s="1">
        <v>1350</v>
      </c>
      <c r="J531">
        <v>3</v>
      </c>
      <c r="K531">
        <v>2.25</v>
      </c>
      <c r="M531" s="2" t="str">
        <f>HYPERLINK("http://www.windermere.com/index.cfm?fuseaction=Listing.MapPropertyInteractive&amp;ListingID=19461123&amp;resize=true&amp;windowWidth=800&amp;windowHeight=600","Map")</f>
        <v>Map</v>
      </c>
      <c r="O531" s="2" t="str">
        <f>HYPERLINK("http://www.windermere.com/index.cfm?fuseaction=Listing.MultiImageViewer&amp;ListingID=19461123&amp;ln=28035641&amp;pub_mls=1","More")</f>
        <v>More</v>
      </c>
      <c r="P531" t="s">
        <v>44</v>
      </c>
      <c r="AI531" t="s">
        <v>66</v>
      </c>
      <c r="AJ531">
        <v>98103</v>
      </c>
      <c r="AS531" t="s">
        <v>1584</v>
      </c>
      <c r="AT531">
        <v>19461123</v>
      </c>
      <c r="AU531" s="7">
        <v>39507</v>
      </c>
      <c r="BB531" t="s">
        <v>912</v>
      </c>
    </row>
    <row r="532" spans="1:58" hidden="1">
      <c r="A532">
        <v>28035778</v>
      </c>
      <c r="B532" s="2" t="str">
        <f>HYPERLINK("http://www.windermere.com/index.cfm?fuseaction=Listing.ListingDetail&amp;ListingID=19461700","Active")</f>
        <v>Active</v>
      </c>
      <c r="D532" t="s">
        <v>109</v>
      </c>
      <c r="E532" t="s">
        <v>1585</v>
      </c>
      <c r="F532" s="10">
        <v>449950</v>
      </c>
      <c r="G532" t="s">
        <v>147</v>
      </c>
      <c r="H532" s="1">
        <v>1357</v>
      </c>
      <c r="J532">
        <v>3</v>
      </c>
      <c r="K532">
        <v>2.25</v>
      </c>
      <c r="M532" s="2" t="str">
        <f>HYPERLINK("http://www.windermere.com/index.cfm?fuseaction=Listing.MapPropertyInteractive&amp;ListingID=19461700&amp;resize=true&amp;windowWidth=800&amp;windowHeight=600","Map")</f>
        <v>Map</v>
      </c>
      <c r="O532" s="2" t="str">
        <f>HYPERLINK("http://www.windermere.com/index.cfm?fuseaction=Listing.MultiImageViewer&amp;ListingID=19461700&amp;ln=28035778&amp;pub_mls=1","More")</f>
        <v>More</v>
      </c>
      <c r="AI532" t="s">
        <v>66</v>
      </c>
      <c r="AJ532">
        <v>98103</v>
      </c>
      <c r="AS532" t="s">
        <v>1586</v>
      </c>
      <c r="AT532">
        <v>19461700</v>
      </c>
      <c r="AU532" s="7">
        <v>39507</v>
      </c>
      <c r="BB532" t="s">
        <v>912</v>
      </c>
    </row>
    <row r="533" spans="1:58" hidden="1">
      <c r="A533">
        <v>27200079</v>
      </c>
      <c r="B533" s="2" t="str">
        <f>HYPERLINK("http://www.windermere.com/index.cfm?fuseaction=Listing.ListingDetail&amp;ListingID=18942170","Active")</f>
        <v>Active</v>
      </c>
      <c r="D533" t="s">
        <v>100</v>
      </c>
      <c r="E533" t="s">
        <v>1587</v>
      </c>
      <c r="F533" s="10">
        <v>459950</v>
      </c>
      <c r="G533" t="s">
        <v>147</v>
      </c>
      <c r="H533" s="1">
        <v>1434</v>
      </c>
      <c r="J533">
        <v>3</v>
      </c>
      <c r="K533">
        <v>2.25</v>
      </c>
      <c r="M533" s="2" t="str">
        <f>HYPERLINK("http://www.windermere.com/index.cfm?fuseaction=Listing.MapPropertyInteractive&amp;ListingID=18942170&amp;resize=true&amp;windowWidth=800&amp;windowHeight=600","Map")</f>
        <v>Map</v>
      </c>
      <c r="O533" s="2" t="str">
        <f>HYPERLINK("http://www.windermere.com/index.cfm?fuseaction=Listing.MultiImageViewer&amp;ListingID=18942170&amp;ln=27200079&amp;pub_mls=1","More")</f>
        <v>More</v>
      </c>
      <c r="P533" t="s">
        <v>44</v>
      </c>
      <c r="AI533" t="s">
        <v>66</v>
      </c>
      <c r="AJ533">
        <v>98103</v>
      </c>
      <c r="AS533" t="s">
        <v>1588</v>
      </c>
      <c r="AT533">
        <v>18942170</v>
      </c>
      <c r="AU533" s="7">
        <v>39507</v>
      </c>
      <c r="BB533" t="s">
        <v>912</v>
      </c>
    </row>
    <row r="534" spans="1:58" hidden="1">
      <c r="A534">
        <v>27194889</v>
      </c>
      <c r="B534" s="4" t="str">
        <f>HYPERLINK("http://www.windermere.com/index.cfm?fuseaction=Listing.ListingDetail&amp;ListingID=18892760","Subject To Inspection")</f>
        <v>Subject To Inspection</v>
      </c>
      <c r="D534" t="s">
        <v>100</v>
      </c>
      <c r="E534" t="s">
        <v>1589</v>
      </c>
      <c r="F534" s="10">
        <v>459950</v>
      </c>
      <c r="G534" t="s">
        <v>147</v>
      </c>
      <c r="H534" s="1">
        <v>1434</v>
      </c>
      <c r="J534">
        <v>3</v>
      </c>
      <c r="K534">
        <v>2.25</v>
      </c>
      <c r="M534" s="2" t="str">
        <f>HYPERLINK("http://www.windermere.com/index.cfm?fuseaction=Listing.MapPropertyInteractive&amp;ListingID=18892760&amp;resize=true&amp;windowWidth=800&amp;windowHeight=600","Map")</f>
        <v>Map</v>
      </c>
      <c r="O534" s="2" t="str">
        <f>HYPERLINK("http://www.windermere.com/index.cfm?fuseaction=Listing.MultiImageViewer&amp;ListingID=18892760&amp;ln=27194889&amp;pub_mls=1","More")</f>
        <v>More</v>
      </c>
      <c r="P534" t="s">
        <v>44</v>
      </c>
      <c r="AI534" t="s">
        <v>66</v>
      </c>
      <c r="AJ534">
        <v>98103</v>
      </c>
      <c r="AS534" t="s">
        <v>1590</v>
      </c>
      <c r="AT534">
        <v>18892760</v>
      </c>
      <c r="AU534" s="7">
        <v>39507</v>
      </c>
      <c r="BB534" t="s">
        <v>912</v>
      </c>
    </row>
    <row r="535" spans="1:58" hidden="1">
      <c r="A535">
        <v>28035672</v>
      </c>
      <c r="B535" s="4" t="str">
        <f>HYPERLINK("http://www.windermere.com/index.cfm?fuseaction=Listing.ListingDetail&amp;ListingID=19463894","Subject To Inspection")</f>
        <v>Subject To Inspection</v>
      </c>
      <c r="D535" t="s">
        <v>218</v>
      </c>
      <c r="E535" t="s">
        <v>1591</v>
      </c>
      <c r="F535" s="10">
        <v>462000</v>
      </c>
      <c r="G535" t="s">
        <v>878</v>
      </c>
      <c r="H535" s="1">
        <v>1700</v>
      </c>
      <c r="I535">
        <v>4731</v>
      </c>
      <c r="J535">
        <v>2</v>
      </c>
      <c r="K535">
        <v>1</v>
      </c>
      <c r="M535" s="2" t="str">
        <f>HYPERLINK("http://www.windermere.com/index.cfm?fuseaction=Listing.MapPropertyInteractive&amp;ListingID=19463894&amp;resize=true&amp;windowWidth=800&amp;windowHeight=600","Map")</f>
        <v>Map</v>
      </c>
      <c r="O535" s="2" t="str">
        <f>HYPERLINK("http://www.windermere.com/index.cfm?fuseaction=Listing.MultiImageViewer&amp;ListingID=19463894&amp;ln=28035672&amp;pub_mls=1","More")</f>
        <v>More</v>
      </c>
      <c r="P535" t="s">
        <v>44</v>
      </c>
      <c r="AI535" t="s">
        <v>66</v>
      </c>
      <c r="AJ535">
        <v>98105</v>
      </c>
      <c r="AS535" t="s">
        <v>1592</v>
      </c>
      <c r="AT535">
        <v>19463894</v>
      </c>
      <c r="AU535" s="7">
        <v>39507</v>
      </c>
      <c r="BB535" t="s">
        <v>912</v>
      </c>
    </row>
    <row r="536" spans="1:58" hidden="1">
      <c r="A536">
        <v>28035582</v>
      </c>
      <c r="B536" s="4" t="str">
        <f>HYPERLINK("http://www.windermere.com/index.cfm?fuseaction=Listing.ListingDetail&amp;ListingID=19460759","Subject To Inspection")</f>
        <v>Subject To Inspection</v>
      </c>
      <c r="D536" t="s">
        <v>109</v>
      </c>
      <c r="E536" t="s">
        <v>1593</v>
      </c>
      <c r="F536" s="10">
        <v>464950</v>
      </c>
      <c r="G536" t="s">
        <v>247</v>
      </c>
      <c r="J536">
        <v>3</v>
      </c>
      <c r="K536">
        <v>2.5</v>
      </c>
      <c r="M536" s="2" t="str">
        <f>HYPERLINK("http://www.windermere.com/index.cfm?fuseaction=Listing.MapPropertyInteractive&amp;ListingID=19460759&amp;resize=true&amp;windowWidth=800&amp;windowHeight=600","Map")</f>
        <v>Map</v>
      </c>
      <c r="O536" s="2" t="str">
        <f>HYPERLINK("http://www.windermere.com/index.cfm?fuseaction=Listing.MultiImageViewer&amp;ListingID=19460759&amp;ln=28035582&amp;pub_mls=1","More")</f>
        <v>More</v>
      </c>
      <c r="P536" t="s">
        <v>44</v>
      </c>
      <c r="AI536" t="s">
        <v>66</v>
      </c>
      <c r="AJ536">
        <v>98103</v>
      </c>
      <c r="AS536" t="s">
        <v>1594</v>
      </c>
      <c r="AT536">
        <v>19460759</v>
      </c>
      <c r="AU536" s="7">
        <v>39507</v>
      </c>
      <c r="BB536" t="s">
        <v>912</v>
      </c>
    </row>
    <row r="537" spans="1:58">
      <c r="A537">
        <v>28035428</v>
      </c>
      <c r="B537" s="4" t="str">
        <f>HYPERLINK("http://www.windermere.com/index.cfm?fuseaction=Listing.ListingDetail&amp;ListingID=19461135","Subject To Inspection")</f>
        <v>Subject To Inspection</v>
      </c>
      <c r="D537" t="s">
        <v>63</v>
      </c>
      <c r="E537" t="s">
        <v>1595</v>
      </c>
      <c r="F537" s="10">
        <v>469922</v>
      </c>
      <c r="G537" t="s">
        <v>149</v>
      </c>
      <c r="H537" s="1">
        <v>1840</v>
      </c>
      <c r="I537">
        <v>4000</v>
      </c>
      <c r="J537">
        <v>3</v>
      </c>
      <c r="K537">
        <v>1</v>
      </c>
      <c r="M537" s="2" t="str">
        <f>HYPERLINK("http://www.windermere.com/index.cfm?fuseaction=Listing.MapPropertyInteractive&amp;ListingID=19461135&amp;resize=true&amp;windowWidth=800&amp;windowHeight=600","Map")</f>
        <v>Map</v>
      </c>
      <c r="O537" s="2" t="str">
        <f>HYPERLINK("http://www.windermere.com/index.cfm?fuseaction=viewGallery.Home&amp;customTourID=208991&amp;wvt=0","More")</f>
        <v>More</v>
      </c>
      <c r="AI537" t="s">
        <v>66</v>
      </c>
      <c r="AJ537">
        <v>98117</v>
      </c>
      <c r="AS537" t="s">
        <v>1596</v>
      </c>
      <c r="AT537">
        <v>19461135</v>
      </c>
      <c r="AU537" s="7">
        <v>39507</v>
      </c>
      <c r="BB537" t="s">
        <v>912</v>
      </c>
      <c r="BD537" t="s">
        <v>1622</v>
      </c>
      <c r="BE537" t="s">
        <v>1623</v>
      </c>
      <c r="BF537" s="7">
        <v>39508</v>
      </c>
    </row>
    <row r="538" spans="1:58" hidden="1">
      <c r="A538">
        <v>28035422</v>
      </c>
      <c r="B538" s="2" t="str">
        <f>HYPERLINK("http://www.windermere.com/index.cfm?fuseaction=Listing.ListingDetail&amp;ListingID=19460087","Active")</f>
        <v>Active</v>
      </c>
      <c r="D538" t="s">
        <v>100</v>
      </c>
      <c r="E538" t="s">
        <v>1597</v>
      </c>
      <c r="F538" s="10">
        <v>469950</v>
      </c>
      <c r="G538" t="s">
        <v>147</v>
      </c>
      <c r="H538" s="1">
        <v>1586</v>
      </c>
      <c r="J538">
        <v>3</v>
      </c>
      <c r="K538">
        <v>2.25</v>
      </c>
      <c r="M538" s="2" t="str">
        <f>HYPERLINK("http://www.windermere.com/index.cfm?fuseaction=Listing.MapPropertyInteractive&amp;ListingID=19460087&amp;resize=true&amp;windowWidth=800&amp;windowHeight=600","Map")</f>
        <v>Map</v>
      </c>
      <c r="O538" s="2" t="str">
        <f>HYPERLINK("http://www.windermere.com/index.cfm?fuseaction=Listing.MultiImageViewer&amp;ListingID=19460087&amp;ln=28035422&amp;pub_mls=1","More")</f>
        <v>More</v>
      </c>
      <c r="P538" t="s">
        <v>44</v>
      </c>
      <c r="AI538" t="s">
        <v>66</v>
      </c>
      <c r="AJ538">
        <v>98103</v>
      </c>
      <c r="AS538" t="s">
        <v>1598</v>
      </c>
      <c r="AT538">
        <v>19460087</v>
      </c>
      <c r="AU538" s="7">
        <v>39507</v>
      </c>
      <c r="BB538" t="s">
        <v>912</v>
      </c>
    </row>
    <row r="539" spans="1:58" hidden="1">
      <c r="A539">
        <v>28035828</v>
      </c>
      <c r="B539" s="2" t="str">
        <f>HYPERLINK("http://www.windermere.com/index.cfm?fuseaction=Listing.ListingDetail&amp;ListingID=19461867","Active")</f>
        <v>Active</v>
      </c>
      <c r="D539" t="s">
        <v>100</v>
      </c>
      <c r="E539" t="s">
        <v>1599</v>
      </c>
      <c r="F539" s="10">
        <v>474900</v>
      </c>
      <c r="G539" t="s">
        <v>424</v>
      </c>
      <c r="H539" s="1">
        <v>1226</v>
      </c>
      <c r="J539">
        <v>2</v>
      </c>
      <c r="K539">
        <v>3</v>
      </c>
      <c r="M539" s="2" t="str">
        <f>HYPERLINK("http://www.windermere.com/index.cfm?fuseaction=Listing.MapPropertyInteractive&amp;ListingID=19461867&amp;resize=true&amp;windowWidth=800&amp;windowHeight=600","Map")</f>
        <v>Map</v>
      </c>
      <c r="O539" s="2" t="str">
        <f>HYPERLINK("http://www.windermere.com/index.cfm?fuseaction=Listing.MultiImageViewer&amp;ListingID=19461867&amp;ln=28035828&amp;pub_mls=1","More")</f>
        <v>More</v>
      </c>
      <c r="P539" t="s">
        <v>44</v>
      </c>
      <c r="AI539" t="s">
        <v>66</v>
      </c>
      <c r="AJ539">
        <v>98103</v>
      </c>
      <c r="AS539" t="s">
        <v>1600</v>
      </c>
      <c r="AT539">
        <v>19461867</v>
      </c>
      <c r="AU539" s="7">
        <v>39507</v>
      </c>
      <c r="BB539" t="s">
        <v>912</v>
      </c>
    </row>
    <row r="540" spans="1:58" hidden="1">
      <c r="A540">
        <v>28036132</v>
      </c>
      <c r="B540" s="2" t="str">
        <f>HYPERLINK("http://www.windermere.com/index.cfm?fuseaction=Listing.ListingDetail&amp;ListingID=19463710","Active")</f>
        <v>Active</v>
      </c>
      <c r="D540" t="s">
        <v>109</v>
      </c>
      <c r="E540" t="s">
        <v>1601</v>
      </c>
      <c r="F540" s="10">
        <v>478950</v>
      </c>
      <c r="G540" t="s">
        <v>247</v>
      </c>
      <c r="H540" s="1">
        <v>1439</v>
      </c>
      <c r="J540">
        <v>3</v>
      </c>
      <c r="K540">
        <v>2.25</v>
      </c>
      <c r="M540" s="2" t="str">
        <f>HYPERLINK("http://www.windermere.com/index.cfm?fuseaction=Listing.MapPropertyInteractive&amp;ListingID=19463710&amp;resize=true&amp;windowWidth=800&amp;windowHeight=600","Map")</f>
        <v>Map</v>
      </c>
      <c r="O540" s="2" t="str">
        <f>HYPERLINK("http://www.windermere.com/index.cfm?fuseaction=Listing.MultiImageViewer&amp;ListingID=19463710&amp;ln=28036132&amp;pub_mls=1","More")</f>
        <v>More</v>
      </c>
      <c r="P540" t="s">
        <v>44</v>
      </c>
      <c r="AI540" t="s">
        <v>66</v>
      </c>
      <c r="AJ540">
        <v>98103</v>
      </c>
      <c r="AS540" t="s">
        <v>1602</v>
      </c>
      <c r="AT540">
        <v>19463710</v>
      </c>
      <c r="AU540" s="7">
        <v>39507</v>
      </c>
      <c r="BB540" t="s">
        <v>912</v>
      </c>
    </row>
    <row r="541" spans="1:58" hidden="1">
      <c r="A541">
        <v>28035564</v>
      </c>
      <c r="B541" s="4" t="str">
        <f>HYPERLINK("http://www.windermere.com/index.cfm?fuseaction=Listing.ListingDetail&amp;ListingID=19463629","Subject To Inspection")</f>
        <v>Subject To Inspection</v>
      </c>
      <c r="D541" t="s">
        <v>42</v>
      </c>
      <c r="E541" t="s">
        <v>1603</v>
      </c>
      <c r="F541" s="10">
        <v>479950</v>
      </c>
      <c r="G541" t="s">
        <v>674</v>
      </c>
      <c r="H541" s="1">
        <v>1900</v>
      </c>
      <c r="I541">
        <v>5000</v>
      </c>
      <c r="J541">
        <v>3</v>
      </c>
      <c r="K541">
        <v>2.75</v>
      </c>
      <c r="M541" s="2" t="str">
        <f>HYPERLINK("http://www.windermere.com/index.cfm?fuseaction=Listing.MapPropertyInteractive&amp;ListingID=19463629&amp;resize=true&amp;windowWidth=800&amp;windowHeight=600","Map")</f>
        <v>Map</v>
      </c>
      <c r="O541" s="2" t="str">
        <f>HYPERLINK("http://www.windermere.com/index.cfm?fuseaction=Listing.MultiImageViewer&amp;ListingID=19463629&amp;ln=28035564&amp;pub_mls=1","More")</f>
        <v>More</v>
      </c>
      <c r="AI541" t="s">
        <v>66</v>
      </c>
      <c r="AJ541">
        <v>98133</v>
      </c>
      <c r="AS541" t="s">
        <v>1604</v>
      </c>
      <c r="AT541">
        <v>19463629</v>
      </c>
      <c r="AU541" s="7">
        <v>39507</v>
      </c>
      <c r="BB541" t="s">
        <v>912</v>
      </c>
    </row>
    <row r="542" spans="1:58" hidden="1">
      <c r="A542">
        <v>28011836</v>
      </c>
      <c r="B542" s="2" t="str">
        <f>HYPERLINK("http://www.windermere.com/index.cfm?fuseaction=Listing.ListingDetail&amp;ListingID=19247744","Active")</f>
        <v>Active</v>
      </c>
      <c r="D542" t="s">
        <v>100</v>
      </c>
      <c r="E542" t="s">
        <v>1605</v>
      </c>
      <c r="F542" s="10">
        <v>479950</v>
      </c>
      <c r="G542" t="s">
        <v>147</v>
      </c>
      <c r="H542" s="1">
        <v>1683</v>
      </c>
      <c r="J542">
        <v>3</v>
      </c>
      <c r="K542">
        <v>2.25</v>
      </c>
      <c r="M542" s="2" t="str">
        <f>HYPERLINK("http://www.windermere.com/index.cfm?fuseaction=Listing.MapPropertyInteractive&amp;ListingID=19247744&amp;resize=true&amp;windowWidth=800&amp;windowHeight=600","Map")</f>
        <v>Map</v>
      </c>
      <c r="O542" s="2" t="str">
        <f>HYPERLINK("http://www.windermere.com/index.cfm?fuseaction=Listing.MultiImageViewer&amp;ListingID=19247744&amp;ln=28011836&amp;pub_mls=1","More")</f>
        <v>More</v>
      </c>
      <c r="P542" t="s">
        <v>44</v>
      </c>
      <c r="AI542" t="s">
        <v>66</v>
      </c>
      <c r="AJ542">
        <v>98103</v>
      </c>
      <c r="AS542" t="s">
        <v>1606</v>
      </c>
      <c r="AT542">
        <v>19247744</v>
      </c>
      <c r="AU542" s="7">
        <v>39507</v>
      </c>
      <c r="BB542" t="s">
        <v>912</v>
      </c>
    </row>
    <row r="543" spans="1:58" hidden="1">
      <c r="A543">
        <v>27172649</v>
      </c>
      <c r="B543" s="4" t="str">
        <f>HYPERLINK("http://www.windermere.com/index.cfm?fuseaction=Listing.ListingDetail&amp;ListingID=18672127","Subject To Inspection")</f>
        <v>Subject To Inspection</v>
      </c>
      <c r="D543" t="s">
        <v>100</v>
      </c>
      <c r="E543" t="s">
        <v>1607</v>
      </c>
      <c r="F543" s="10">
        <v>479950</v>
      </c>
      <c r="G543" t="s">
        <v>147</v>
      </c>
      <c r="H543" s="1">
        <v>1185</v>
      </c>
      <c r="J543">
        <v>2</v>
      </c>
      <c r="K543">
        <v>2.25</v>
      </c>
      <c r="M543" s="2" t="str">
        <f>HYPERLINK("http://www.windermere.com/index.cfm?fuseaction=Listing.MapPropertyInteractive&amp;ListingID=18672127&amp;resize=true&amp;windowWidth=800&amp;windowHeight=600","Map")</f>
        <v>Map</v>
      </c>
      <c r="O543" s="2" t="str">
        <f>HYPERLINK("http://www.windermere.com/index.cfm?fuseaction=Listing.MultiImageViewer&amp;ListingID=18672127&amp;ln=27172649&amp;pub_mls=1","More")</f>
        <v>More</v>
      </c>
      <c r="P543" t="s">
        <v>44</v>
      </c>
      <c r="AI543" t="s">
        <v>66</v>
      </c>
      <c r="AJ543">
        <v>98103</v>
      </c>
      <c r="AS543" t="s">
        <v>1608</v>
      </c>
      <c r="AT543">
        <v>18672127</v>
      </c>
      <c r="AU543" s="7">
        <v>39507</v>
      </c>
      <c r="BB543" t="s">
        <v>912</v>
      </c>
    </row>
    <row r="544" spans="1:58" hidden="1">
      <c r="A544">
        <v>28034685</v>
      </c>
      <c r="B544" s="2" t="str">
        <f>HYPERLINK("http://www.windermere.com/index.cfm?fuseaction=Listing.ListingDetail&amp;ListingID=19459882","Active")</f>
        <v>Active</v>
      </c>
      <c r="D544" t="s">
        <v>63</v>
      </c>
      <c r="E544" t="s">
        <v>1609</v>
      </c>
      <c r="F544" s="10">
        <v>480000</v>
      </c>
      <c r="G544" t="s">
        <v>134</v>
      </c>
      <c r="H544" s="1">
        <v>2600</v>
      </c>
      <c r="I544">
        <v>4850</v>
      </c>
      <c r="J544">
        <v>3</v>
      </c>
      <c r="K544">
        <v>1</v>
      </c>
      <c r="M544" s="2" t="str">
        <f>HYPERLINK("http://www.windermere.com/index.cfm?fuseaction=Listing.MapPropertyInteractive&amp;ListingID=19459882&amp;resize=true&amp;windowWidth=800&amp;windowHeight=600","Map")</f>
        <v>Map</v>
      </c>
      <c r="O544" s="2" t="str">
        <f>HYPERLINK("http://www.windermere.com/index.cfm?fuseaction=Listing.MultiImageViewer&amp;ListingID=19459882&amp;ln=28034685&amp;pub_mls=1","More")</f>
        <v>More</v>
      </c>
      <c r="AI544" t="s">
        <v>66</v>
      </c>
      <c r="AJ544">
        <v>98107</v>
      </c>
      <c r="AS544" t="s">
        <v>1610</v>
      </c>
      <c r="AT544">
        <v>19459882</v>
      </c>
      <c r="AU544" s="7">
        <v>39507</v>
      </c>
      <c r="BB544" t="s">
        <v>912</v>
      </c>
    </row>
    <row r="545" spans="1:54" hidden="1">
      <c r="A545">
        <v>28035604</v>
      </c>
      <c r="B545" s="2" t="str">
        <f>HYPERLINK("http://www.windermere.com/index.cfm?fuseaction=Listing.ListingDetail&amp;ListingID=19460964","Active")</f>
        <v>Active</v>
      </c>
      <c r="D545" t="s">
        <v>60</v>
      </c>
      <c r="E545" t="s">
        <v>1611</v>
      </c>
      <c r="F545" s="18">
        <v>449950</v>
      </c>
      <c r="G545" t="s">
        <v>796</v>
      </c>
      <c r="H545" s="1">
        <v>2310</v>
      </c>
      <c r="I545">
        <v>4959</v>
      </c>
      <c r="J545" s="3">
        <v>5</v>
      </c>
      <c r="K545">
        <v>3</v>
      </c>
      <c r="M545" s="2" t="str">
        <f>HYPERLINK("http://www.windermere.com/index.cfm?fuseaction=Listing.MapPropertyInteractive&amp;ListingID=19460964&amp;resize=true&amp;windowWidth=800&amp;windowHeight=600","Map")</f>
        <v>Map</v>
      </c>
      <c r="O545" s="2" t="str">
        <f>HYPERLINK("http://www.windermere.com/index.cfm?fuseaction=Listing.MultiImageViewer&amp;ListingID=19460964&amp;ln=28035604&amp;pub_mls=1","More")</f>
        <v>More</v>
      </c>
      <c r="P545" t="s">
        <v>44</v>
      </c>
      <c r="AI545" t="s">
        <v>66</v>
      </c>
      <c r="AJ545">
        <v>98133</v>
      </c>
      <c r="AS545" t="s">
        <v>1612</v>
      </c>
      <c r="AT545">
        <v>19460964</v>
      </c>
      <c r="AU545" s="7">
        <v>39507</v>
      </c>
      <c r="BB545" t="s">
        <v>912</v>
      </c>
    </row>
    <row r="546" spans="1:54" hidden="1">
      <c r="A546">
        <v>28021572</v>
      </c>
      <c r="B546" s="2" t="str">
        <f>HYPERLINK("http://www.windermere.com/index.cfm?fuseaction=Listing.ListingDetail&amp;ListingID=19332845","Active")</f>
        <v>Active</v>
      </c>
      <c r="D546" t="s">
        <v>60</v>
      </c>
      <c r="E546" t="s">
        <v>1613</v>
      </c>
      <c r="F546" s="10">
        <v>500000</v>
      </c>
      <c r="G546" t="s">
        <v>128</v>
      </c>
      <c r="H546" s="1">
        <v>1520</v>
      </c>
      <c r="J546">
        <v>3</v>
      </c>
      <c r="K546">
        <v>2.5</v>
      </c>
      <c r="M546" s="2" t="str">
        <f>HYPERLINK("http://www.windermere.com/index.cfm?fuseaction=Listing.MapPropertyInteractive&amp;ListingID=19332845&amp;resize=true&amp;windowWidth=800&amp;windowHeight=600","Map")</f>
        <v>Map</v>
      </c>
      <c r="O546" s="2" t="str">
        <f>HYPERLINK("http://www.windermere.com/index.cfm?fuseaction=Listing.MultiImageViewer&amp;ListingID=19332845&amp;ln=28021572&amp;pub_mls=1","More")</f>
        <v>More</v>
      </c>
      <c r="AI546" t="s">
        <v>66</v>
      </c>
      <c r="AJ546">
        <v>98115</v>
      </c>
      <c r="AS546" t="s">
        <v>1614</v>
      </c>
      <c r="AT546">
        <v>19332845</v>
      </c>
      <c r="AU546" s="7">
        <v>39507</v>
      </c>
      <c r="BB546" t="s">
        <v>912</v>
      </c>
    </row>
    <row r="547" spans="1:54" hidden="1">
      <c r="A547">
        <v>28026043</v>
      </c>
      <c r="B547" s="2" t="str">
        <f>HYPERLINK("http://www.windermere.com/index.cfm?fuseaction=Listing.ListingDetail&amp;ListingID=19358432","Active")</f>
        <v>Active</v>
      </c>
      <c r="D547" t="s">
        <v>66</v>
      </c>
      <c r="E547" t="s">
        <v>1613</v>
      </c>
      <c r="F547" s="10">
        <v>500000</v>
      </c>
      <c r="G547" t="s">
        <v>128</v>
      </c>
      <c r="H547" s="1">
        <v>1520</v>
      </c>
      <c r="J547">
        <v>3</v>
      </c>
      <c r="K547">
        <v>2.5</v>
      </c>
      <c r="M547" s="2" t="str">
        <f>HYPERLINK("http://www.windermere.com/index.cfm?fuseaction=Listing.MapPropertyInteractive&amp;ListingID=19358432&amp;resize=true&amp;windowWidth=800&amp;windowHeight=600","Map")</f>
        <v>Map</v>
      </c>
      <c r="O547" s="2" t="str">
        <f>HYPERLINK("http://www.windermere.com/index.cfm?fuseaction=Listing.MultiImageViewer&amp;ListingID=19358432&amp;ln=28026043&amp;pub_mls=1","More")</f>
        <v>More</v>
      </c>
      <c r="AI547" t="s">
        <v>66</v>
      </c>
      <c r="AJ547">
        <v>98115</v>
      </c>
      <c r="AS547" t="s">
        <v>1615</v>
      </c>
      <c r="AT547">
        <v>19358432</v>
      </c>
      <c r="AU547" s="7">
        <v>39507</v>
      </c>
      <c r="BB547" t="s">
        <v>912</v>
      </c>
    </row>
    <row r="548" spans="1:54" hidden="1">
      <c r="A548">
        <v>28035950</v>
      </c>
      <c r="B548" s="2" t="str">
        <f>HYPERLINK("http://www.windermere.com/index.cfm?fuseaction=Listing.ListingDetail&amp;ListingID=19462672","Active")</f>
        <v>Active</v>
      </c>
      <c r="D548" t="s">
        <v>78</v>
      </c>
      <c r="E548" t="s">
        <v>1617</v>
      </c>
      <c r="F548" s="10">
        <v>928500</v>
      </c>
      <c r="G548" t="s">
        <v>247</v>
      </c>
      <c r="H548" s="1">
        <v>3395</v>
      </c>
      <c r="I548">
        <v>4046</v>
      </c>
      <c r="J548">
        <v>4</v>
      </c>
      <c r="K548">
        <v>3.5</v>
      </c>
      <c r="M548" s="2" t="str">
        <f>HYPERLINK("http://www.windermere.com/index.cfm?fuseaction=Listing.MapPropertyInteractive&amp;ListingID=19462672&amp;resize=true&amp;windowWidth=800&amp;windowHeight=600","Map")</f>
        <v>Map</v>
      </c>
      <c r="O548" s="2" t="str">
        <f>HYPERLINK("http://www.windermere.com/index.cfm?fuseaction=Listing.MultiImageViewer&amp;ListingID=19462672&amp;ln=28035950&amp;pub_mls=1","More")</f>
        <v>More</v>
      </c>
      <c r="P548" t="s">
        <v>44</v>
      </c>
      <c r="AI548" t="s">
        <v>66</v>
      </c>
      <c r="AJ548">
        <v>98117</v>
      </c>
      <c r="AS548" t="s">
        <v>1618</v>
      </c>
      <c r="AT548">
        <v>19462672</v>
      </c>
      <c r="AU548" s="7">
        <v>39507</v>
      </c>
      <c r="BB548" t="s">
        <v>912</v>
      </c>
    </row>
    <row r="549" spans="1:54">
      <c r="A549">
        <v>28036636</v>
      </c>
      <c r="B549" s="2" t="str">
        <f>HYPERLINK("http://www.windermere.com/index.cfm?fuseaction=Listing.ListingDetail&amp;ListingID=19470997","Active")</f>
        <v>Active</v>
      </c>
      <c r="D549" t="s">
        <v>66</v>
      </c>
      <c r="E549" t="s">
        <v>1634</v>
      </c>
      <c r="F549" s="10">
        <v>324950</v>
      </c>
      <c r="G549" t="s">
        <v>256</v>
      </c>
      <c r="H549" s="1">
        <v>1267</v>
      </c>
      <c r="J549">
        <v>3</v>
      </c>
      <c r="K549">
        <v>2</v>
      </c>
      <c r="M549" s="2" t="str">
        <f>HYPERLINK("http://www.windermere.com/index.cfm?fuseaction=Listing.MapPropertyInteractive&amp;ListingID=19470997&amp;resize=true&amp;windowWidth=800&amp;windowHeight=600","Map")</f>
        <v>Map</v>
      </c>
      <c r="O549" s="2" t="str">
        <f>HYPERLINK("http://www.windermere.com/index.cfm?fuseaction=Listing.MultiImageViewer&amp;ListingID=19470997&amp;ln=28036636&amp;pub_mls=1","More")</f>
        <v>More</v>
      </c>
      <c r="P549" t="s">
        <v>44</v>
      </c>
      <c r="AI549" t="s">
        <v>396</v>
      </c>
      <c r="AJ549">
        <v>98155</v>
      </c>
      <c r="AS549" t="s">
        <v>1635</v>
      </c>
      <c r="AT549">
        <v>19470997</v>
      </c>
      <c r="AU549" s="7">
        <v>39509</v>
      </c>
      <c r="BB549" t="s">
        <v>912</v>
      </c>
    </row>
    <row r="550" spans="1:54">
      <c r="A550">
        <v>28034637</v>
      </c>
      <c r="B550" s="2" t="str">
        <f>HYPERLINK("http://www.windermere.com/index.cfm?fuseaction=Listing.ListingDetail&amp;ListingID=19469957","Active")</f>
        <v>Active</v>
      </c>
      <c r="D550" t="s">
        <v>968</v>
      </c>
      <c r="E550" t="s">
        <v>1636</v>
      </c>
      <c r="F550" s="10">
        <v>347500</v>
      </c>
      <c r="G550" t="s">
        <v>599</v>
      </c>
      <c r="H550" s="1">
        <v>1390</v>
      </c>
      <c r="J550">
        <v>3</v>
      </c>
      <c r="K550">
        <v>2.25</v>
      </c>
      <c r="M550" s="2" t="str">
        <f>HYPERLINK("http://www.windermere.com/index.cfm?fuseaction=Listing.MapPropertyInteractive&amp;ListingID=19469957&amp;resize=true&amp;windowWidth=800&amp;windowHeight=600","Map")</f>
        <v>Map</v>
      </c>
      <c r="O550" s="2" t="str">
        <f>HYPERLINK("http://www.windermere.com/index.cfm?fuseaction=Listing.MultiImageViewer&amp;ListingID=19469957&amp;ln=28034637&amp;pub_mls=1","More")</f>
        <v>More</v>
      </c>
      <c r="AI550" t="s">
        <v>66</v>
      </c>
      <c r="AJ550">
        <v>98125</v>
      </c>
      <c r="AS550" t="s">
        <v>1637</v>
      </c>
      <c r="AT550">
        <v>19469957</v>
      </c>
      <c r="AU550" s="7">
        <v>39509</v>
      </c>
      <c r="BB550" t="s">
        <v>912</v>
      </c>
    </row>
    <row r="551" spans="1:54">
      <c r="A551">
        <v>28035829</v>
      </c>
      <c r="B551" s="2" t="str">
        <f>HYPERLINK("http://www.windermere.com/index.cfm?fuseaction=Listing.ListingDetail&amp;ListingID=19471322","Active")</f>
        <v>Active</v>
      </c>
      <c r="D551" t="s">
        <v>42</v>
      </c>
      <c r="E551" t="s">
        <v>1639</v>
      </c>
      <c r="F551" s="10">
        <v>395000</v>
      </c>
      <c r="G551" t="s">
        <v>252</v>
      </c>
      <c r="H551" s="1">
        <v>1780</v>
      </c>
      <c r="I551">
        <v>2240</v>
      </c>
      <c r="J551">
        <v>3</v>
      </c>
      <c r="K551">
        <v>2.5</v>
      </c>
      <c r="M551" s="2" t="str">
        <f>HYPERLINK("http://www.windermere.com/index.cfm?fuseaction=Listing.MapPropertyInteractive&amp;ListingID=19471322&amp;resize=true&amp;windowWidth=800&amp;windowHeight=600","Map")</f>
        <v>Map</v>
      </c>
      <c r="O551" s="2" t="str">
        <f>HYPERLINK("http://www.windermere.com/index.cfm?fuseaction=Listing.MultiImageViewer&amp;ListingID=19471322&amp;ln=28035829&amp;pub_mls=1","More")</f>
        <v>More</v>
      </c>
      <c r="P551" t="s">
        <v>44</v>
      </c>
      <c r="AI551" t="s">
        <v>66</v>
      </c>
      <c r="AJ551">
        <v>98133</v>
      </c>
      <c r="AS551" t="s">
        <v>1640</v>
      </c>
      <c r="AT551">
        <v>19471322</v>
      </c>
      <c r="AU551" s="7">
        <v>39509</v>
      </c>
      <c r="BB551" t="s">
        <v>912</v>
      </c>
    </row>
    <row r="552" spans="1:54">
      <c r="A552">
        <v>28036628</v>
      </c>
      <c r="B552" s="2" t="str">
        <f>HYPERLINK("http://www.windermere.com/index.cfm?fuseaction=Listing.ListingDetail&amp;ListingID=19470779","Active")</f>
        <v>Active</v>
      </c>
      <c r="D552" t="s">
        <v>70</v>
      </c>
      <c r="E552" t="s">
        <v>1642</v>
      </c>
      <c r="F552" s="10">
        <v>449000</v>
      </c>
      <c r="G552" t="s">
        <v>132</v>
      </c>
      <c r="H552" s="1">
        <v>2660</v>
      </c>
      <c r="I552">
        <v>7650</v>
      </c>
      <c r="J552">
        <v>3</v>
      </c>
      <c r="K552">
        <v>1.75</v>
      </c>
      <c r="M552" s="2" t="str">
        <f>HYPERLINK("http://www.windermere.com/index.cfm?fuseaction=Listing.MapPropertyInteractive&amp;ListingID=19470779&amp;resize=true&amp;windowWidth=800&amp;windowHeight=600","Map")</f>
        <v>Map</v>
      </c>
      <c r="O552" s="2" t="str">
        <f>HYPERLINK("http://www.windermere.com/index.cfm?fuseaction=Listing.MultiImageViewer&amp;ListingID=19470779&amp;ln=28036628&amp;pub_mls=1","More")</f>
        <v>More</v>
      </c>
      <c r="AI552" t="s">
        <v>66</v>
      </c>
      <c r="AJ552">
        <v>98133</v>
      </c>
      <c r="AS552" t="s">
        <v>1643</v>
      </c>
      <c r="AT552">
        <v>19470779</v>
      </c>
      <c r="AU552" s="7">
        <v>39509</v>
      </c>
      <c r="BB552" t="s">
        <v>912</v>
      </c>
    </row>
    <row r="553" spans="1:54">
      <c r="A553">
        <v>28036373</v>
      </c>
      <c r="B553" s="2" t="str">
        <f>HYPERLINK("http://www.windermere.com/index.cfm?fuseaction=Listing.ListingDetail&amp;ListingID=19470198","Active")</f>
        <v>Active</v>
      </c>
      <c r="D553" t="s">
        <v>63</v>
      </c>
      <c r="E553" t="s">
        <v>1644</v>
      </c>
      <c r="F553" s="10">
        <v>449950</v>
      </c>
      <c r="G553" t="s">
        <v>186</v>
      </c>
      <c r="H553" s="1">
        <v>2280</v>
      </c>
      <c r="I553">
        <v>5000</v>
      </c>
      <c r="J553">
        <v>3</v>
      </c>
      <c r="K553">
        <v>1.75</v>
      </c>
      <c r="M553" s="2" t="str">
        <f>HYPERLINK("http://www.windermere.com/index.cfm?fuseaction=Listing.MapPropertyInteractive&amp;ListingID=19470198&amp;resize=true&amp;windowWidth=800&amp;windowHeight=600","Map")</f>
        <v>Map</v>
      </c>
      <c r="O553" s="2" t="str">
        <f>HYPERLINK("http://www.windermere.com/index.cfm?fuseaction=Listing.MultiImageViewer&amp;ListingID=19470198&amp;ln=28036373&amp;pub_mls=1","More")</f>
        <v>More</v>
      </c>
      <c r="P553" t="s">
        <v>44</v>
      </c>
      <c r="AI553" t="s">
        <v>66</v>
      </c>
      <c r="AJ553">
        <v>98117</v>
      </c>
      <c r="AS553" t="s">
        <v>1645</v>
      </c>
      <c r="AT553">
        <v>19470198</v>
      </c>
      <c r="AU553" s="7">
        <v>39509</v>
      </c>
      <c r="BB553" t="s">
        <v>912</v>
      </c>
    </row>
    <row r="554" spans="1:54">
      <c r="A554">
        <v>28036437</v>
      </c>
      <c r="B554" s="4" t="str">
        <f>HYPERLINK("http://www.windermere.com/index.cfm?fuseaction=Listing.ListingDetail&amp;ListingID=19469243","Subject To Inspection")</f>
        <v>Subject To Inspection</v>
      </c>
      <c r="D554" t="s">
        <v>60</v>
      </c>
      <c r="E554" t="s">
        <v>1646</v>
      </c>
      <c r="F554" s="10">
        <v>459000</v>
      </c>
      <c r="G554" t="s">
        <v>172</v>
      </c>
      <c r="I554">
        <v>6120</v>
      </c>
      <c r="J554">
        <v>2</v>
      </c>
      <c r="K554">
        <v>1</v>
      </c>
      <c r="M554" s="2" t="str">
        <f>HYPERLINK("http://www.windermere.com/index.cfm?fuseaction=Listing.MapPropertyInteractive&amp;ListingID=19469243&amp;resize=true&amp;windowWidth=800&amp;windowHeight=600","Map")</f>
        <v>Map</v>
      </c>
      <c r="O554" s="2" t="str">
        <f>HYPERLINK("http://www.windermere.com/index.cfm?fuseaction=viewGallery.Home&amp;customTourID=209343&amp;wvt=0","More")</f>
        <v>More</v>
      </c>
      <c r="P554" t="s">
        <v>44</v>
      </c>
      <c r="AI554" t="s">
        <v>66</v>
      </c>
      <c r="AJ554">
        <v>98105</v>
      </c>
      <c r="AS554" t="s">
        <v>1647</v>
      </c>
      <c r="AT554">
        <v>19469243</v>
      </c>
      <c r="AU554" s="7">
        <v>39509</v>
      </c>
      <c r="BB554" t="s">
        <v>912</v>
      </c>
    </row>
    <row r="555" spans="1:54">
      <c r="A555">
        <v>27193325</v>
      </c>
      <c r="B555" s="2" t="str">
        <f>HYPERLINK("http://www.windermere.com/index.cfm?fuseaction=Listing.ListingDetail&amp;ListingID=18879071","Active")</f>
        <v>Active</v>
      </c>
      <c r="D555" t="s">
        <v>968</v>
      </c>
      <c r="E555" t="s">
        <v>1648</v>
      </c>
      <c r="F555" s="10">
        <v>489000</v>
      </c>
      <c r="G555" t="s">
        <v>240</v>
      </c>
      <c r="I555">
        <v>8100</v>
      </c>
      <c r="J555">
        <v>5</v>
      </c>
      <c r="K555">
        <v>2.5</v>
      </c>
      <c r="M555" s="2" t="str">
        <f>HYPERLINK("http://www.windermere.com/index.cfm?fuseaction=Listing.MapPropertyInteractive&amp;ListingID=18879071&amp;resize=true&amp;windowWidth=800&amp;windowHeight=600","Map")</f>
        <v>Map</v>
      </c>
      <c r="O555" s="2" t="str">
        <f>HYPERLINK("http://www.windermere.com/index.cfm?fuseaction=Listing.MultiImageViewer&amp;ListingID=18879071&amp;ln=27193325&amp;pub_mls=1","More")</f>
        <v>More</v>
      </c>
      <c r="P555" t="s">
        <v>44</v>
      </c>
      <c r="AI555" t="s">
        <v>66</v>
      </c>
      <c r="AJ555">
        <v>98125</v>
      </c>
      <c r="AS555" t="s">
        <v>1649</v>
      </c>
      <c r="AT555">
        <v>18879071</v>
      </c>
      <c r="AU555" s="7">
        <v>39509</v>
      </c>
      <c r="BB555" t="s">
        <v>912</v>
      </c>
    </row>
    <row r="556" spans="1:54">
      <c r="A556">
        <v>28036310</v>
      </c>
      <c r="B556" s="2" t="str">
        <f>HYPERLINK("http://www.windermere.com/index.cfm?fuseaction=Listing.ListingDetail&amp;ListingID=19468594","Active")</f>
        <v>Active</v>
      </c>
      <c r="D556" t="s">
        <v>101</v>
      </c>
      <c r="E556" t="s">
        <v>1650</v>
      </c>
      <c r="F556" s="10">
        <v>975950</v>
      </c>
      <c r="G556" t="s">
        <v>247</v>
      </c>
      <c r="H556" s="1">
        <v>3050</v>
      </c>
      <c r="I556">
        <v>6170</v>
      </c>
      <c r="J556">
        <v>4</v>
      </c>
      <c r="K556">
        <v>2.75</v>
      </c>
      <c r="M556" s="2" t="str">
        <f>HYPERLINK("http://www.windermere.com/index.cfm?fuseaction=Listing.MapPropertyInteractive&amp;ListingID=19468594&amp;resize=true&amp;windowWidth=800&amp;windowHeight=600","Map")</f>
        <v>Map</v>
      </c>
      <c r="AI556" t="s">
        <v>66</v>
      </c>
      <c r="AJ556">
        <v>98117</v>
      </c>
      <c r="AS556" t="s">
        <v>1651</v>
      </c>
      <c r="AT556">
        <v>19468594</v>
      </c>
      <c r="AU556" s="7">
        <v>39509</v>
      </c>
      <c r="BB556" t="s">
        <v>912</v>
      </c>
    </row>
    <row r="557" spans="1:54">
      <c r="A557">
        <v>28035455</v>
      </c>
      <c r="B557" s="4" t="str">
        <f>HYPERLINK("http://www.windermere.com/index.cfm?fuseaction=Listing.ListingDetail&amp;ListingID=19471988","Subject To Inspection")</f>
        <v>Subject To Inspection</v>
      </c>
      <c r="D557" t="s">
        <v>194</v>
      </c>
      <c r="E557" t="s">
        <v>1653</v>
      </c>
      <c r="F557" s="10">
        <v>425000</v>
      </c>
      <c r="G557" t="s">
        <v>157</v>
      </c>
      <c r="H557" s="1">
        <v>1390</v>
      </c>
      <c r="I557">
        <v>6000</v>
      </c>
      <c r="J557">
        <v>4</v>
      </c>
      <c r="K557">
        <v>1.5</v>
      </c>
      <c r="M557" s="2" t="str">
        <f>HYPERLINK("http://www.windermere.com/index.cfm?fuseaction=Listing.MapPropertyInteractive&amp;ListingID=19471988&amp;resize=true&amp;windowWidth=800&amp;windowHeight=600","Map")</f>
        <v>Map</v>
      </c>
      <c r="O557" s="2" t="str">
        <f>HYPERLINK("http://www.windermere.com/index.cfm?fuseaction=viewGallery.Home&amp;customTourID=209569&amp;wvt=0","More")</f>
        <v>More</v>
      </c>
      <c r="AI557" t="s">
        <v>66</v>
      </c>
      <c r="AJ557">
        <v>98115</v>
      </c>
      <c r="AS557" t="s">
        <v>1654</v>
      </c>
      <c r="AT557">
        <v>19471988</v>
      </c>
      <c r="AU557" s="7">
        <v>39509</v>
      </c>
      <c r="BB557" t="s">
        <v>912</v>
      </c>
    </row>
    <row r="558" spans="1:54">
      <c r="A558">
        <v>28036097</v>
      </c>
      <c r="B558" s="4" t="str">
        <f>HYPERLINK("http://www.windermere.com/index.cfm?fuseaction=Listing.ListingDetail&amp;ListingID=19463614","Subject To Inspection")</f>
        <v>Subject To Inspection</v>
      </c>
      <c r="D558" t="s">
        <v>100</v>
      </c>
      <c r="E558" s="3" t="s">
        <v>1862</v>
      </c>
      <c r="F558" s="10">
        <v>499950</v>
      </c>
      <c r="G558" t="s">
        <v>247</v>
      </c>
      <c r="J558">
        <v>3</v>
      </c>
      <c r="K558">
        <v>2.25</v>
      </c>
      <c r="M558" s="2" t="str">
        <f>HYPERLINK("http://www.windermere.com/index.cfm?fuseaction=Listing.MapPropertyInteractive&amp;ListingID=19463614&amp;resize=true&amp;windowWidth=800&amp;windowHeight=600","Map")</f>
        <v>Map</v>
      </c>
      <c r="O558" s="2" t="str">
        <f>HYPERLINK("http://www.windermere.com/index.cfm?fuseaction=viewGallery.Home&amp;customTourID=196595&amp;wvt=0","More")</f>
        <v>More</v>
      </c>
      <c r="P558" t="s">
        <v>44</v>
      </c>
      <c r="AI558" t="s">
        <v>66</v>
      </c>
      <c r="AJ558">
        <v>98103</v>
      </c>
      <c r="AS558" t="s">
        <v>1655</v>
      </c>
      <c r="AT558">
        <v>19463614</v>
      </c>
      <c r="AU558" s="7">
        <v>39509</v>
      </c>
      <c r="BB558" t="s">
        <v>912</v>
      </c>
    </row>
    <row r="559" spans="1:54">
      <c r="A559">
        <v>28036603</v>
      </c>
      <c r="B559" s="2" t="str">
        <f>HYPERLINK("http://www.windermere.com/index.cfm?fuseaction=Listing.ListingDetail&amp;ListingID=19471963","Active")</f>
        <v>Active</v>
      </c>
      <c r="D559" t="s">
        <v>99</v>
      </c>
      <c r="E559" t="s">
        <v>331</v>
      </c>
      <c r="F559" s="10">
        <v>299000</v>
      </c>
      <c r="G559" t="s">
        <v>332</v>
      </c>
      <c r="H559" s="1">
        <v>1470</v>
      </c>
      <c r="I559">
        <v>5000</v>
      </c>
      <c r="J559">
        <v>3</v>
      </c>
      <c r="K559">
        <v>1.5</v>
      </c>
      <c r="M559" s="2" t="str">
        <f>HYPERLINK("http://www.windermere.com/index.cfm?fuseaction=Listing.MapPropertyInteractive&amp;ListingID=19471963&amp;resize=true&amp;windowWidth=800&amp;windowHeight=600","Map")</f>
        <v>Map</v>
      </c>
      <c r="O559" s="2" t="str">
        <f>HYPERLINK("http://www.windermere.com/index.cfm?fuseaction=Listing.MultiImageViewer&amp;ListingID=19471963&amp;ln=28036603&amp;pub_mls=1","More")</f>
        <v>More</v>
      </c>
      <c r="AI559" t="s">
        <v>66</v>
      </c>
      <c r="AJ559">
        <v>98117</v>
      </c>
      <c r="AS559" t="s">
        <v>1656</v>
      </c>
      <c r="AT559">
        <v>19471963</v>
      </c>
      <c r="AU559" s="7">
        <v>39509</v>
      </c>
      <c r="BB559" t="s">
        <v>912</v>
      </c>
    </row>
    <row r="560" spans="1:54">
      <c r="A560">
        <v>28036801</v>
      </c>
      <c r="B560" s="2" t="str">
        <f>HYPERLINK("http://www.windermere.com/index.cfm?fuseaction=Listing.ListingDetail&amp;ListingID=19471680","Active")</f>
        <v>Active</v>
      </c>
      <c r="D560" t="s">
        <v>63</v>
      </c>
      <c r="E560" t="s">
        <v>1242</v>
      </c>
      <c r="F560" s="10">
        <v>695000</v>
      </c>
      <c r="G560" t="s">
        <v>177</v>
      </c>
      <c r="H560" s="1">
        <v>1940</v>
      </c>
      <c r="I560">
        <v>3000</v>
      </c>
      <c r="J560">
        <v>3</v>
      </c>
      <c r="K560">
        <v>2.75</v>
      </c>
      <c r="M560" s="2" t="str">
        <f>HYPERLINK("http://www.windermere.com/index.cfm?fuseaction=Listing.MapPropertyInteractive&amp;ListingID=19471680&amp;resize=true&amp;windowWidth=800&amp;windowHeight=600","Map")</f>
        <v>Map</v>
      </c>
      <c r="O560" s="2" t="str">
        <f>HYPERLINK("http://www.windermere.com/index.cfm?fuseaction=Listing.MultiImageViewer&amp;ListingID=19471680&amp;ln=28036801&amp;pub_mls=1","More")</f>
        <v>More</v>
      </c>
      <c r="P560" t="s">
        <v>44</v>
      </c>
      <c r="AI560" t="s">
        <v>66</v>
      </c>
      <c r="AJ560">
        <v>98117</v>
      </c>
      <c r="AS560" t="s">
        <v>1657</v>
      </c>
      <c r="AT560">
        <v>19471680</v>
      </c>
      <c r="AU560" s="7">
        <v>39509</v>
      </c>
      <c r="BB560" t="s">
        <v>912</v>
      </c>
    </row>
    <row r="561" spans="1:54">
      <c r="A561">
        <v>28036962</v>
      </c>
      <c r="B561" s="2" t="str">
        <f>HYPERLINK("http://www.windermere.com/index.cfm?fuseaction=Listing.ListingDetail&amp;ListingID=19473350","Active")</f>
        <v>Active</v>
      </c>
      <c r="D561" t="s">
        <v>99</v>
      </c>
      <c r="E561" t="s">
        <v>1660</v>
      </c>
      <c r="F561" s="10">
        <v>359000</v>
      </c>
      <c r="G561" t="s">
        <v>137</v>
      </c>
      <c r="H561" s="1">
        <v>1490</v>
      </c>
      <c r="I561">
        <v>5400</v>
      </c>
      <c r="J561">
        <v>3</v>
      </c>
      <c r="K561">
        <v>1.75</v>
      </c>
      <c r="M561" s="2" t="str">
        <f>HYPERLINK("http://www.windermere.com/index.cfm?fuseaction=Listing.MapPropertyInteractive&amp;ListingID=19473350&amp;resize=true&amp;windowWidth=800&amp;windowHeight=600","Map")</f>
        <v>Map</v>
      </c>
      <c r="O561" s="2" t="str">
        <f>HYPERLINK("http://www.windermere.com/index.cfm?fuseaction=viewGallery.Home&amp;customTourID=209357&amp;wvt=0","More")</f>
        <v>More</v>
      </c>
      <c r="AI561" t="s">
        <v>66</v>
      </c>
      <c r="AJ561">
        <v>98117</v>
      </c>
      <c r="AS561" t="s">
        <v>1661</v>
      </c>
      <c r="AT561">
        <v>19473350</v>
      </c>
      <c r="AU561" s="7">
        <v>39511</v>
      </c>
      <c r="BB561" t="s">
        <v>912</v>
      </c>
    </row>
    <row r="562" spans="1:54">
      <c r="A562">
        <v>28038383</v>
      </c>
      <c r="B562" s="2" t="str">
        <f>HYPERLINK("http://www.windermere.com/index.cfm?fuseaction=Listing.ListingDetail&amp;ListingID=19483629","Active")</f>
        <v>Active</v>
      </c>
      <c r="D562" t="s">
        <v>60</v>
      </c>
      <c r="E562" t="s">
        <v>1662</v>
      </c>
      <c r="F562" s="10">
        <v>379950</v>
      </c>
      <c r="G562" t="s">
        <v>247</v>
      </c>
      <c r="H562" s="1">
        <v>1470</v>
      </c>
      <c r="J562">
        <v>3</v>
      </c>
      <c r="K562">
        <v>2.5</v>
      </c>
      <c r="M562" s="2" t="str">
        <f>HYPERLINK("http://www.windermere.com/index.cfm?fuseaction=Listing.MapPropertyInteractive&amp;ListingID=19483629&amp;resize=true&amp;windowWidth=800&amp;windowHeight=600","Map")</f>
        <v>Map</v>
      </c>
      <c r="AI562" t="s">
        <v>66</v>
      </c>
      <c r="AJ562">
        <v>98103</v>
      </c>
      <c r="AS562" t="s">
        <v>1663</v>
      </c>
      <c r="AT562">
        <v>19483629</v>
      </c>
      <c r="AU562" s="7">
        <v>39511</v>
      </c>
      <c r="BB562" t="s">
        <v>912</v>
      </c>
    </row>
    <row r="563" spans="1:54">
      <c r="A563">
        <v>28038381</v>
      </c>
      <c r="B563" s="2" t="str">
        <f>HYPERLINK("http://www.windermere.com/index.cfm?fuseaction=Listing.ListingDetail&amp;ListingID=19483617","Active")</f>
        <v>Active</v>
      </c>
      <c r="D563" t="s">
        <v>60</v>
      </c>
      <c r="E563" t="s">
        <v>1664</v>
      </c>
      <c r="F563" s="10">
        <v>379950</v>
      </c>
      <c r="G563" t="s">
        <v>247</v>
      </c>
      <c r="H563" s="1">
        <v>1470</v>
      </c>
      <c r="J563">
        <v>3</v>
      </c>
      <c r="K563">
        <v>2.5</v>
      </c>
      <c r="M563" s="2" t="str">
        <f>HYPERLINK("http://www.windermere.com/index.cfm?fuseaction=Listing.MapPropertyInteractive&amp;ListingID=19483617&amp;resize=true&amp;windowWidth=800&amp;windowHeight=600","Map")</f>
        <v>Map</v>
      </c>
      <c r="AI563" t="s">
        <v>66</v>
      </c>
      <c r="AJ563">
        <v>98103</v>
      </c>
      <c r="AS563" t="s">
        <v>1665</v>
      </c>
      <c r="AT563">
        <v>19483617</v>
      </c>
      <c r="AU563" s="7">
        <v>39511</v>
      </c>
      <c r="BB563" t="s">
        <v>912</v>
      </c>
    </row>
    <row r="564" spans="1:54">
      <c r="A564">
        <v>28038242</v>
      </c>
      <c r="B564" s="2" t="str">
        <f>HYPERLINK("http://www.windermere.com/index.cfm?fuseaction=Listing.ListingDetail&amp;ListingID=19482970","Active")</f>
        <v>Active</v>
      </c>
      <c r="D564" t="s">
        <v>101</v>
      </c>
      <c r="E564" t="s">
        <v>1666</v>
      </c>
      <c r="F564" s="10">
        <v>407500</v>
      </c>
      <c r="G564" t="s">
        <v>424</v>
      </c>
      <c r="H564" s="1">
        <v>1600</v>
      </c>
      <c r="J564">
        <v>3</v>
      </c>
      <c r="K564">
        <v>2.5</v>
      </c>
      <c r="M564" s="2" t="str">
        <f>HYPERLINK("http://www.windermere.com/index.cfm?fuseaction=Listing.MapPropertyInteractive&amp;ListingID=19482970&amp;resize=true&amp;windowWidth=800&amp;windowHeight=600","Map")</f>
        <v>Map</v>
      </c>
      <c r="O564" s="2" t="str">
        <f>HYPERLINK("http://www.windermere.com/index.cfm?fuseaction=Listing.MultiImageViewer&amp;ListingID=19482970&amp;ln=28038242&amp;pub_mls=1","More")</f>
        <v>More</v>
      </c>
      <c r="P564" t="s">
        <v>44</v>
      </c>
      <c r="AI564" t="s">
        <v>66</v>
      </c>
      <c r="AJ564">
        <v>98117</v>
      </c>
      <c r="AS564" t="s">
        <v>1667</v>
      </c>
      <c r="AT564">
        <v>19482970</v>
      </c>
      <c r="AU564" s="7">
        <v>39511</v>
      </c>
      <c r="BB564" t="s">
        <v>912</v>
      </c>
    </row>
    <row r="565" spans="1:54">
      <c r="A565">
        <v>28037966</v>
      </c>
      <c r="B565" s="2" t="str">
        <f>HYPERLINK("http://www.windermere.com/index.cfm?fuseaction=Listing.ListingDetail&amp;ListingID=19481365","Active")</f>
        <v>Active</v>
      </c>
      <c r="D565" t="s">
        <v>207</v>
      </c>
      <c r="E565" t="s">
        <v>1668</v>
      </c>
      <c r="F565" s="10">
        <v>409000</v>
      </c>
      <c r="G565" t="s">
        <v>440</v>
      </c>
      <c r="I565">
        <v>5000</v>
      </c>
      <c r="J565">
        <v>4</v>
      </c>
      <c r="K565">
        <v>1.75</v>
      </c>
      <c r="M565" s="2" t="str">
        <f>HYPERLINK("http://www.windermere.com/index.cfm?fuseaction=Listing.MapPropertyInteractive&amp;ListingID=19481365&amp;resize=true&amp;windowWidth=800&amp;windowHeight=600","Map")</f>
        <v>Map</v>
      </c>
      <c r="O565" s="2" t="str">
        <f>HYPERLINK("http://www.windermere.com/index.cfm?fuseaction=viewGallery.Home&amp;customTourID=209622&amp;wvt=0","More")</f>
        <v>More</v>
      </c>
      <c r="P565" t="s">
        <v>44</v>
      </c>
      <c r="AI565" t="s">
        <v>66</v>
      </c>
      <c r="AJ565">
        <v>98115</v>
      </c>
      <c r="AS565" t="s">
        <v>1669</v>
      </c>
      <c r="AT565">
        <v>19481365</v>
      </c>
      <c r="AU565" s="7">
        <v>39511</v>
      </c>
      <c r="BB565" t="s">
        <v>912</v>
      </c>
    </row>
    <row r="566" spans="1:54">
      <c r="A566">
        <v>28037468</v>
      </c>
      <c r="B566" s="2" t="str">
        <f>HYPERLINK("http://www.windermere.com/index.cfm?fuseaction=Listing.ListingDetail&amp;ListingID=19475598","Active")</f>
        <v>Active</v>
      </c>
      <c r="D566" t="s">
        <v>63</v>
      </c>
      <c r="E566" t="s">
        <v>1670</v>
      </c>
      <c r="F566" s="10">
        <v>415000</v>
      </c>
      <c r="G566" t="s">
        <v>379</v>
      </c>
      <c r="H566" s="1">
        <v>1060</v>
      </c>
      <c r="I566">
        <v>4175</v>
      </c>
      <c r="J566">
        <v>3</v>
      </c>
      <c r="K566">
        <v>1</v>
      </c>
      <c r="M566" s="2" t="str">
        <f>HYPERLINK("http://www.windermere.com/index.cfm?fuseaction=Listing.MapPropertyInteractive&amp;ListingID=19475598&amp;resize=true&amp;windowWidth=800&amp;windowHeight=600","Map")</f>
        <v>Map</v>
      </c>
      <c r="O566" s="2" t="str">
        <f>HYPERLINK("http://www.windermere.com/index.cfm?fuseaction=Listing.MultiImageViewer&amp;ListingID=19475598&amp;ln=28037468&amp;pub_mls=1","More")</f>
        <v>More</v>
      </c>
      <c r="AI566" t="s">
        <v>66</v>
      </c>
      <c r="AJ566">
        <v>98107</v>
      </c>
      <c r="AS566" t="s">
        <v>1671</v>
      </c>
      <c r="AT566">
        <v>19475598</v>
      </c>
      <c r="AU566" s="7">
        <v>39511</v>
      </c>
      <c r="BB566" t="s">
        <v>912</v>
      </c>
    </row>
    <row r="567" spans="1:54">
      <c r="A567">
        <v>28037203</v>
      </c>
      <c r="B567" s="2" t="str">
        <f>HYPERLINK("http://www.windermere.com/index.cfm?fuseaction=Listing.ListingDetail&amp;ListingID=19474520","Active")</f>
        <v>Active</v>
      </c>
      <c r="D567" t="s">
        <v>70</v>
      </c>
      <c r="E567" t="s">
        <v>1672</v>
      </c>
      <c r="F567" s="10">
        <v>419950</v>
      </c>
      <c r="G567" t="s">
        <v>137</v>
      </c>
      <c r="H567" s="1">
        <v>1980</v>
      </c>
      <c r="I567">
        <v>7675</v>
      </c>
      <c r="J567">
        <v>2</v>
      </c>
      <c r="K567">
        <v>1</v>
      </c>
      <c r="M567" s="2" t="str">
        <f>HYPERLINK("http://www.windermere.com/index.cfm?fuseaction=Listing.MapPropertyInteractive&amp;ListingID=19474520&amp;resize=true&amp;windowWidth=800&amp;windowHeight=600","Map")</f>
        <v>Map</v>
      </c>
      <c r="O567" s="2" t="str">
        <f>HYPERLINK("http://www.windermere.com/index.cfm?fuseaction=Listing.MultiImageViewer&amp;ListingID=19474520&amp;ln=28037203&amp;pub_mls=1","More")</f>
        <v>More</v>
      </c>
      <c r="AI567" t="s">
        <v>66</v>
      </c>
      <c r="AJ567">
        <v>98117</v>
      </c>
      <c r="AS567" t="s">
        <v>1673</v>
      </c>
      <c r="AT567">
        <v>19474520</v>
      </c>
      <c r="AU567" s="7">
        <v>39511</v>
      </c>
      <c r="BB567" t="s">
        <v>912</v>
      </c>
    </row>
    <row r="568" spans="1:54">
      <c r="A568">
        <v>28037536</v>
      </c>
      <c r="B568" s="2" t="str">
        <f>HYPERLINK("http://www.windermere.com/index.cfm?fuseaction=Listing.ListingDetail&amp;ListingID=19481198","Active")</f>
        <v>Active</v>
      </c>
      <c r="D568" t="s">
        <v>60</v>
      </c>
      <c r="E568" t="s">
        <v>1674</v>
      </c>
      <c r="F568" s="10">
        <v>425000</v>
      </c>
      <c r="G568" t="s">
        <v>374</v>
      </c>
      <c r="H568" s="1">
        <v>1450</v>
      </c>
      <c r="J568">
        <v>3</v>
      </c>
      <c r="K568">
        <v>2.5</v>
      </c>
      <c r="M568" s="2" t="str">
        <f>HYPERLINK("http://www.windermere.com/index.cfm?fuseaction=Listing.MapPropertyInteractive&amp;ListingID=19481198&amp;resize=true&amp;windowWidth=800&amp;windowHeight=600","Map")</f>
        <v>Map</v>
      </c>
      <c r="O568" s="2" t="str">
        <f>HYPERLINK("http://www.windermere.com/index.cfm?fuseaction=Listing.MultiImageViewer&amp;ListingID=19481198&amp;ln=28037536&amp;pub_mls=1","More")</f>
        <v>More</v>
      </c>
      <c r="P568" t="s">
        <v>44</v>
      </c>
      <c r="AI568" t="s">
        <v>66</v>
      </c>
      <c r="AJ568">
        <v>98103</v>
      </c>
      <c r="AS568" t="s">
        <v>1675</v>
      </c>
      <c r="AT568">
        <v>19481198</v>
      </c>
      <c r="AU568" s="7">
        <v>39511</v>
      </c>
      <c r="BB568" t="s">
        <v>912</v>
      </c>
    </row>
    <row r="569" spans="1:54">
      <c r="A569">
        <v>28037117</v>
      </c>
      <c r="B569" s="2" t="str">
        <f>HYPERLINK("http://www.windermere.com/index.cfm?fuseaction=Listing.ListingDetail&amp;ListingID=19474139","Active")</f>
        <v>Active</v>
      </c>
      <c r="D569" t="s">
        <v>1676</v>
      </c>
      <c r="E569" t="s">
        <v>1677</v>
      </c>
      <c r="F569" s="10">
        <v>429000</v>
      </c>
      <c r="G569" t="s">
        <v>137</v>
      </c>
      <c r="H569" s="1">
        <v>1960</v>
      </c>
      <c r="I569">
        <v>5500</v>
      </c>
      <c r="J569">
        <v>3</v>
      </c>
      <c r="K569">
        <v>1.75</v>
      </c>
      <c r="M569" s="2" t="str">
        <f>HYPERLINK("http://www.windermere.com/index.cfm?fuseaction=Listing.MapPropertyInteractive&amp;ListingID=19474139&amp;resize=true&amp;windowWidth=800&amp;windowHeight=600","Map")</f>
        <v>Map</v>
      </c>
      <c r="O569" s="2" t="str">
        <f>HYPERLINK("http://www.windermere.com/index.cfm?fuseaction=viewGallery.Home&amp;customTourID=209313&amp;wvt=0","More")</f>
        <v>More</v>
      </c>
      <c r="P569" t="s">
        <v>44</v>
      </c>
      <c r="AI569" t="s">
        <v>66</v>
      </c>
      <c r="AJ569">
        <v>98105</v>
      </c>
      <c r="AS569" t="s">
        <v>1678</v>
      </c>
      <c r="AT569">
        <v>19474139</v>
      </c>
      <c r="AU569" s="7">
        <v>39511</v>
      </c>
      <c r="BB569" t="s">
        <v>912</v>
      </c>
    </row>
    <row r="570" spans="1:54">
      <c r="A570">
        <v>28037519</v>
      </c>
      <c r="B570" s="4" t="str">
        <f>HYPERLINK("http://www.windermere.com/index.cfm?fuseaction=Listing.ListingDetail&amp;ListingID=19475852","Subject To Inspection")</f>
        <v>Subject To Inspection</v>
      </c>
      <c r="D570" t="s">
        <v>192</v>
      </c>
      <c r="E570" t="s">
        <v>1679</v>
      </c>
      <c r="F570" s="10">
        <v>445000</v>
      </c>
      <c r="G570" t="s">
        <v>135</v>
      </c>
      <c r="H570" s="1">
        <v>2130</v>
      </c>
      <c r="I570">
        <v>4080</v>
      </c>
      <c r="J570">
        <v>2</v>
      </c>
      <c r="K570">
        <v>1.75</v>
      </c>
      <c r="M570" s="2" t="str">
        <f>HYPERLINK("http://www.windermere.com/index.cfm?fuseaction=Listing.MapPropertyInteractive&amp;ListingID=19475852&amp;resize=true&amp;windowWidth=800&amp;windowHeight=600","Map")</f>
        <v>Map</v>
      </c>
      <c r="O570" s="2" t="str">
        <f>HYPERLINK("http://www.windermere.com/index.cfm?fuseaction=Listing.MultiImageViewer&amp;ListingID=19475852&amp;ln=28037519&amp;pub_mls=1","More")</f>
        <v>More</v>
      </c>
      <c r="AI570" t="s">
        <v>66</v>
      </c>
      <c r="AJ570">
        <v>98115</v>
      </c>
      <c r="AS570" t="s">
        <v>1680</v>
      </c>
      <c r="AT570">
        <v>19475852</v>
      </c>
      <c r="AU570" s="7">
        <v>39511</v>
      </c>
      <c r="BB570" t="s">
        <v>912</v>
      </c>
    </row>
    <row r="571" spans="1:54">
      <c r="A571">
        <v>28038007</v>
      </c>
      <c r="B571" s="2" t="str">
        <f>HYPERLINK("http://www.windermere.com/index.cfm?fuseaction=Listing.ListingDetail&amp;ListingID=19481529","Active")</f>
        <v>Active</v>
      </c>
      <c r="D571" t="s">
        <v>109</v>
      </c>
      <c r="E571" t="s">
        <v>1681</v>
      </c>
      <c r="F571" s="10">
        <v>449950</v>
      </c>
      <c r="G571" t="s">
        <v>247</v>
      </c>
      <c r="H571" s="1">
        <v>1568</v>
      </c>
      <c r="J571">
        <v>3</v>
      </c>
      <c r="K571">
        <v>2.25</v>
      </c>
      <c r="M571" s="2" t="str">
        <f>HYPERLINK("http://www.windermere.com/index.cfm?fuseaction=Listing.MapPropertyInteractive&amp;ListingID=19481529&amp;resize=true&amp;windowWidth=800&amp;windowHeight=600","Map")</f>
        <v>Map</v>
      </c>
      <c r="O571" s="2" t="str">
        <f>HYPERLINK("http://www.windermere.com/index.cfm?fuseaction=Listing.MultiImageViewer&amp;ListingID=19481529&amp;ln=28038007&amp;pub_mls=1","More")</f>
        <v>More</v>
      </c>
      <c r="P571" t="s">
        <v>44</v>
      </c>
      <c r="AI571" t="s">
        <v>66</v>
      </c>
      <c r="AJ571">
        <v>98103</v>
      </c>
      <c r="AS571" t="s">
        <v>1682</v>
      </c>
      <c r="AT571">
        <v>19481529</v>
      </c>
      <c r="AU571" s="7">
        <v>39511</v>
      </c>
      <c r="BB571" t="s">
        <v>912</v>
      </c>
    </row>
    <row r="572" spans="1:54">
      <c r="A572">
        <v>28038040</v>
      </c>
      <c r="B572" s="2" t="str">
        <f>HYPERLINK("http://www.windermere.com/index.cfm?fuseaction=Listing.ListingDetail&amp;ListingID=19481624","Active")</f>
        <v>Active</v>
      </c>
      <c r="D572" t="s">
        <v>109</v>
      </c>
      <c r="E572" t="s">
        <v>1683</v>
      </c>
      <c r="F572" s="10">
        <v>459950</v>
      </c>
      <c r="G572" t="s">
        <v>247</v>
      </c>
      <c r="H572" s="1">
        <v>1586</v>
      </c>
      <c r="J572">
        <v>3</v>
      </c>
      <c r="K572">
        <v>2.25</v>
      </c>
      <c r="M572" s="2" t="str">
        <f>HYPERLINK("http://www.windermere.com/index.cfm?fuseaction=Listing.MapPropertyInteractive&amp;ListingID=19481624&amp;resize=true&amp;windowWidth=800&amp;windowHeight=600","Map")</f>
        <v>Map</v>
      </c>
      <c r="O572" s="2" t="str">
        <f>HYPERLINK("http://www.windermere.com/index.cfm?fuseaction=Listing.MultiImageViewer&amp;ListingID=19481624&amp;ln=28038040&amp;pub_mls=1","More")</f>
        <v>More</v>
      </c>
      <c r="P572" t="s">
        <v>44</v>
      </c>
      <c r="AI572" t="s">
        <v>66</v>
      </c>
      <c r="AJ572">
        <v>98103</v>
      </c>
      <c r="AS572" t="s">
        <v>1684</v>
      </c>
      <c r="AT572">
        <v>19481624</v>
      </c>
      <c r="AU572" s="7">
        <v>39511</v>
      </c>
      <c r="BB572" t="s">
        <v>912</v>
      </c>
    </row>
    <row r="573" spans="1:54">
      <c r="A573">
        <v>28037681</v>
      </c>
      <c r="B573" s="4" t="str">
        <f>HYPERLINK("http://www.windermere.com/index.cfm?fuseaction=Listing.ListingDetail&amp;ListingID=19481946","Subject To Inspection")</f>
        <v>Subject To Inspection</v>
      </c>
      <c r="D573" t="s">
        <v>192</v>
      </c>
      <c r="E573" t="s">
        <v>1685</v>
      </c>
      <c r="F573" s="10">
        <v>484000</v>
      </c>
      <c r="G573" t="s">
        <v>208</v>
      </c>
      <c r="H573" s="1">
        <v>1840</v>
      </c>
      <c r="I573">
        <v>5580</v>
      </c>
      <c r="J573">
        <v>4</v>
      </c>
      <c r="K573">
        <v>1.75</v>
      </c>
      <c r="M573" s="2" t="str">
        <f>HYPERLINK("http://www.windermere.com/index.cfm?fuseaction=Listing.MapPropertyInteractive&amp;ListingID=19481946&amp;resize=true&amp;windowWidth=800&amp;windowHeight=600","Map")</f>
        <v>Map</v>
      </c>
      <c r="O573" s="2" t="str">
        <f>HYPERLINK("http://www.windermere.com/index.cfm?fuseaction=Listing.MultiImageViewer&amp;ListingID=19481946&amp;ln=28037681&amp;pub_mls=1","More")</f>
        <v>More</v>
      </c>
      <c r="AI573" t="s">
        <v>66</v>
      </c>
      <c r="AJ573">
        <v>98115</v>
      </c>
      <c r="AS573" t="s">
        <v>1686</v>
      </c>
      <c r="AT573">
        <v>19481946</v>
      </c>
      <c r="AU573" s="7">
        <v>39511</v>
      </c>
      <c r="BB573" t="s">
        <v>912</v>
      </c>
    </row>
    <row r="574" spans="1:54">
      <c r="A574">
        <v>28024725</v>
      </c>
      <c r="B574" s="2" t="str">
        <f>HYPERLINK("http://www.windermere.com/index.cfm?fuseaction=Listing.ListingDetail&amp;ListingID=19349974","Active")</f>
        <v>Active</v>
      </c>
      <c r="D574" t="s">
        <v>88</v>
      </c>
      <c r="E574" t="s">
        <v>1687</v>
      </c>
      <c r="F574" s="10">
        <v>499950</v>
      </c>
      <c r="G574" t="s">
        <v>247</v>
      </c>
      <c r="H574" s="1">
        <v>1694</v>
      </c>
      <c r="J574">
        <v>2</v>
      </c>
      <c r="K574">
        <v>2.5</v>
      </c>
      <c r="M574" s="2" t="str">
        <f>HYPERLINK("http://www.windermere.com/index.cfm?fuseaction=Listing.MapPropertyInteractive&amp;ListingID=19349974&amp;resize=true&amp;windowWidth=800&amp;windowHeight=600","Map")</f>
        <v>Map</v>
      </c>
      <c r="O574" s="2" t="str">
        <f>HYPERLINK("http://www.windermere.com/index.cfm?fuseaction=Listing.MultiImageViewer&amp;ListingID=19349974&amp;ln=28024725&amp;pub_mls=1","More")</f>
        <v>More</v>
      </c>
      <c r="P574" t="s">
        <v>44</v>
      </c>
      <c r="AI574" t="s">
        <v>66</v>
      </c>
      <c r="AJ574">
        <v>98103</v>
      </c>
      <c r="AS574" t="s">
        <v>1688</v>
      </c>
      <c r="AT574">
        <v>19349974</v>
      </c>
      <c r="AU574" s="7">
        <v>39511</v>
      </c>
      <c r="BB574" t="s">
        <v>912</v>
      </c>
    </row>
    <row r="575" spans="1:54">
      <c r="A575">
        <v>28036929</v>
      </c>
      <c r="B575" s="4" t="str">
        <f>HYPERLINK("http://www.windermere.com/index.cfm?fuseaction=Listing.ListingDetail&amp;ListingID=19483532","Active")</f>
        <v>Active</v>
      </c>
      <c r="D575" t="s">
        <v>1689</v>
      </c>
      <c r="E575" t="s">
        <v>1690</v>
      </c>
      <c r="F575" s="10">
        <v>500000</v>
      </c>
      <c r="G575" t="s">
        <v>419</v>
      </c>
      <c r="H575" s="1">
        <v>1590</v>
      </c>
      <c r="I575">
        <v>7310</v>
      </c>
      <c r="J575">
        <v>3</v>
      </c>
      <c r="K575">
        <v>1.5</v>
      </c>
      <c r="M575" s="2" t="str">
        <f>HYPERLINK("http://www.windermere.com/index.cfm?fuseaction=Listing.MapPropertyInteractive&amp;ListingID=19483532&amp;resize=true&amp;windowWidth=800&amp;windowHeight=600","Map")</f>
        <v>Map</v>
      </c>
      <c r="O575" s="2" t="str">
        <f>HYPERLINK("http://www.windermere.com/index.cfm?fuseaction=viewGallery.Home&amp;customTourID=209652&amp;wvt=0","More")</f>
        <v>More</v>
      </c>
      <c r="P575" t="s">
        <v>44</v>
      </c>
      <c r="AI575" t="s">
        <v>66</v>
      </c>
      <c r="AJ575">
        <v>98177</v>
      </c>
      <c r="AS575" t="s">
        <v>1691</v>
      </c>
      <c r="AT575">
        <v>19483532</v>
      </c>
      <c r="AU575" s="7">
        <v>39511</v>
      </c>
      <c r="BB575" t="s">
        <v>912</v>
      </c>
    </row>
    <row r="576" spans="1:54">
      <c r="A576">
        <v>28037233</v>
      </c>
      <c r="B576" s="2" t="str">
        <f>HYPERLINK("http://www.windermere.com/index.cfm?fuseaction=Listing.ListingDetail&amp;ListingID=19474572","Active")</f>
        <v>Active</v>
      </c>
      <c r="D576" t="s">
        <v>101</v>
      </c>
      <c r="E576" t="s">
        <v>1692</v>
      </c>
      <c r="F576" s="10">
        <v>529950</v>
      </c>
      <c r="G576" t="s">
        <v>132</v>
      </c>
      <c r="J576">
        <v>3</v>
      </c>
      <c r="K576">
        <v>1.75</v>
      </c>
      <c r="M576" s="2" t="str">
        <f>HYPERLINK("http://www.windermere.com/index.cfm?fuseaction=Listing.MapPropertyInteractive&amp;ListingID=19474572&amp;resize=true&amp;windowWidth=800&amp;windowHeight=600","Map")</f>
        <v>Map</v>
      </c>
      <c r="O576" s="2" t="str">
        <f>HYPERLINK("http://www.windermere.com/index.cfm?fuseaction=viewGallery.Home&amp;customTourID=209406&amp;wvt=0","More")</f>
        <v>More</v>
      </c>
      <c r="P576" t="s">
        <v>44</v>
      </c>
      <c r="AI576" t="s">
        <v>66</v>
      </c>
      <c r="AJ576">
        <v>98117</v>
      </c>
      <c r="AS576" t="s">
        <v>1693</v>
      </c>
      <c r="AT576">
        <v>19474572</v>
      </c>
      <c r="AU576" s="7">
        <v>39511</v>
      </c>
      <c r="BB576" t="s">
        <v>912</v>
      </c>
    </row>
    <row r="577" spans="1:54">
      <c r="A577">
        <v>28038271</v>
      </c>
      <c r="B577" s="2" t="str">
        <f>HYPERLINK("http://www.windermere.com/index.cfm?fuseaction=Listing.ListingDetail&amp;ListingID=19483265","Active")</f>
        <v>Active</v>
      </c>
      <c r="D577" t="s">
        <v>101</v>
      </c>
      <c r="E577" t="s">
        <v>1478</v>
      </c>
      <c r="F577" s="10">
        <v>549950</v>
      </c>
      <c r="G577" t="s">
        <v>1423</v>
      </c>
      <c r="H577" s="1">
        <v>2090</v>
      </c>
      <c r="I577">
        <v>7800</v>
      </c>
      <c r="J577">
        <v>4</v>
      </c>
      <c r="K577">
        <v>3</v>
      </c>
      <c r="M577" s="2" t="str">
        <f>HYPERLINK("http://www.windermere.com/index.cfm?fuseaction=Listing.MapPropertyInteractive&amp;ListingID=19483265&amp;resize=true&amp;windowWidth=800&amp;windowHeight=600","Map")</f>
        <v>Map</v>
      </c>
      <c r="O577" s="2" t="str">
        <f>HYPERLINK("http://www.windermere.com/index.cfm?fuseaction=Listing.MultiImageViewer&amp;ListingID=19483265&amp;ln=28038271&amp;pub_mls=1","More")</f>
        <v>More</v>
      </c>
      <c r="P577" t="s">
        <v>44</v>
      </c>
      <c r="AI577" t="s">
        <v>66</v>
      </c>
      <c r="AJ577">
        <v>98117</v>
      </c>
      <c r="AS577" t="s">
        <v>1694</v>
      </c>
      <c r="AT577">
        <v>19483265</v>
      </c>
      <c r="AU577" s="7">
        <v>39511</v>
      </c>
      <c r="BB577" t="s">
        <v>912</v>
      </c>
    </row>
    <row r="578" spans="1:54">
      <c r="A578">
        <v>28037307</v>
      </c>
      <c r="B578" s="2" t="str">
        <f>HYPERLINK("http://www.windermere.com/index.cfm?fuseaction=Listing.ListingDetail&amp;ListingID=19474882","Active")</f>
        <v>Active</v>
      </c>
      <c r="D578" t="s">
        <v>99</v>
      </c>
      <c r="E578" t="s">
        <v>1695</v>
      </c>
      <c r="F578" s="10">
        <v>550000</v>
      </c>
      <c r="G578" t="s">
        <v>168</v>
      </c>
      <c r="H578" s="1">
        <v>1770</v>
      </c>
      <c r="I578">
        <v>6804</v>
      </c>
      <c r="J578">
        <v>3</v>
      </c>
      <c r="K578">
        <v>1.75</v>
      </c>
      <c r="M578" s="2" t="str">
        <f>HYPERLINK("http://www.windermere.com/index.cfm?fuseaction=Listing.MapPropertyInteractive&amp;ListingID=19474882&amp;resize=true&amp;windowWidth=800&amp;windowHeight=600","Map")</f>
        <v>Map</v>
      </c>
      <c r="O578" s="2" t="str">
        <f>HYPERLINK("http://www.windermere.com/index.cfm?fuseaction=viewGallery.Home&amp;customTourID=209356&amp;wvt=0","More")</f>
        <v>More</v>
      </c>
      <c r="P578" t="s">
        <v>44</v>
      </c>
      <c r="AI578" t="s">
        <v>66</v>
      </c>
      <c r="AJ578">
        <v>98117</v>
      </c>
      <c r="AS578" t="s">
        <v>1696</v>
      </c>
      <c r="AT578">
        <v>19474882</v>
      </c>
      <c r="AU578" s="7">
        <v>39511</v>
      </c>
      <c r="BB578" t="s">
        <v>912</v>
      </c>
    </row>
    <row r="579" spans="1:54">
      <c r="A579">
        <v>28036972</v>
      </c>
      <c r="B579" s="4" t="str">
        <f>HYPERLINK("http://www.windermere.com/index.cfm?fuseaction=Listing.ListingDetail&amp;ListingID=19473103","Active")</f>
        <v>Active</v>
      </c>
      <c r="D579" t="s">
        <v>1698</v>
      </c>
      <c r="E579" t="s">
        <v>1699</v>
      </c>
      <c r="F579" s="10">
        <v>625000</v>
      </c>
      <c r="G579" t="s">
        <v>130</v>
      </c>
      <c r="H579" s="1">
        <v>2040</v>
      </c>
      <c r="I579">
        <v>3880</v>
      </c>
      <c r="J579">
        <v>3</v>
      </c>
      <c r="K579">
        <v>1.75</v>
      </c>
      <c r="M579" s="2" t="str">
        <f>HYPERLINK("http://www.windermere.com/index.cfm?fuseaction=Listing.MapPropertyInteractive&amp;ListingID=19473103&amp;resize=true&amp;windowWidth=800&amp;windowHeight=600","Map")</f>
        <v>Map</v>
      </c>
      <c r="O579" s="2" t="str">
        <f>HYPERLINK("http://www.windermere.com/index.cfm?fuseaction=viewGallery.Home&amp;customTourID=195017&amp;wvt=0","More")</f>
        <v>More</v>
      </c>
      <c r="AI579" t="s">
        <v>66</v>
      </c>
      <c r="AJ579">
        <v>98117</v>
      </c>
      <c r="AS579" t="s">
        <v>1700</v>
      </c>
      <c r="AT579">
        <v>19473103</v>
      </c>
      <c r="AU579" s="7">
        <v>39511</v>
      </c>
      <c r="BB579" t="s">
        <v>912</v>
      </c>
    </row>
    <row r="580" spans="1:54">
      <c r="A580">
        <v>28037711</v>
      </c>
      <c r="B580" s="4" t="str">
        <f>HYPERLINK("http://www.windermere.com/index.cfm?fuseaction=Listing.ListingDetail&amp;ListingID=19476401","Subject To Inspection")</f>
        <v>Subject To Inspection</v>
      </c>
      <c r="D580" t="s">
        <v>88</v>
      </c>
      <c r="E580" t="s">
        <v>1701</v>
      </c>
      <c r="F580" s="10">
        <v>689950</v>
      </c>
      <c r="G580" t="s">
        <v>170</v>
      </c>
      <c r="H580" s="1">
        <v>2306</v>
      </c>
      <c r="I580">
        <v>3750</v>
      </c>
      <c r="J580">
        <v>5</v>
      </c>
      <c r="K580">
        <v>2.75</v>
      </c>
      <c r="M580" s="2" t="str">
        <f>HYPERLINK("http://www.windermere.com/index.cfm?fuseaction=Listing.MapPropertyInteractive&amp;ListingID=19476401&amp;resize=true&amp;windowWidth=800&amp;windowHeight=600","Map")</f>
        <v>Map</v>
      </c>
      <c r="O580" s="2" t="str">
        <f>HYPERLINK("http://www.windermere.com/index.cfm?fuseaction=viewGallery.Home&amp;customTourID=209568&amp;wvt=0","More")</f>
        <v>More</v>
      </c>
      <c r="P580" t="s">
        <v>44</v>
      </c>
      <c r="AI580" t="s">
        <v>66</v>
      </c>
      <c r="AJ580">
        <v>98117</v>
      </c>
      <c r="AS580" t="s">
        <v>1702</v>
      </c>
      <c r="AT580">
        <v>19476401</v>
      </c>
      <c r="AU580" s="7">
        <v>39511</v>
      </c>
      <c r="BB580" t="s">
        <v>912</v>
      </c>
    </row>
    <row r="581" spans="1:54">
      <c r="A581">
        <v>28037738</v>
      </c>
      <c r="B581" s="2" t="str">
        <f>HYPERLINK("http://www.windermere.com/index.cfm?fuseaction=Listing.ListingDetail&amp;ListingID=19476688","Active")</f>
        <v>Active</v>
      </c>
      <c r="D581" t="s">
        <v>101</v>
      </c>
      <c r="E581" t="s">
        <v>1277</v>
      </c>
      <c r="F581" s="10">
        <v>849950</v>
      </c>
      <c r="G581" t="s">
        <v>176</v>
      </c>
      <c r="H581" s="1">
        <v>2878</v>
      </c>
      <c r="I581">
        <v>21344</v>
      </c>
      <c r="J581">
        <v>4</v>
      </c>
      <c r="K581">
        <v>2.75</v>
      </c>
      <c r="M581" s="2" t="str">
        <f>HYPERLINK("http://www.windermere.com/index.cfm?fuseaction=Listing.MapPropertyInteractive&amp;ListingID=19476688&amp;resize=true&amp;windowWidth=800&amp;windowHeight=600","Map")</f>
        <v>Map</v>
      </c>
      <c r="O581" s="2" t="str">
        <f>HYPERLINK("http://www.windermere.com/index.cfm?fuseaction=Listing.MultiImageViewer&amp;ListingID=19476688&amp;ln=28037738&amp;pub_mls=1","More")</f>
        <v>More</v>
      </c>
      <c r="P581" t="s">
        <v>44</v>
      </c>
      <c r="AI581" t="s">
        <v>66</v>
      </c>
      <c r="AJ581">
        <v>98117</v>
      </c>
      <c r="AS581" t="s">
        <v>1703</v>
      </c>
      <c r="AT581">
        <v>19476688</v>
      </c>
      <c r="AU581" s="7">
        <v>39511</v>
      </c>
      <c r="BB581" t="s">
        <v>912</v>
      </c>
    </row>
    <row r="582" spans="1:54">
      <c r="A582">
        <v>28034938</v>
      </c>
      <c r="B582" s="2" t="str">
        <f>HYPERLINK("http://www.windermere.com/index.cfm?fuseaction=Listing.ListingDetail&amp;ListingID=19490488","Active")</f>
        <v>Active</v>
      </c>
      <c r="D582" t="s">
        <v>204</v>
      </c>
      <c r="E582" t="s">
        <v>1705</v>
      </c>
      <c r="F582" s="10">
        <v>349950</v>
      </c>
      <c r="G582" t="s">
        <v>247</v>
      </c>
      <c r="H582" s="1">
        <v>1276</v>
      </c>
      <c r="I582">
        <v>7630</v>
      </c>
      <c r="J582">
        <v>3</v>
      </c>
      <c r="K582">
        <v>2.5</v>
      </c>
      <c r="M582" s="2" t="str">
        <f>HYPERLINK("http://www.windermere.com/index.cfm?fuseaction=Listing.MapPropertyInteractive&amp;ListingID=19490488&amp;resize=true&amp;windowWidth=800&amp;windowHeight=600","Map")</f>
        <v>Map</v>
      </c>
      <c r="O582" s="2" t="str">
        <f>HYPERLINK("http://www.windermere.com/index.cfm?fuseaction=Listing.MultiImageViewer&amp;ListingID=19490488&amp;ln=28034938&amp;pub_mls=1","More")</f>
        <v>More</v>
      </c>
      <c r="AI582" t="s">
        <v>66</v>
      </c>
      <c r="AJ582">
        <v>98155</v>
      </c>
      <c r="AS582" t="s">
        <v>1706</v>
      </c>
      <c r="AT582">
        <v>19490488</v>
      </c>
      <c r="AU582" s="7">
        <v>39512</v>
      </c>
      <c r="BB582" t="s">
        <v>912</v>
      </c>
    </row>
    <row r="583" spans="1:54">
      <c r="A583">
        <v>28034936</v>
      </c>
      <c r="B583" s="2" t="str">
        <f>HYPERLINK("http://www.windermere.com/index.cfm?fuseaction=Listing.ListingDetail&amp;ListingID=19490971","Active")</f>
        <v>Active</v>
      </c>
      <c r="D583" t="s">
        <v>204</v>
      </c>
      <c r="E583" t="s">
        <v>1707</v>
      </c>
      <c r="F583" s="10">
        <v>356950</v>
      </c>
      <c r="G583" t="s">
        <v>247</v>
      </c>
      <c r="H583" s="1">
        <v>1339</v>
      </c>
      <c r="I583">
        <v>7630</v>
      </c>
      <c r="J583">
        <v>3</v>
      </c>
      <c r="K583">
        <v>3</v>
      </c>
      <c r="M583" s="2" t="str">
        <f>HYPERLINK("http://www.windermere.com/index.cfm?fuseaction=Listing.MapPropertyInteractive&amp;ListingID=19490971&amp;resize=true&amp;windowWidth=800&amp;windowHeight=600","Map")</f>
        <v>Map</v>
      </c>
      <c r="O583" s="2" t="str">
        <f>HYPERLINK("http://www.windermere.com/index.cfm?fuseaction=Listing.MultiImageViewer&amp;ListingID=19490971&amp;ln=28034936&amp;pub_mls=1","More")</f>
        <v>More</v>
      </c>
      <c r="AI583" t="s">
        <v>66</v>
      </c>
      <c r="AJ583">
        <v>98155</v>
      </c>
      <c r="AS583" t="s">
        <v>1708</v>
      </c>
      <c r="AT583">
        <v>19490971</v>
      </c>
      <c r="AU583" s="7">
        <v>39512</v>
      </c>
      <c r="BB583" t="s">
        <v>912</v>
      </c>
    </row>
    <row r="584" spans="1:54">
      <c r="A584">
        <v>28034930</v>
      </c>
      <c r="B584" s="2" t="str">
        <f>HYPERLINK("http://www.windermere.com/index.cfm?fuseaction=Listing.ListingDetail&amp;ListingID=19491052","Active")</f>
        <v>Active</v>
      </c>
      <c r="D584" t="s">
        <v>204</v>
      </c>
      <c r="E584" t="s">
        <v>1709</v>
      </c>
      <c r="F584" s="10">
        <v>358950</v>
      </c>
      <c r="G584" t="s">
        <v>247</v>
      </c>
      <c r="H584" s="1">
        <v>1304</v>
      </c>
      <c r="I584">
        <v>7630</v>
      </c>
      <c r="J584">
        <v>3</v>
      </c>
      <c r="K584">
        <v>3</v>
      </c>
      <c r="M584" s="2" t="str">
        <f>HYPERLINK("http://www.windermere.com/index.cfm?fuseaction=Listing.MapPropertyInteractive&amp;ListingID=19491052&amp;resize=true&amp;windowWidth=800&amp;windowHeight=600","Map")</f>
        <v>Map</v>
      </c>
      <c r="O584" s="2" t="str">
        <f>HYPERLINK("http://www.windermere.com/index.cfm?fuseaction=Listing.MultiImageViewer&amp;ListingID=19491052&amp;ln=28034930&amp;pub_mls=1","More")</f>
        <v>More</v>
      </c>
      <c r="AI584" t="s">
        <v>66</v>
      </c>
      <c r="AJ584">
        <v>98125</v>
      </c>
      <c r="AS584" t="s">
        <v>1710</v>
      </c>
      <c r="AT584">
        <v>19491052</v>
      </c>
      <c r="AU584" s="7">
        <v>39512</v>
      </c>
      <c r="BB584" t="s">
        <v>912</v>
      </c>
    </row>
    <row r="585" spans="1:54">
      <c r="A585">
        <v>28039366</v>
      </c>
      <c r="B585" s="4" t="str">
        <f>HYPERLINK("http://www.windermere.com/index.cfm?fuseaction=Listing.ListingDetail&amp;ListingID=19490969","Subject To Inspection")</f>
        <v>Subject To Inspection</v>
      </c>
      <c r="D585" t="s">
        <v>920</v>
      </c>
      <c r="E585" t="s">
        <v>1711</v>
      </c>
      <c r="F585" s="18">
        <v>355000</v>
      </c>
      <c r="G585" t="s">
        <v>147</v>
      </c>
      <c r="H585" s="1">
        <v>1477</v>
      </c>
      <c r="J585">
        <v>3</v>
      </c>
      <c r="K585">
        <v>2.5</v>
      </c>
      <c r="M585" s="2" t="str">
        <f>HYPERLINK("http://www.windermere.com/index.cfm?fuseaction=Listing.MapPropertyInteractive&amp;ListingID=19490969&amp;resize=true&amp;windowWidth=800&amp;windowHeight=600","Map")</f>
        <v>Map</v>
      </c>
      <c r="O585" s="2" t="str">
        <f>HYPERLINK("http://www.windermere.com/index.cfm?fuseaction=Listing.MultiImageViewer&amp;ListingID=19490969&amp;ln=28039366&amp;pub_mls=1","More")</f>
        <v>More</v>
      </c>
      <c r="AI585" t="s">
        <v>66</v>
      </c>
      <c r="AJ585">
        <v>98133</v>
      </c>
      <c r="AS585" t="s">
        <v>1712</v>
      </c>
      <c r="AT585">
        <v>19490969</v>
      </c>
      <c r="AU585" s="7">
        <v>39512</v>
      </c>
      <c r="BB585" t="s">
        <v>912</v>
      </c>
    </row>
    <row r="586" spans="1:54">
      <c r="A586">
        <v>28038374</v>
      </c>
      <c r="B586" s="2" t="str">
        <f>HYPERLINK("http://www.windermere.com/index.cfm?fuseaction=Listing.ListingDetail&amp;ListingID=19487302","Active")</f>
        <v>Active</v>
      </c>
      <c r="D586" t="s">
        <v>66</v>
      </c>
      <c r="E586" t="s">
        <v>1713</v>
      </c>
      <c r="F586" s="10">
        <v>389900</v>
      </c>
      <c r="G586" t="s">
        <v>176</v>
      </c>
      <c r="H586" s="1">
        <v>1680</v>
      </c>
      <c r="I586">
        <v>5442</v>
      </c>
      <c r="J586">
        <v>3</v>
      </c>
      <c r="K586">
        <v>2</v>
      </c>
      <c r="M586" s="2" t="str">
        <f>HYPERLINK("http://www.windermere.com/index.cfm?fuseaction=Listing.MapPropertyInteractive&amp;ListingID=19487302&amp;resize=true&amp;windowWidth=800&amp;windowHeight=600","Map")</f>
        <v>Map</v>
      </c>
      <c r="O586" s="2" t="str">
        <f>HYPERLINK("http://www.windermere.com/index.cfm?fuseaction=Listing.MultiImageViewer&amp;ListingID=19487302&amp;ln=28038374&amp;pub_mls=1","More")</f>
        <v>More</v>
      </c>
      <c r="AI586" t="s">
        <v>66</v>
      </c>
      <c r="AJ586">
        <v>98133</v>
      </c>
      <c r="AS586" t="s">
        <v>1714</v>
      </c>
      <c r="AT586">
        <v>19487302</v>
      </c>
      <c r="AU586" s="7">
        <v>39512</v>
      </c>
      <c r="BB586" t="s">
        <v>912</v>
      </c>
    </row>
    <row r="587" spans="1:54">
      <c r="A587">
        <v>28038196</v>
      </c>
      <c r="B587" s="2" t="str">
        <f>HYPERLINK("http://www.windermere.com/index.cfm?fuseaction=Listing.ListingDetail&amp;ListingID=19488408","Active")</f>
        <v>Active</v>
      </c>
      <c r="D587" t="s">
        <v>42</v>
      </c>
      <c r="E587" t="s">
        <v>1715</v>
      </c>
      <c r="F587" s="10">
        <v>390000</v>
      </c>
      <c r="G587" t="s">
        <v>137</v>
      </c>
      <c r="I587">
        <v>8160</v>
      </c>
      <c r="J587">
        <v>3</v>
      </c>
      <c r="K587">
        <v>1</v>
      </c>
      <c r="M587" s="2" t="str">
        <f>HYPERLINK("http://www.windermere.com/index.cfm?fuseaction=Listing.MapPropertyInteractive&amp;ListingID=19488408&amp;resize=true&amp;windowWidth=800&amp;windowHeight=600","Map")</f>
        <v>Map</v>
      </c>
      <c r="O587" s="2" t="str">
        <f>HYPERLINK("http://www.windermere.com/index.cfm?fuseaction=Listing.MultiImageViewer&amp;ListingID=19488408&amp;ln=28038196&amp;pub_mls=1","More")</f>
        <v>More</v>
      </c>
      <c r="AI587" t="s">
        <v>66</v>
      </c>
      <c r="AJ587">
        <v>98125</v>
      </c>
      <c r="AS587" t="s">
        <v>1716</v>
      </c>
      <c r="AT587">
        <v>19488408</v>
      </c>
      <c r="AU587" s="7">
        <v>39512</v>
      </c>
      <c r="BB587" t="s">
        <v>912</v>
      </c>
    </row>
    <row r="588" spans="1:54">
      <c r="A588">
        <v>28038859</v>
      </c>
      <c r="B588" s="2" t="str">
        <f>HYPERLINK("http://www.windermere.com/index.cfm?fuseaction=Listing.ListingDetail&amp;ListingID=19488725","Active")</f>
        <v>Active</v>
      </c>
      <c r="D588" t="s">
        <v>194</v>
      </c>
      <c r="E588" t="s">
        <v>1365</v>
      </c>
      <c r="F588" s="10">
        <v>399000</v>
      </c>
      <c r="G588" t="s">
        <v>161</v>
      </c>
      <c r="H588" s="1">
        <v>2030</v>
      </c>
      <c r="I588">
        <v>5209</v>
      </c>
      <c r="J588">
        <v>3</v>
      </c>
      <c r="K588">
        <v>1.75</v>
      </c>
      <c r="M588" s="2" t="str">
        <f>HYPERLINK("http://www.windermere.com/index.cfm?fuseaction=Listing.MapPropertyInteractive&amp;ListingID=19488725&amp;resize=true&amp;windowWidth=800&amp;windowHeight=600","Map")</f>
        <v>Map</v>
      </c>
      <c r="O588" s="2" t="str">
        <f>HYPERLINK("http://www.windermere.com/index.cfm?fuseaction=viewGallery.Home&amp;customTourID=205644&amp;wvt=0","More")</f>
        <v>More</v>
      </c>
      <c r="AI588" t="s">
        <v>66</v>
      </c>
      <c r="AJ588">
        <v>98115</v>
      </c>
      <c r="AS588" t="s">
        <v>1717</v>
      </c>
      <c r="AT588">
        <v>19488725</v>
      </c>
      <c r="AU588" s="7">
        <v>39512</v>
      </c>
      <c r="BB588" t="s">
        <v>912</v>
      </c>
    </row>
    <row r="589" spans="1:54">
      <c r="A589">
        <v>28034909</v>
      </c>
      <c r="B589" s="2" t="str">
        <f>HYPERLINK("http://www.windermere.com/index.cfm?fuseaction=Listing.ListingDetail&amp;ListingID=19490066","Active")</f>
        <v>Active</v>
      </c>
      <c r="D589" t="s">
        <v>204</v>
      </c>
      <c r="E589" t="s">
        <v>1718</v>
      </c>
      <c r="F589" s="10">
        <v>399950</v>
      </c>
      <c r="G589" t="s">
        <v>147</v>
      </c>
      <c r="H589" s="1">
        <v>1470</v>
      </c>
      <c r="I589">
        <v>7630</v>
      </c>
      <c r="J589">
        <v>3</v>
      </c>
      <c r="K589">
        <v>3</v>
      </c>
      <c r="M589" s="2" t="str">
        <f>HYPERLINK("http://www.windermere.com/index.cfm?fuseaction=Listing.MapPropertyInteractive&amp;ListingID=19490066&amp;resize=true&amp;windowWidth=800&amp;windowHeight=600","Map")</f>
        <v>Map</v>
      </c>
      <c r="O589" s="2" t="str">
        <f>HYPERLINK("http://www.windermere.com/index.cfm?fuseaction=Listing.MultiImageViewer&amp;ListingID=19490066&amp;ln=28034909&amp;pub_mls=1","More")</f>
        <v>More</v>
      </c>
      <c r="AI589" t="s">
        <v>66</v>
      </c>
      <c r="AJ589">
        <v>98125</v>
      </c>
      <c r="AS589" t="s">
        <v>1719</v>
      </c>
      <c r="AT589">
        <v>19490066</v>
      </c>
      <c r="AU589" s="7">
        <v>39512</v>
      </c>
      <c r="BB589" t="s">
        <v>912</v>
      </c>
    </row>
    <row r="590" spans="1:54">
      <c r="A590">
        <v>28038695</v>
      </c>
      <c r="B590" s="2" t="str">
        <f>HYPERLINK("http://www.windermere.com/index.cfm?fuseaction=Listing.ListingDetail&amp;ListingID=19488201","Active")</f>
        <v>Active</v>
      </c>
      <c r="D590" t="s">
        <v>55</v>
      </c>
      <c r="E590" t="s">
        <v>1720</v>
      </c>
      <c r="F590" s="10">
        <v>400000</v>
      </c>
      <c r="G590" t="s">
        <v>129</v>
      </c>
      <c r="H590">
        <v>970</v>
      </c>
      <c r="I590">
        <v>7650</v>
      </c>
      <c r="J590">
        <v>2</v>
      </c>
      <c r="K590">
        <v>1</v>
      </c>
      <c r="M590" s="2" t="str">
        <f>HYPERLINK("http://www.windermere.com/index.cfm?fuseaction=Listing.MapPropertyInteractive&amp;ListingID=19488201&amp;resize=true&amp;windowWidth=800&amp;windowHeight=600","Map")</f>
        <v>Map</v>
      </c>
      <c r="O590" s="2" t="str">
        <f>HYPERLINK("http://www.windermere.com/index.cfm?fuseaction=Listing.MultiImageViewer&amp;ListingID=19488201&amp;ln=28038695&amp;pub_mls=1","More")</f>
        <v>More</v>
      </c>
      <c r="AI590" t="s">
        <v>66</v>
      </c>
      <c r="AJ590">
        <v>98133</v>
      </c>
      <c r="AS590" t="s">
        <v>1721</v>
      </c>
      <c r="AT590">
        <v>19488201</v>
      </c>
      <c r="AU590" s="7">
        <v>39512</v>
      </c>
      <c r="BB590" t="s">
        <v>912</v>
      </c>
    </row>
    <row r="591" spans="1:54">
      <c r="A591">
        <v>28038795</v>
      </c>
      <c r="B591" s="2" t="str">
        <f>HYPERLINK("http://www.windermere.com/index.cfm?fuseaction=Listing.ListingDetail&amp;ListingID=19488504","Active")</f>
        <v>Active</v>
      </c>
      <c r="D591" t="s">
        <v>63</v>
      </c>
      <c r="E591" t="s">
        <v>1722</v>
      </c>
      <c r="F591" s="10">
        <v>429950</v>
      </c>
      <c r="G591" t="s">
        <v>247</v>
      </c>
      <c r="H591" s="1">
        <v>1211</v>
      </c>
      <c r="J591">
        <v>3</v>
      </c>
      <c r="K591">
        <v>1.5</v>
      </c>
      <c r="M591" s="2" t="str">
        <f>HYPERLINK("http://www.windermere.com/index.cfm?fuseaction=Listing.MapPropertyInteractive&amp;ListingID=19488504&amp;resize=true&amp;windowWidth=800&amp;windowHeight=600","Map")</f>
        <v>Map</v>
      </c>
      <c r="AI591" t="s">
        <v>66</v>
      </c>
      <c r="AJ591">
        <v>98107</v>
      </c>
      <c r="AS591" t="s">
        <v>1723</v>
      </c>
      <c r="AT591">
        <v>19488504</v>
      </c>
      <c r="AU591" s="7">
        <v>39512</v>
      </c>
      <c r="BB591" t="s">
        <v>912</v>
      </c>
    </row>
    <row r="592" spans="1:54">
      <c r="A592">
        <v>28039260</v>
      </c>
      <c r="B592" s="2" t="str">
        <f>HYPERLINK("http://www.windermere.com/index.cfm?fuseaction=Listing.ListingDetail&amp;ListingID=19490600","Active")</f>
        <v>Active</v>
      </c>
      <c r="D592" t="s">
        <v>55</v>
      </c>
      <c r="E592" t="s">
        <v>1724</v>
      </c>
      <c r="F592" s="10">
        <v>490000</v>
      </c>
      <c r="G592" t="s">
        <v>137</v>
      </c>
      <c r="J592">
        <v>4</v>
      </c>
      <c r="K592">
        <v>1.5</v>
      </c>
      <c r="M592" s="2" t="str">
        <f>HYPERLINK("http://www.windermere.com/index.cfm?fuseaction=Listing.MapPropertyInteractive&amp;ListingID=19490600&amp;resize=true&amp;windowWidth=800&amp;windowHeight=600","Map")</f>
        <v>Map</v>
      </c>
      <c r="O592" s="2" t="str">
        <f>HYPERLINK("http://www.windermere.com/index.cfm?fuseaction=Listing.MultiImageViewer&amp;ListingID=19490600&amp;ln=28039260&amp;pub_mls=1","More")</f>
        <v>More</v>
      </c>
      <c r="AI592" t="s">
        <v>66</v>
      </c>
      <c r="AJ592">
        <v>98117</v>
      </c>
      <c r="AS592" t="s">
        <v>1725</v>
      </c>
      <c r="AT592">
        <v>19490600</v>
      </c>
      <c r="AU592" s="7">
        <v>39512</v>
      </c>
      <c r="BB592" t="s">
        <v>912</v>
      </c>
    </row>
    <row r="593" spans="1:54">
      <c r="A593">
        <v>28022907</v>
      </c>
      <c r="B593" s="2" t="str">
        <f>HYPERLINK("http://www.windermere.com/index.cfm?fuseaction=Listing.ListingDetail&amp;ListingID=19336506","Active")</f>
        <v>Active</v>
      </c>
      <c r="D593" t="s">
        <v>192</v>
      </c>
      <c r="E593" t="s">
        <v>1726</v>
      </c>
      <c r="F593" s="10">
        <v>499000</v>
      </c>
      <c r="G593" t="s">
        <v>156</v>
      </c>
      <c r="H593" s="1">
        <v>2720</v>
      </c>
      <c r="I593">
        <v>6120</v>
      </c>
      <c r="J593">
        <v>3</v>
      </c>
      <c r="K593">
        <v>1.75</v>
      </c>
      <c r="M593" s="2" t="str">
        <f>HYPERLINK("http://www.windermere.com/index.cfm?fuseaction=Listing.MapPropertyInteractive&amp;ListingID=19336506&amp;resize=true&amp;windowWidth=800&amp;windowHeight=600","Map")</f>
        <v>Map</v>
      </c>
      <c r="O593" s="2" t="str">
        <f>HYPERLINK("http://www.windermere.com/index.cfm?fuseaction=Listing.MultiImageViewer&amp;ListingID=19336506&amp;ln=28022907&amp;pub_mls=1","More")</f>
        <v>More</v>
      </c>
      <c r="P593" t="s">
        <v>44</v>
      </c>
      <c r="AI593" t="s">
        <v>66</v>
      </c>
      <c r="AJ593">
        <v>98115</v>
      </c>
      <c r="AS593" t="s">
        <v>1727</v>
      </c>
      <c r="AT593">
        <v>19336506</v>
      </c>
      <c r="AU593" s="7">
        <v>39512</v>
      </c>
      <c r="BB593" t="s">
        <v>912</v>
      </c>
    </row>
    <row r="594" spans="1:54">
      <c r="A594">
        <v>28016505</v>
      </c>
      <c r="B594" s="2" t="str">
        <f>HYPERLINK("http://www.windermere.com/index.cfm?fuseaction=Listing.ListingDetail&amp;ListingID=19287281","Active")</f>
        <v>Active</v>
      </c>
      <c r="D594" t="s">
        <v>100</v>
      </c>
      <c r="E594" t="s">
        <v>1728</v>
      </c>
      <c r="F594" s="18">
        <v>489000</v>
      </c>
      <c r="G594" t="s">
        <v>674</v>
      </c>
      <c r="H594" s="1">
        <v>1630</v>
      </c>
      <c r="J594">
        <v>3</v>
      </c>
      <c r="K594">
        <v>2.5</v>
      </c>
      <c r="M594" s="2" t="str">
        <f>HYPERLINK("http://www.windermere.com/index.cfm?fuseaction=Listing.MapPropertyInteractive&amp;ListingID=19287281&amp;resize=true&amp;windowWidth=800&amp;windowHeight=600","Map")</f>
        <v>Map</v>
      </c>
      <c r="O594" s="2" t="str">
        <f>HYPERLINK("http://www.windermere.com/index.cfm?fuseaction=viewGallery.Home&amp;customTourID=205883&amp;wvt=0","More")</f>
        <v>More</v>
      </c>
      <c r="P594" t="s">
        <v>44</v>
      </c>
      <c r="AI594" t="s">
        <v>66</v>
      </c>
      <c r="AJ594">
        <v>98103</v>
      </c>
      <c r="AS594" t="s">
        <v>1729</v>
      </c>
      <c r="AT594">
        <v>19287281</v>
      </c>
      <c r="AU594" s="7">
        <v>39512</v>
      </c>
      <c r="BB594" t="s">
        <v>912</v>
      </c>
    </row>
    <row r="595" spans="1:54">
      <c r="A595">
        <v>28038798</v>
      </c>
      <c r="B595" s="2" t="str">
        <f>HYPERLINK("http://www.windermere.com/index.cfm?fuseaction=Listing.ListingDetail&amp;ListingID=19488568","Active")</f>
        <v>Active</v>
      </c>
      <c r="D595" t="s">
        <v>63</v>
      </c>
      <c r="E595" t="s">
        <v>1730</v>
      </c>
      <c r="F595" s="10">
        <v>499950</v>
      </c>
      <c r="G595" t="s">
        <v>247</v>
      </c>
      <c r="H595" s="1">
        <v>1698</v>
      </c>
      <c r="J595">
        <v>3</v>
      </c>
      <c r="K595">
        <v>3.5</v>
      </c>
      <c r="M595" s="2" t="str">
        <f>HYPERLINK("http://www.windermere.com/index.cfm?fuseaction=Listing.MapPropertyInteractive&amp;ListingID=19488568&amp;resize=true&amp;windowWidth=800&amp;windowHeight=600","Map")</f>
        <v>Map</v>
      </c>
      <c r="AI595" t="s">
        <v>66</v>
      </c>
      <c r="AJ595">
        <v>98107</v>
      </c>
      <c r="AS595" t="s">
        <v>1731</v>
      </c>
      <c r="AT595">
        <v>19488568</v>
      </c>
      <c r="AU595" s="7">
        <v>39512</v>
      </c>
      <c r="BB595" t="s">
        <v>912</v>
      </c>
    </row>
    <row r="596" spans="1:54">
      <c r="A596">
        <v>27209222</v>
      </c>
      <c r="B596" s="2" t="str">
        <f>HYPERLINK("http://www.windermere.com/index.cfm?fuseaction=Listing.ListingDetail&amp;ListingID=19048852","Active")</f>
        <v>Active</v>
      </c>
      <c r="D596" t="s">
        <v>60</v>
      </c>
      <c r="E596" t="s">
        <v>1732</v>
      </c>
      <c r="F596" s="10">
        <v>499950</v>
      </c>
      <c r="G596" t="s">
        <v>248</v>
      </c>
      <c r="H596" s="1">
        <v>2250</v>
      </c>
      <c r="I596">
        <v>4792</v>
      </c>
      <c r="J596">
        <v>5</v>
      </c>
      <c r="K596">
        <v>3</v>
      </c>
      <c r="M596" s="2" t="str">
        <f>HYPERLINK("http://www.windermere.com/index.cfm?fuseaction=Listing.MapPropertyInteractive&amp;ListingID=19048852&amp;resize=true&amp;windowWidth=800&amp;windowHeight=600","Map")</f>
        <v>Map</v>
      </c>
      <c r="O596" s="2" t="str">
        <f>HYPERLINK("http://www.windermere.com/index.cfm?fuseaction=Listing.MultiImageViewer&amp;ListingID=19048852&amp;ln=27209222&amp;pub_mls=1","More")</f>
        <v>More</v>
      </c>
      <c r="AI596" t="s">
        <v>66</v>
      </c>
      <c r="AJ596">
        <v>98103</v>
      </c>
      <c r="AS596" t="s">
        <v>1733</v>
      </c>
      <c r="AT596">
        <v>19048852</v>
      </c>
      <c r="AU596" s="7">
        <v>39512</v>
      </c>
      <c r="BB596" t="s">
        <v>912</v>
      </c>
    </row>
    <row r="597" spans="1:54">
      <c r="A597">
        <v>28038023</v>
      </c>
      <c r="B597" s="2" t="str">
        <f>HYPERLINK("http://www.windermere.com/index.cfm?fuseaction=Listing.ListingDetail&amp;ListingID=19487323","Active")</f>
        <v>Active</v>
      </c>
      <c r="D597" t="s">
        <v>55</v>
      </c>
      <c r="E597" t="s">
        <v>1734</v>
      </c>
      <c r="F597" s="10">
        <v>499999</v>
      </c>
      <c r="G597" t="s">
        <v>1735</v>
      </c>
      <c r="H597" s="1">
        <v>1940</v>
      </c>
      <c r="I597">
        <v>5042</v>
      </c>
      <c r="J597">
        <v>3</v>
      </c>
      <c r="K597">
        <v>1.75</v>
      </c>
      <c r="M597" s="2" t="str">
        <f>HYPERLINK("http://www.windermere.com/index.cfm?fuseaction=Listing.MapPropertyInteractive&amp;ListingID=19487323&amp;resize=true&amp;windowWidth=800&amp;windowHeight=600","Map")</f>
        <v>Map</v>
      </c>
      <c r="O597" s="2" t="str">
        <f>HYPERLINK("http://www.windermere.com/index.cfm?fuseaction=viewGallery.Home&amp;customTourID=209658&amp;wvt=0","More")</f>
        <v>More</v>
      </c>
      <c r="P597" t="s">
        <v>44</v>
      </c>
      <c r="AI597" t="s">
        <v>66</v>
      </c>
      <c r="AJ597">
        <v>98117</v>
      </c>
      <c r="AS597" t="s">
        <v>1736</v>
      </c>
      <c r="AT597">
        <v>19487323</v>
      </c>
      <c r="AU597" s="7">
        <v>39512</v>
      </c>
      <c r="BB597" t="s">
        <v>912</v>
      </c>
    </row>
    <row r="598" spans="1:54">
      <c r="A598">
        <v>28036101</v>
      </c>
      <c r="B598" s="4" t="str">
        <f>HYPERLINK("http://www.windermere.com/index.cfm?fuseaction=Listing.ListingDetail&amp;ListingID=19488032","Subject To Inspection")</f>
        <v>Subject To Inspection</v>
      </c>
      <c r="D598" t="s">
        <v>101</v>
      </c>
      <c r="E598" t="s">
        <v>1737</v>
      </c>
      <c r="F598" s="10">
        <v>762500</v>
      </c>
      <c r="G598" t="s">
        <v>674</v>
      </c>
      <c r="H598" s="1">
        <v>2630</v>
      </c>
      <c r="I598">
        <v>15834</v>
      </c>
      <c r="J598">
        <v>3</v>
      </c>
      <c r="K598">
        <v>2.5</v>
      </c>
      <c r="M598" s="2" t="str">
        <f>HYPERLINK("http://www.windermere.com/index.cfm?fuseaction=Listing.MapPropertyInteractive&amp;ListingID=19488032&amp;resize=true&amp;windowWidth=800&amp;windowHeight=600","Map")</f>
        <v>Map</v>
      </c>
      <c r="O598" s="2" t="str">
        <f>HYPERLINK("http://www.windermere.com/index.cfm?fuseaction=viewGallery.Home&amp;customTourID=209735&amp;wvt=0","More")</f>
        <v>More</v>
      </c>
      <c r="P598" t="s">
        <v>44</v>
      </c>
      <c r="AI598" t="s">
        <v>66</v>
      </c>
      <c r="AJ598">
        <v>98117</v>
      </c>
      <c r="AS598" t="s">
        <v>1738</v>
      </c>
      <c r="AT598">
        <v>19488032</v>
      </c>
      <c r="AU598" s="7">
        <v>39512</v>
      </c>
      <c r="BB598" t="s">
        <v>912</v>
      </c>
    </row>
    <row r="599" spans="1:54">
      <c r="A599">
        <v>28034171</v>
      </c>
      <c r="B599" s="2" t="str">
        <f>HYPERLINK("http://www.windermere.com/index.cfm?fuseaction=Listing.ListingDetail&amp;ListingID=19488110","Active")</f>
        <v>Active</v>
      </c>
      <c r="D599" t="s">
        <v>63</v>
      </c>
      <c r="E599" t="s">
        <v>1739</v>
      </c>
      <c r="F599" s="10">
        <v>785000</v>
      </c>
      <c r="G599" t="s">
        <v>154</v>
      </c>
      <c r="H599" s="1">
        <v>3294</v>
      </c>
      <c r="J599">
        <v>5</v>
      </c>
      <c r="K599">
        <v>4.5</v>
      </c>
      <c r="M599" s="2" t="str">
        <f>HYPERLINK("http://www.windermere.com/index.cfm?fuseaction=Listing.MapPropertyInteractive&amp;ListingID=19488110&amp;resize=true&amp;windowWidth=800&amp;windowHeight=600","Map")</f>
        <v>Map</v>
      </c>
      <c r="O599" s="2" t="str">
        <f>HYPERLINK("http://www.windermere.com/index.cfm?fuseaction=Listing.MultiImageViewer&amp;ListingID=19488110&amp;ln=28034171&amp;pub_mls=1","More")</f>
        <v>More</v>
      </c>
      <c r="P599" t="s">
        <v>44</v>
      </c>
      <c r="AI599" t="s">
        <v>66</v>
      </c>
      <c r="AJ599">
        <v>98117</v>
      </c>
      <c r="AS599" t="s">
        <v>1740</v>
      </c>
      <c r="AT599">
        <v>19488110</v>
      </c>
      <c r="AU599" s="7">
        <v>39512</v>
      </c>
      <c r="BB599" t="s">
        <v>912</v>
      </c>
    </row>
    <row r="600" spans="1:54">
      <c r="A600">
        <v>28039552</v>
      </c>
      <c r="B600" s="2" t="str">
        <f>HYPERLINK("http://www.windermere.com/index.cfm?fuseaction=Listing.ListingDetail&amp;ListingID=19496213","Active")</f>
        <v>Active</v>
      </c>
      <c r="D600" t="s">
        <v>194</v>
      </c>
      <c r="E600" t="s">
        <v>1741</v>
      </c>
      <c r="F600" s="10">
        <v>475000</v>
      </c>
      <c r="G600" t="s">
        <v>176</v>
      </c>
      <c r="I600">
        <v>6000</v>
      </c>
      <c r="J600">
        <v>3</v>
      </c>
      <c r="K600">
        <v>1</v>
      </c>
      <c r="M600" s="2" t="str">
        <f>HYPERLINK("http://www.windermere.com/index.cfm?fuseaction=Listing.MapPropertyInteractive&amp;ListingID=19496213&amp;resize=true&amp;windowWidth=800&amp;windowHeight=600","Map")</f>
        <v>Map</v>
      </c>
      <c r="O600" s="2" t="str">
        <f>HYPERLINK("http://www.windermere.com/index.cfm?fuseaction=viewGallery.Home&amp;customTourID=209291&amp;wvt=0","More")</f>
        <v>More</v>
      </c>
      <c r="P600" t="s">
        <v>44</v>
      </c>
      <c r="AI600" t="s">
        <v>66</v>
      </c>
      <c r="AJ600">
        <v>98115</v>
      </c>
      <c r="AS600" t="s">
        <v>1742</v>
      </c>
      <c r="AT600">
        <v>19496213</v>
      </c>
      <c r="AU600" s="7">
        <v>39513</v>
      </c>
      <c r="BB600" t="s">
        <v>912</v>
      </c>
    </row>
    <row r="601" spans="1:54">
      <c r="A601">
        <v>28039615</v>
      </c>
      <c r="B601" s="2" t="str">
        <f>HYPERLINK("http://www.windermere.com/index.cfm?fuseaction=Listing.ListingDetail&amp;ListingID=19495744","Active")</f>
        <v>Active</v>
      </c>
      <c r="D601" t="s">
        <v>99</v>
      </c>
      <c r="E601" t="s">
        <v>1743</v>
      </c>
      <c r="F601" s="10">
        <v>489000</v>
      </c>
      <c r="G601" t="s">
        <v>132</v>
      </c>
      <c r="H601" s="1">
        <v>2020</v>
      </c>
      <c r="I601">
        <v>6397</v>
      </c>
      <c r="J601">
        <v>3</v>
      </c>
      <c r="K601">
        <v>2</v>
      </c>
      <c r="M601" s="2" t="str">
        <f>HYPERLINK("http://www.windermere.com/index.cfm?fuseaction=Listing.MapPropertyInteractive&amp;ListingID=19495744&amp;resize=true&amp;windowWidth=800&amp;windowHeight=600","Map")</f>
        <v>Map</v>
      </c>
      <c r="O601" s="2" t="str">
        <f>HYPERLINK("http://www.windermere.com/index.cfm?fuseaction=Listing.MultiImageViewer&amp;ListingID=19495744&amp;ln=28039615&amp;pub_mls=1","More")</f>
        <v>More</v>
      </c>
      <c r="AI601" t="s">
        <v>66</v>
      </c>
      <c r="AJ601">
        <v>98117</v>
      </c>
      <c r="AS601" t="s">
        <v>1744</v>
      </c>
      <c r="AT601">
        <v>19495744</v>
      </c>
      <c r="AU601" s="7">
        <v>39513</v>
      </c>
      <c r="BB601" t="s">
        <v>912</v>
      </c>
    </row>
    <row r="602" spans="1:54">
      <c r="A602">
        <v>28039640</v>
      </c>
      <c r="B602" s="2" t="str">
        <f>HYPERLINK("http://www.windermere.com/index.cfm?fuseaction=Listing.ListingDetail&amp;ListingID=19497019","Active")</f>
        <v>Active</v>
      </c>
      <c r="D602" t="s">
        <v>192</v>
      </c>
      <c r="E602" t="s">
        <v>1745</v>
      </c>
      <c r="F602" s="10">
        <v>495000</v>
      </c>
      <c r="G602" t="s">
        <v>617</v>
      </c>
      <c r="H602" s="1">
        <v>1770</v>
      </c>
      <c r="I602">
        <v>6380</v>
      </c>
      <c r="J602">
        <v>3</v>
      </c>
      <c r="K602">
        <v>2</v>
      </c>
      <c r="M602" s="2" t="str">
        <f>HYPERLINK("http://www.windermere.com/index.cfm?fuseaction=Listing.MapPropertyInteractive&amp;ListingID=19497019&amp;resize=true&amp;windowWidth=800&amp;windowHeight=600","Map")</f>
        <v>Map</v>
      </c>
      <c r="O602" s="2" t="str">
        <f>HYPERLINK("http://www.windermere.com/index.cfm?fuseaction=Listing.MultiImageViewer&amp;ListingID=19497019&amp;ln=28039640&amp;pub_mls=1","More")</f>
        <v>More</v>
      </c>
      <c r="AI602" t="s">
        <v>66</v>
      </c>
      <c r="AJ602">
        <v>98115</v>
      </c>
      <c r="AS602" t="s">
        <v>1746</v>
      </c>
      <c r="AT602">
        <v>19497019</v>
      </c>
      <c r="AU602" s="7">
        <v>39513</v>
      </c>
      <c r="BB602" t="s">
        <v>912</v>
      </c>
    </row>
    <row r="603" spans="1:54">
      <c r="A603">
        <v>28039621</v>
      </c>
      <c r="B603" s="2" t="str">
        <f>HYPERLINK("http://www.windermere.com/index.cfm?fuseaction=Listing.ListingDetail&amp;ListingID=19495719","Active")</f>
        <v>Active</v>
      </c>
      <c r="D603" t="s">
        <v>78</v>
      </c>
      <c r="E603" t="s">
        <v>1747</v>
      </c>
      <c r="F603" s="10">
        <v>499900</v>
      </c>
      <c r="G603" t="s">
        <v>124</v>
      </c>
      <c r="I603">
        <v>5023</v>
      </c>
      <c r="J603">
        <v>2</v>
      </c>
      <c r="K603">
        <v>1.25</v>
      </c>
      <c r="M603" s="2" t="str">
        <f>HYPERLINK("http://www.windermere.com/index.cfm?fuseaction=Listing.MapPropertyInteractive&amp;ListingID=19495719&amp;resize=true&amp;windowWidth=800&amp;windowHeight=600","Map")</f>
        <v>Map</v>
      </c>
      <c r="O603" s="2" t="str">
        <f>HYPERLINK("http://www.windermere.com/index.cfm?fuseaction=Listing.MultiImageViewer&amp;ListingID=19495719&amp;ln=28039621&amp;pub_mls=1","More")</f>
        <v>More</v>
      </c>
      <c r="AI603" t="s">
        <v>66</v>
      </c>
      <c r="AJ603">
        <v>98117</v>
      </c>
      <c r="AS603" t="s">
        <v>1748</v>
      </c>
      <c r="AT603">
        <v>19495719</v>
      </c>
      <c r="AU603" s="7">
        <v>39513</v>
      </c>
      <c r="BB603" t="s">
        <v>912</v>
      </c>
    </row>
    <row r="604" spans="1:54">
      <c r="A604">
        <v>28039525</v>
      </c>
      <c r="B604" s="2" t="str">
        <f>HYPERLINK("http://www.windermere.com/index.cfm?fuseaction=Listing.ListingDetail&amp;ListingID=19495324","Active")</f>
        <v>Active</v>
      </c>
      <c r="D604" t="s">
        <v>99</v>
      </c>
      <c r="E604" s="3" t="s">
        <v>1884</v>
      </c>
      <c r="F604" s="10">
        <v>649000</v>
      </c>
      <c r="G604" t="s">
        <v>159</v>
      </c>
      <c r="H604" s="1">
        <v>1450</v>
      </c>
      <c r="I604">
        <v>9494</v>
      </c>
      <c r="J604">
        <v>2</v>
      </c>
      <c r="K604">
        <v>1</v>
      </c>
      <c r="M604" s="2" t="str">
        <f>HYPERLINK("http://www.windermere.com/index.cfm?fuseaction=Listing.MapPropertyInteractive&amp;ListingID=19495324&amp;resize=true&amp;windowWidth=800&amp;windowHeight=600","Map")</f>
        <v>Map</v>
      </c>
      <c r="O604" s="2" t="str">
        <f>HYPERLINK("http://www.windermere.com/index.cfm?fuseaction=Listing.MultiImageViewer&amp;ListingID=19495324&amp;ln=28039525&amp;pub_mls=1","More")</f>
        <v>More</v>
      </c>
      <c r="P604" t="s">
        <v>44</v>
      </c>
      <c r="AI604" t="s">
        <v>66</v>
      </c>
      <c r="AJ604">
        <v>98117</v>
      </c>
      <c r="AS604" t="s">
        <v>1749</v>
      </c>
      <c r="AT604">
        <v>19495324</v>
      </c>
      <c r="AU604" s="7">
        <v>39513</v>
      </c>
      <c r="BB604" t="s">
        <v>912</v>
      </c>
    </row>
    <row r="605" spans="1:54">
      <c r="A605">
        <v>28039802</v>
      </c>
      <c r="B605" s="2" t="str">
        <f>HYPERLINK("http://www.windermere.com/index.cfm?fuseaction=Listing.ListingDetail&amp;ListingID=19496644","Active")</f>
        <v>Active</v>
      </c>
      <c r="D605" t="s">
        <v>101</v>
      </c>
      <c r="E605" t="s">
        <v>1750</v>
      </c>
      <c r="F605" s="10">
        <v>869000</v>
      </c>
      <c r="G605" t="s">
        <v>137</v>
      </c>
      <c r="H605" s="1">
        <v>3660</v>
      </c>
      <c r="J605">
        <v>4</v>
      </c>
      <c r="K605">
        <v>3</v>
      </c>
      <c r="M605" s="2" t="str">
        <f>HYPERLINK("http://www.windermere.com/index.cfm?fuseaction=Listing.MapPropertyInteractive&amp;ListingID=19496644&amp;resize=true&amp;windowWidth=800&amp;windowHeight=600","Map")</f>
        <v>Map</v>
      </c>
      <c r="O605" s="2" t="str">
        <f>HYPERLINK("http://www.windermere.com/index.cfm?fuseaction=Listing.MultiImageViewer&amp;ListingID=19496644&amp;ln=28039802&amp;pub_mls=1","More")</f>
        <v>More</v>
      </c>
      <c r="P605" t="s">
        <v>44</v>
      </c>
      <c r="AI605" t="s">
        <v>66</v>
      </c>
      <c r="AJ605">
        <v>98117</v>
      </c>
      <c r="AS605" t="s">
        <v>1751</v>
      </c>
      <c r="AT605">
        <v>19496644</v>
      </c>
      <c r="AU605" s="7">
        <v>39513</v>
      </c>
      <c r="BB605" t="s">
        <v>912</v>
      </c>
    </row>
    <row r="606" spans="1:54">
      <c r="A606">
        <v>28039786</v>
      </c>
      <c r="B606" s="2" t="str">
        <f>HYPERLINK("http://www.windermere.com/index.cfm?fuseaction=Listing.ListingDetail&amp;ListingID=19496494","Active")</f>
        <v>Active</v>
      </c>
      <c r="D606" t="s">
        <v>78</v>
      </c>
      <c r="E606" t="s">
        <v>1285</v>
      </c>
      <c r="F606" s="10">
        <v>988950</v>
      </c>
      <c r="G606" t="s">
        <v>247</v>
      </c>
      <c r="H606" s="1">
        <v>3654</v>
      </c>
      <c r="I606">
        <v>3880</v>
      </c>
      <c r="J606">
        <v>4</v>
      </c>
      <c r="K606">
        <v>3.25</v>
      </c>
      <c r="M606" s="2" t="str">
        <f>HYPERLINK("http://www.windermere.com/index.cfm?fuseaction=Listing.MapPropertyInteractive&amp;ListingID=19496494&amp;resize=true&amp;windowWidth=800&amp;windowHeight=600","Map")</f>
        <v>Map</v>
      </c>
      <c r="O606" s="2" t="str">
        <f>HYPERLINK("http://www.windermere.com/index.cfm?fuseaction=Listing.MultiImageViewer&amp;ListingID=19496494&amp;ln=28039786&amp;pub_mls=1","More")</f>
        <v>More</v>
      </c>
      <c r="P606" t="s">
        <v>44</v>
      </c>
      <c r="AI606" t="s">
        <v>66</v>
      </c>
      <c r="AJ606">
        <v>98117</v>
      </c>
      <c r="AS606" t="s">
        <v>1752</v>
      </c>
      <c r="AT606">
        <v>19496494</v>
      </c>
      <c r="AU606" s="7">
        <v>39513</v>
      </c>
      <c r="BB606" t="s">
        <v>912</v>
      </c>
    </row>
    <row r="607" spans="1:54">
      <c r="A607">
        <v>28040718</v>
      </c>
      <c r="B607" s="2" t="str">
        <f>HYPERLINK("http://www.windermere.com/index.cfm?fuseaction=Listing.ListingDetail&amp;ListingID=19504669","Active")</f>
        <v>Active</v>
      </c>
      <c r="D607" t="s">
        <v>66</v>
      </c>
      <c r="E607" t="s">
        <v>1753</v>
      </c>
      <c r="F607" s="10">
        <v>309950</v>
      </c>
      <c r="G607" t="s">
        <v>247</v>
      </c>
      <c r="J607">
        <v>3</v>
      </c>
      <c r="K607">
        <v>2.5</v>
      </c>
      <c r="M607" s="2" t="str">
        <f>HYPERLINK("http://www.windermere.com/index.cfm?fuseaction=Listing.MapPropertyInteractive&amp;ListingID=19504669&amp;resize=true&amp;windowWidth=800&amp;windowHeight=600","Map")</f>
        <v>Map</v>
      </c>
      <c r="O607" s="2" t="str">
        <f>HYPERLINK("http://www.windermere.com/index.cfm?fuseaction=viewGallery.Home&amp;customTourID=210121&amp;wvt=0","More")</f>
        <v>More</v>
      </c>
      <c r="AI607" t="s">
        <v>66</v>
      </c>
      <c r="AJ607">
        <v>98133</v>
      </c>
      <c r="AS607" t="s">
        <v>1754</v>
      </c>
      <c r="AT607">
        <v>19504669</v>
      </c>
      <c r="AU607" s="7">
        <v>39520</v>
      </c>
      <c r="BB607" t="s">
        <v>912</v>
      </c>
    </row>
    <row r="608" spans="1:54">
      <c r="A608">
        <v>28040674</v>
      </c>
      <c r="B608" s="2" t="str">
        <f>HYPERLINK("http://www.windermere.com/index.cfm?fuseaction=Listing.ListingDetail&amp;ListingID=19504554","Active")</f>
        <v>Active</v>
      </c>
      <c r="D608" t="s">
        <v>66</v>
      </c>
      <c r="E608" t="s">
        <v>1755</v>
      </c>
      <c r="F608" s="10">
        <v>319950</v>
      </c>
      <c r="G608" t="s">
        <v>247</v>
      </c>
      <c r="J608">
        <v>3</v>
      </c>
      <c r="K608">
        <v>2.5</v>
      </c>
      <c r="M608" s="2" t="str">
        <f>HYPERLINK("http://www.windermere.com/index.cfm?fuseaction=Listing.MapPropertyInteractive&amp;ListingID=19504554&amp;resize=true&amp;windowWidth=800&amp;windowHeight=600","Map")</f>
        <v>Map</v>
      </c>
      <c r="O608" s="2" t="str">
        <f>HYPERLINK("http://www.windermere.com/index.cfm?fuseaction=viewGallery.Home&amp;customTourID=210121&amp;wvt=0","More")</f>
        <v>More</v>
      </c>
      <c r="AI608" t="s">
        <v>66</v>
      </c>
      <c r="AJ608">
        <v>98133</v>
      </c>
      <c r="AS608" t="s">
        <v>1756</v>
      </c>
      <c r="AT608">
        <v>19504554</v>
      </c>
      <c r="AU608" s="7">
        <v>39520</v>
      </c>
      <c r="BB608" t="s">
        <v>912</v>
      </c>
    </row>
    <row r="609" spans="1:54">
      <c r="A609">
        <v>28043672</v>
      </c>
      <c r="B609" s="2" t="str">
        <f>HYPERLINK("http://www.windermere.com/index.cfm?fuseaction=Listing.ListingDetail&amp;ListingID=19534518","Active")</f>
        <v>Active</v>
      </c>
      <c r="D609" t="s">
        <v>55</v>
      </c>
      <c r="E609" t="s">
        <v>1757</v>
      </c>
      <c r="F609" s="10">
        <v>321000</v>
      </c>
      <c r="G609" t="s">
        <v>878</v>
      </c>
      <c r="H609" s="1">
        <v>1790</v>
      </c>
      <c r="I609">
        <v>4220</v>
      </c>
      <c r="J609">
        <v>2</v>
      </c>
      <c r="K609">
        <v>1</v>
      </c>
      <c r="M609" s="2" t="str">
        <f>HYPERLINK("http://www.windermere.com/index.cfm?fuseaction=Listing.MapPropertyInteractive&amp;ListingID=19534518&amp;resize=true&amp;windowWidth=800&amp;windowHeight=600","Map")</f>
        <v>Map</v>
      </c>
      <c r="AI609" t="s">
        <v>66</v>
      </c>
      <c r="AJ609">
        <v>98117</v>
      </c>
      <c r="AS609" t="s">
        <v>1758</v>
      </c>
      <c r="AT609">
        <v>19534518</v>
      </c>
      <c r="AU609" s="7">
        <v>39520</v>
      </c>
      <c r="BB609" t="s">
        <v>912</v>
      </c>
    </row>
    <row r="610" spans="1:54">
      <c r="A610">
        <v>28040071</v>
      </c>
      <c r="B610" s="2" t="str">
        <f>HYPERLINK("http://www.windermere.com/index.cfm?fuseaction=Listing.ListingDetail&amp;ListingID=19505422","Subject To Inspection")</f>
        <v>Subject To Inspection</v>
      </c>
      <c r="D610" t="s">
        <v>199</v>
      </c>
      <c r="E610" t="s">
        <v>1759</v>
      </c>
      <c r="F610" s="10">
        <v>325000</v>
      </c>
      <c r="G610" t="s">
        <v>146</v>
      </c>
      <c r="H610" s="1">
        <v>2096</v>
      </c>
      <c r="I610">
        <v>8530</v>
      </c>
      <c r="J610">
        <v>3</v>
      </c>
      <c r="K610">
        <v>1</v>
      </c>
      <c r="M610" s="2" t="str">
        <f>HYPERLINK("http://www.windermere.com/index.cfm?fuseaction=Listing.MapPropertyInteractive&amp;ListingID=19505422&amp;resize=true&amp;windowWidth=800&amp;windowHeight=600","Map")</f>
        <v>Map</v>
      </c>
      <c r="O610" s="2" t="str">
        <f>HYPERLINK("http://www.windermere.com/index.cfm?fuseaction=viewGallery.Home&amp;customTourID=210059&amp;wvt=0","More")</f>
        <v>More</v>
      </c>
      <c r="P610" t="s">
        <v>44</v>
      </c>
      <c r="AI610" t="s">
        <v>66</v>
      </c>
      <c r="AJ610">
        <v>98125</v>
      </c>
      <c r="AS610" t="s">
        <v>1760</v>
      </c>
      <c r="AT610">
        <v>19505422</v>
      </c>
      <c r="AU610" s="7">
        <v>39520</v>
      </c>
      <c r="BB610" t="s">
        <v>912</v>
      </c>
    </row>
    <row r="611" spans="1:54">
      <c r="A611">
        <v>28005646</v>
      </c>
      <c r="B611" s="2" t="str">
        <f>HYPERLINK("http://www.windermere.com/index.cfm?fuseaction=Listing.ListingDetail&amp;ListingID=19515357","Active")</f>
        <v>Active</v>
      </c>
      <c r="D611" t="s">
        <v>1087</v>
      </c>
      <c r="E611" t="s">
        <v>1761</v>
      </c>
      <c r="F611" s="10">
        <v>325000</v>
      </c>
      <c r="G611" t="s">
        <v>191</v>
      </c>
      <c r="H611" s="1">
        <v>1120</v>
      </c>
      <c r="I611">
        <v>8190</v>
      </c>
      <c r="J611">
        <v>3</v>
      </c>
      <c r="K611">
        <v>1</v>
      </c>
      <c r="M611" s="2" t="str">
        <f>HYPERLINK("http://www.windermere.com/index.cfm?fuseaction=Listing.MapPropertyInteractive&amp;ListingID=19515357&amp;resize=true&amp;windowWidth=800&amp;windowHeight=600","Map")</f>
        <v>Map</v>
      </c>
      <c r="O611" s="2" t="str">
        <f>HYPERLINK("http://www.windermere.com/index.cfm?fuseaction=Listing.MultiImageViewer&amp;ListingID=19515357&amp;ln=28005646&amp;pub_mls=1","More")</f>
        <v>More</v>
      </c>
      <c r="AI611" t="s">
        <v>66</v>
      </c>
      <c r="AJ611">
        <v>98133</v>
      </c>
      <c r="AS611" t="s">
        <v>1762</v>
      </c>
      <c r="AT611">
        <v>19515357</v>
      </c>
      <c r="AU611" s="7">
        <v>39520</v>
      </c>
      <c r="BB611" t="s">
        <v>912</v>
      </c>
    </row>
    <row r="612" spans="1:54">
      <c r="A612">
        <v>28041213</v>
      </c>
      <c r="B612" s="2" t="str">
        <f>HYPERLINK("http://www.windermere.com/index.cfm?fuseaction=Listing.ListingDetail&amp;ListingID=19518270","Active")</f>
        <v>Active</v>
      </c>
      <c r="D612" t="s">
        <v>42</v>
      </c>
      <c r="E612" t="s">
        <v>1763</v>
      </c>
      <c r="F612" s="10">
        <v>335000</v>
      </c>
      <c r="G612" t="s">
        <v>132</v>
      </c>
      <c r="H612">
        <v>860</v>
      </c>
      <c r="I612">
        <v>5250</v>
      </c>
      <c r="J612">
        <v>2</v>
      </c>
      <c r="K612">
        <v>1</v>
      </c>
      <c r="M612" s="2" t="str">
        <f>HYPERLINK("http://www.windermere.com/index.cfm?fuseaction=Listing.MapPropertyInteractive&amp;ListingID=19518270&amp;resize=true&amp;windowWidth=800&amp;windowHeight=600","Map")</f>
        <v>Map</v>
      </c>
      <c r="O612" s="2" t="str">
        <f>HYPERLINK("http://www.windermere.com/index.cfm?fuseaction=viewGallery.Home&amp;customTourID=210264&amp;wvt=0","More")</f>
        <v>More</v>
      </c>
      <c r="AI612" t="s">
        <v>66</v>
      </c>
      <c r="AJ612">
        <v>98133</v>
      </c>
      <c r="AS612" t="s">
        <v>1764</v>
      </c>
      <c r="AT612">
        <v>19518270</v>
      </c>
      <c r="AU612" s="7">
        <v>39520</v>
      </c>
      <c r="BB612" t="s">
        <v>912</v>
      </c>
    </row>
    <row r="613" spans="1:54">
      <c r="A613">
        <v>28043143</v>
      </c>
      <c r="B613" s="2" t="str">
        <f>HYPERLINK("http://www.windermere.com/index.cfm?fuseaction=Listing.ListingDetail&amp;ListingID=19531261","Active")</f>
        <v>Active</v>
      </c>
      <c r="D613" t="s">
        <v>55</v>
      </c>
      <c r="E613" t="s">
        <v>1765</v>
      </c>
      <c r="F613" s="10">
        <v>335000</v>
      </c>
      <c r="G613" t="s">
        <v>130</v>
      </c>
      <c r="J613">
        <v>2</v>
      </c>
      <c r="K613">
        <v>1</v>
      </c>
      <c r="M613" s="2" t="str">
        <f>HYPERLINK("http://www.windermere.com/index.cfm?fuseaction=Listing.MapPropertyInteractive&amp;ListingID=19531261&amp;resize=true&amp;windowWidth=800&amp;windowHeight=600","Map")</f>
        <v>Map</v>
      </c>
      <c r="O613" s="2" t="str">
        <f>HYPERLINK("http://www.windermere.com/index.cfm?fuseaction=viewGallery.Home&amp;customTourID=210539&amp;wvt=0","More")</f>
        <v>More</v>
      </c>
      <c r="AI613" t="s">
        <v>66</v>
      </c>
      <c r="AJ613">
        <v>98103</v>
      </c>
      <c r="AS613" t="s">
        <v>1766</v>
      </c>
      <c r="AT613">
        <v>19531261</v>
      </c>
      <c r="AU613" s="7">
        <v>39520</v>
      </c>
      <c r="BB613" t="s">
        <v>912</v>
      </c>
    </row>
    <row r="614" spans="1:54">
      <c r="A614">
        <v>28042986</v>
      </c>
      <c r="B614" s="2" t="str">
        <f>HYPERLINK("http://www.windermere.com/index.cfm?fuseaction=Listing.ListingDetail&amp;ListingID=19527972","Active")</f>
        <v>Active</v>
      </c>
      <c r="D614" t="s">
        <v>204</v>
      </c>
      <c r="E614" t="s">
        <v>1767</v>
      </c>
      <c r="F614" s="10">
        <v>335000</v>
      </c>
      <c r="G614" t="s">
        <v>599</v>
      </c>
      <c r="H614" s="1">
        <v>1400</v>
      </c>
      <c r="I614">
        <v>2808</v>
      </c>
      <c r="J614">
        <v>3</v>
      </c>
      <c r="K614">
        <v>2</v>
      </c>
      <c r="M614" s="2" t="str">
        <f>HYPERLINK("http://www.windermere.com/index.cfm?fuseaction=Listing.MapPropertyInteractive&amp;ListingID=19527972&amp;resize=true&amp;windowWidth=800&amp;windowHeight=600","Map")</f>
        <v>Map</v>
      </c>
      <c r="O614" s="2" t="str">
        <f>HYPERLINK("http://www.windermere.com/index.cfm?fuseaction=Listing.MultiImageViewer&amp;ListingID=19527972&amp;ln=28042986&amp;pub_mls=1","More")</f>
        <v>More</v>
      </c>
      <c r="AI614" t="s">
        <v>396</v>
      </c>
      <c r="AJ614">
        <v>98155</v>
      </c>
      <c r="AS614" t="s">
        <v>1768</v>
      </c>
      <c r="AT614">
        <v>19527972</v>
      </c>
      <c r="AU614" s="7">
        <v>39520</v>
      </c>
      <c r="BB614" t="s">
        <v>912</v>
      </c>
    </row>
    <row r="615" spans="1:54">
      <c r="A615">
        <v>28041131</v>
      </c>
      <c r="B615" s="2" t="str">
        <f>HYPERLINK("http://www.windermere.com/index.cfm?fuseaction=Listing.ListingDetail&amp;ListingID=19509098","Active")</f>
        <v>Active</v>
      </c>
      <c r="D615" t="s">
        <v>42</v>
      </c>
      <c r="E615" t="s">
        <v>1769</v>
      </c>
      <c r="F615" s="10">
        <v>339950</v>
      </c>
      <c r="G615" t="s">
        <v>247</v>
      </c>
      <c r="H615" s="1">
        <v>1635</v>
      </c>
      <c r="J615">
        <v>3</v>
      </c>
      <c r="K615">
        <v>3.5</v>
      </c>
      <c r="M615" s="2" t="str">
        <f>HYPERLINK("http://www.windermere.com/index.cfm?fuseaction=Listing.MapPropertyInteractive&amp;ListingID=19509098&amp;resize=true&amp;windowWidth=800&amp;windowHeight=600","Map")</f>
        <v>Map</v>
      </c>
      <c r="O615" s="2" t="str">
        <f>HYPERLINK("http://www.windermere.com/index.cfm?fuseaction=Listing.MultiImageViewer&amp;ListingID=19509098&amp;ln=28041131&amp;pub_mls=1","More")</f>
        <v>More</v>
      </c>
      <c r="AI615" t="s">
        <v>66</v>
      </c>
      <c r="AJ615">
        <v>98133</v>
      </c>
      <c r="AS615" t="s">
        <v>1770</v>
      </c>
      <c r="AT615">
        <v>19509098</v>
      </c>
      <c r="AU615" s="7">
        <v>39520</v>
      </c>
      <c r="BB615" t="s">
        <v>912</v>
      </c>
    </row>
    <row r="616" spans="1:54">
      <c r="A616">
        <v>28041342</v>
      </c>
      <c r="B616" s="4" t="str">
        <f>HYPERLINK("http://www.windermere.com/index.cfm?fuseaction=Listing.ListingDetail&amp;ListingID=19515407","Subject To Inspection")</f>
        <v>Subject To Inspection</v>
      </c>
      <c r="D616" t="s">
        <v>60</v>
      </c>
      <c r="E616" t="s">
        <v>1771</v>
      </c>
      <c r="F616" s="10">
        <v>342500</v>
      </c>
      <c r="G616" t="s">
        <v>247</v>
      </c>
      <c r="H616" s="1">
        <v>1230</v>
      </c>
      <c r="J616">
        <v>2</v>
      </c>
      <c r="K616">
        <v>1.5</v>
      </c>
      <c r="M616" s="2" t="str">
        <f>HYPERLINK("http://www.windermere.com/index.cfm?fuseaction=Listing.MapPropertyInteractive&amp;ListingID=19515407&amp;resize=true&amp;windowWidth=800&amp;windowHeight=600","Map")</f>
        <v>Map</v>
      </c>
      <c r="O616" s="2" t="str">
        <f>HYPERLINK("http://www.windermere.com/index.cfm?fuseaction=Listing.MultiImageViewer&amp;ListingID=19515407&amp;ln=28041342&amp;pub_mls=1","More")</f>
        <v>More</v>
      </c>
      <c r="P616" t="s">
        <v>44</v>
      </c>
      <c r="AI616" t="s">
        <v>66</v>
      </c>
      <c r="AJ616">
        <v>98103</v>
      </c>
      <c r="AS616" t="s">
        <v>1772</v>
      </c>
      <c r="AT616">
        <v>19515407</v>
      </c>
      <c r="AU616" s="7">
        <v>39520</v>
      </c>
      <c r="BB616" t="s">
        <v>912</v>
      </c>
    </row>
    <row r="617" spans="1:54">
      <c r="A617">
        <v>28042952</v>
      </c>
      <c r="B617" s="2" t="str">
        <f>HYPERLINK("http://www.windermere.com/index.cfm?fuseaction=Listing.ListingDetail&amp;ListingID=19527682","Active")</f>
        <v>Active</v>
      </c>
      <c r="D617" t="s">
        <v>70</v>
      </c>
      <c r="E617" t="s">
        <v>1773</v>
      </c>
      <c r="F617" s="10">
        <v>344888</v>
      </c>
      <c r="G617" t="s">
        <v>147</v>
      </c>
      <c r="H617" s="1">
        <v>1662</v>
      </c>
      <c r="J617">
        <v>3</v>
      </c>
      <c r="K617">
        <v>2.25</v>
      </c>
      <c r="M617" s="2" t="str">
        <f>HYPERLINK("http://www.windermere.com/index.cfm?fuseaction=Listing.MapPropertyInteractive&amp;ListingID=19527682&amp;resize=true&amp;windowWidth=800&amp;windowHeight=600","Map")</f>
        <v>Map</v>
      </c>
      <c r="O617" s="2" t="str">
        <f>HYPERLINK("http://www.windermere.com/index.cfm?fuseaction=Listing.MultiImageViewer&amp;ListingID=19527682&amp;ln=28042952&amp;pub_mls=1","More")</f>
        <v>More</v>
      </c>
      <c r="AI617" t="s">
        <v>66</v>
      </c>
      <c r="AJ617">
        <v>98133</v>
      </c>
      <c r="AS617" t="s">
        <v>1774</v>
      </c>
      <c r="AT617">
        <v>19527682</v>
      </c>
      <c r="AU617" s="7">
        <v>39520</v>
      </c>
      <c r="BB617" t="s">
        <v>912</v>
      </c>
    </row>
    <row r="618" spans="1:54">
      <c r="A618">
        <v>28042573</v>
      </c>
      <c r="B618" s="2" t="str">
        <f>HYPERLINK("http://www.windermere.com/index.cfm?fuseaction=Listing.ListingDetail&amp;ListingID=19525943","Active")</f>
        <v>Active</v>
      </c>
      <c r="D618" t="s">
        <v>184</v>
      </c>
      <c r="E618" t="s">
        <v>1775</v>
      </c>
      <c r="F618" s="10">
        <v>348800</v>
      </c>
      <c r="G618" t="s">
        <v>424</v>
      </c>
      <c r="H618" s="1">
        <v>1340</v>
      </c>
      <c r="I618">
        <v>2583</v>
      </c>
      <c r="J618">
        <v>3</v>
      </c>
      <c r="K618">
        <v>2</v>
      </c>
      <c r="M618" s="2" t="str">
        <f>HYPERLINK("http://www.windermere.com/index.cfm?fuseaction=Listing.MapPropertyInteractive&amp;ListingID=19525943&amp;resize=true&amp;windowWidth=800&amp;windowHeight=600","Map")</f>
        <v>Map</v>
      </c>
      <c r="O618" s="2" t="str">
        <f>HYPERLINK("http://www.windermere.com/index.cfm?fuseaction=Listing.MultiImageViewer&amp;ListingID=19525943&amp;ln=28042573&amp;pub_mls=1","More")</f>
        <v>More</v>
      </c>
      <c r="AI618" t="s">
        <v>66</v>
      </c>
      <c r="AJ618">
        <v>98125</v>
      </c>
      <c r="AS618" t="s">
        <v>1776</v>
      </c>
      <c r="AT618">
        <v>19525943</v>
      </c>
      <c r="AU618" s="7">
        <v>39520</v>
      </c>
      <c r="BB618" t="s">
        <v>912</v>
      </c>
    </row>
    <row r="619" spans="1:54">
      <c r="A619">
        <v>28041034</v>
      </c>
      <c r="B619" s="2" t="str">
        <f>HYPERLINK("http://www.windermere.com/index.cfm?fuseaction=Listing.ListingDetail&amp;ListingID=19508660","Active")</f>
        <v>Active</v>
      </c>
      <c r="D619" t="s">
        <v>55</v>
      </c>
      <c r="E619" t="s">
        <v>1777</v>
      </c>
      <c r="F619" s="10">
        <v>349950</v>
      </c>
      <c r="G619" t="s">
        <v>247</v>
      </c>
      <c r="H619" s="1">
        <v>1200</v>
      </c>
      <c r="J619">
        <v>2</v>
      </c>
      <c r="K619">
        <v>1.5</v>
      </c>
      <c r="M619" s="2" t="str">
        <f>HYPERLINK("http://www.windermere.com/index.cfm?fuseaction=Listing.MapPropertyInteractive&amp;ListingID=19508660&amp;resize=true&amp;windowWidth=800&amp;windowHeight=600","Map")</f>
        <v>Map</v>
      </c>
      <c r="O619" s="2" t="str">
        <f>HYPERLINK("http://www.windermere.com/index.cfm?fuseaction=Listing.MultiImageViewer&amp;ListingID=19508660&amp;ln=28041034&amp;pub_mls=1","More")</f>
        <v>More</v>
      </c>
      <c r="P619" t="s">
        <v>44</v>
      </c>
      <c r="AI619" t="s">
        <v>66</v>
      </c>
      <c r="AJ619">
        <v>98103</v>
      </c>
      <c r="AS619" t="s">
        <v>1778</v>
      </c>
      <c r="AT619">
        <v>19508660</v>
      </c>
      <c r="AU619" s="7">
        <v>39520</v>
      </c>
      <c r="BB619" t="s">
        <v>912</v>
      </c>
    </row>
    <row r="620" spans="1:54">
      <c r="A620">
        <v>28043629</v>
      </c>
      <c r="B620" s="2" t="str">
        <f>HYPERLINK("http://www.windermere.com/index.cfm?fuseaction=Listing.ListingDetail&amp;ListingID=19534338","Active")</f>
        <v>Active</v>
      </c>
      <c r="D620" t="s">
        <v>42</v>
      </c>
      <c r="E620" t="s">
        <v>1779</v>
      </c>
      <c r="F620" s="10">
        <v>359999</v>
      </c>
      <c r="G620" t="s">
        <v>137</v>
      </c>
      <c r="H620" s="1">
        <v>2060</v>
      </c>
      <c r="I620">
        <v>7200</v>
      </c>
      <c r="J620">
        <v>4</v>
      </c>
      <c r="K620">
        <v>1.75</v>
      </c>
      <c r="M620" s="2" t="str">
        <f>HYPERLINK("http://www.windermere.com/index.cfm?fuseaction=Listing.MapPropertyInteractive&amp;ListingID=19534338&amp;resize=true&amp;windowWidth=800&amp;windowHeight=600","Map")</f>
        <v>Map</v>
      </c>
      <c r="O620" s="2" t="str">
        <f>HYPERLINK("http://www.windermere.com/index.cfm?fuseaction=Listing.MultiImageViewer&amp;ListingID=19534338&amp;ln=28043629&amp;pub_mls=1","More")</f>
        <v>More</v>
      </c>
      <c r="P620" t="s">
        <v>44</v>
      </c>
      <c r="AI620" t="s">
        <v>66</v>
      </c>
      <c r="AJ620">
        <v>98125</v>
      </c>
      <c r="AS620" t="s">
        <v>1780</v>
      </c>
      <c r="AT620">
        <v>19534338</v>
      </c>
      <c r="AU620" s="7">
        <v>39520</v>
      </c>
      <c r="BB620" t="s">
        <v>912</v>
      </c>
    </row>
    <row r="621" spans="1:54">
      <c r="A621">
        <v>28042908</v>
      </c>
      <c r="B621" s="2" t="str">
        <f>HYPERLINK("http://www.windermere.com/index.cfm?fuseaction=Listing.ListingDetail&amp;ListingID=19527516","Subject To Inspection")</f>
        <v>Subject To Inspection</v>
      </c>
      <c r="D621" t="s">
        <v>55</v>
      </c>
      <c r="E621" t="s">
        <v>1781</v>
      </c>
      <c r="F621" s="10">
        <v>360000</v>
      </c>
      <c r="G621" t="s">
        <v>247</v>
      </c>
      <c r="H621" s="1">
        <v>1409</v>
      </c>
      <c r="J621">
        <v>3</v>
      </c>
      <c r="K621">
        <v>3.25</v>
      </c>
      <c r="M621" s="2" t="str">
        <f>HYPERLINK("http://www.windermere.com/index.cfm?fuseaction=Listing.MapPropertyInteractive&amp;ListingID=19527516&amp;resize=true&amp;windowWidth=800&amp;windowHeight=600","Map")</f>
        <v>Map</v>
      </c>
      <c r="AI621" t="s">
        <v>66</v>
      </c>
      <c r="AJ621">
        <v>98133</v>
      </c>
      <c r="AS621" t="s">
        <v>1782</v>
      </c>
      <c r="AT621">
        <v>19527516</v>
      </c>
      <c r="AU621" s="7">
        <v>39520</v>
      </c>
      <c r="BB621" t="s">
        <v>912</v>
      </c>
    </row>
    <row r="622" spans="1:54">
      <c r="A622">
        <v>28037710</v>
      </c>
      <c r="B622" s="2" t="str">
        <f>HYPERLINK("http://www.windermere.com/index.cfm?fuseaction=Listing.ListingDetail&amp;ListingID=19513607","Subject To Inspection")</f>
        <v>Subject To Inspection</v>
      </c>
      <c r="D622" t="s">
        <v>1783</v>
      </c>
      <c r="E622" t="s">
        <v>556</v>
      </c>
      <c r="F622" s="10">
        <v>369000</v>
      </c>
      <c r="G622" t="s">
        <v>146</v>
      </c>
      <c r="H622">
        <v>930</v>
      </c>
      <c r="I622">
        <v>2410</v>
      </c>
      <c r="J622">
        <v>2</v>
      </c>
      <c r="K622">
        <v>1</v>
      </c>
      <c r="M622" s="2" t="str">
        <f>HYPERLINK("http://www.windermere.com/index.cfm?fuseaction=Listing.MapPropertyInteractive&amp;ListingID=19513607&amp;resize=true&amp;windowWidth=800&amp;windowHeight=600","Map")</f>
        <v>Map</v>
      </c>
      <c r="O622" s="2" t="str">
        <f>HYPERLINK("http://www.windermere.com/index.cfm?fuseaction=viewGallery.Home&amp;customTourID=209989&amp;wvt=0","More")</f>
        <v>More</v>
      </c>
      <c r="AI622" t="s">
        <v>66</v>
      </c>
      <c r="AJ622">
        <v>98107</v>
      </c>
      <c r="AS622" t="s">
        <v>1784</v>
      </c>
      <c r="AT622">
        <v>19513607</v>
      </c>
      <c r="AU622" s="7">
        <v>39520</v>
      </c>
      <c r="BB622" t="s">
        <v>912</v>
      </c>
    </row>
    <row r="623" spans="1:54">
      <c r="A623">
        <v>28039027</v>
      </c>
      <c r="B623" s="2" t="str">
        <f>HYPERLINK("http://www.windermere.com/index.cfm?fuseaction=Listing.ListingDetail&amp;ListingID=19510974","Active")</f>
        <v>Active</v>
      </c>
      <c r="D623" t="s">
        <v>60</v>
      </c>
      <c r="E623" t="s">
        <v>1785</v>
      </c>
      <c r="F623" s="10">
        <v>370000</v>
      </c>
      <c r="G623" t="s">
        <v>247</v>
      </c>
      <c r="H623" s="1">
        <v>1260</v>
      </c>
      <c r="I623">
        <v>1628</v>
      </c>
      <c r="J623">
        <v>2</v>
      </c>
      <c r="K623">
        <v>1.5</v>
      </c>
      <c r="M623" s="2" t="str">
        <f>HYPERLINK("http://www.windermere.com/index.cfm?fuseaction=Listing.MapPropertyInteractive&amp;ListingID=19510974&amp;resize=true&amp;windowWidth=800&amp;windowHeight=600","Map")</f>
        <v>Map</v>
      </c>
      <c r="O623" s="2" t="str">
        <f>HYPERLINK("http://www.windermere.com/index.cfm?fuseaction=Listing.MultiImageViewer&amp;ListingID=19510974&amp;ln=28039027&amp;pub_mls=1","More")</f>
        <v>More</v>
      </c>
      <c r="P623" t="s">
        <v>44</v>
      </c>
      <c r="AI623" t="s">
        <v>66</v>
      </c>
      <c r="AJ623">
        <v>98103</v>
      </c>
      <c r="AS623" t="s">
        <v>1786</v>
      </c>
      <c r="AT623">
        <v>19510974</v>
      </c>
      <c r="AU623" s="7">
        <v>39520</v>
      </c>
      <c r="BB623" t="s">
        <v>912</v>
      </c>
    </row>
    <row r="624" spans="1:54">
      <c r="A624">
        <v>28040145</v>
      </c>
      <c r="B624" s="2" t="str">
        <f>HYPERLINK("http://www.windermere.com/index.cfm?fuseaction=Listing.ListingDetail&amp;ListingID=19502624","Active")</f>
        <v>Active</v>
      </c>
      <c r="D624" t="s">
        <v>192</v>
      </c>
      <c r="E624" t="s">
        <v>1787</v>
      </c>
      <c r="F624" s="10">
        <v>375000</v>
      </c>
      <c r="G624" t="s">
        <v>164</v>
      </c>
      <c r="H624" s="1">
        <v>1420</v>
      </c>
      <c r="J624">
        <v>2</v>
      </c>
      <c r="K624">
        <v>1</v>
      </c>
      <c r="M624" s="2" t="str">
        <f>HYPERLINK("http://www.windermere.com/index.cfm?fuseaction=Listing.MapPropertyInteractive&amp;ListingID=19502624&amp;resize=true&amp;windowWidth=800&amp;windowHeight=600","Map")</f>
        <v>Map</v>
      </c>
      <c r="O624" s="2" t="str">
        <f>HYPERLINK("http://www.windermere.com/index.cfm?fuseaction=Listing.MultiImageViewer&amp;ListingID=19502624&amp;ln=28040145&amp;pub_mls=1","More")</f>
        <v>More</v>
      </c>
      <c r="P624" t="s">
        <v>44</v>
      </c>
      <c r="AI624" t="s">
        <v>66</v>
      </c>
      <c r="AJ624" s="3">
        <v>98115</v>
      </c>
      <c r="AS624" t="s">
        <v>1788</v>
      </c>
      <c r="AT624">
        <v>19502624</v>
      </c>
      <c r="AU624" s="7">
        <v>39520</v>
      </c>
      <c r="BB624" t="s">
        <v>912</v>
      </c>
    </row>
    <row r="625" spans="1:54">
      <c r="A625">
        <v>28038593</v>
      </c>
      <c r="B625" s="2" t="str">
        <f>HYPERLINK("http://www.windermere.com/index.cfm?fuseaction=Listing.ListingDetail&amp;ListingID=19510936","Active")</f>
        <v>Active</v>
      </c>
      <c r="D625" t="s">
        <v>60</v>
      </c>
      <c r="E625" t="s">
        <v>1789</v>
      </c>
      <c r="F625" s="10">
        <v>375000</v>
      </c>
      <c r="G625" t="s">
        <v>247</v>
      </c>
      <c r="H625" s="1">
        <v>1371</v>
      </c>
      <c r="I625">
        <v>1269</v>
      </c>
      <c r="J625">
        <v>3</v>
      </c>
      <c r="K625">
        <v>2.5</v>
      </c>
      <c r="M625" s="2" t="str">
        <f>HYPERLINK("http://www.windermere.com/index.cfm?fuseaction=Listing.MapPropertyInteractive&amp;ListingID=19510936&amp;resize=true&amp;windowWidth=800&amp;windowHeight=600","Map")</f>
        <v>Map</v>
      </c>
      <c r="O625" s="2" t="str">
        <f>HYPERLINK("http://www.windermere.com/index.cfm?fuseaction=Listing.MultiImageViewer&amp;ListingID=19510936&amp;ln=28038593&amp;pub_mls=1","More")</f>
        <v>More</v>
      </c>
      <c r="AI625" t="s">
        <v>66</v>
      </c>
      <c r="AJ625">
        <v>98103</v>
      </c>
      <c r="AS625" t="s">
        <v>1790</v>
      </c>
      <c r="AT625">
        <v>19510936</v>
      </c>
      <c r="AU625" s="7">
        <v>39520</v>
      </c>
      <c r="BB625" t="s">
        <v>912</v>
      </c>
    </row>
    <row r="626" spans="1:54">
      <c r="A626">
        <v>28038924</v>
      </c>
      <c r="B626" s="2" t="str">
        <f>HYPERLINK("http://www.windermere.com/index.cfm?fuseaction=Listing.ListingDetail&amp;ListingID=19510975","Active")</f>
        <v>Active</v>
      </c>
      <c r="D626" t="s">
        <v>60</v>
      </c>
      <c r="E626" t="s">
        <v>1791</v>
      </c>
      <c r="F626" s="10">
        <v>380000</v>
      </c>
      <c r="G626" t="s">
        <v>247</v>
      </c>
      <c r="H626" s="1">
        <v>1371</v>
      </c>
      <c r="I626">
        <v>901</v>
      </c>
      <c r="J626">
        <v>3</v>
      </c>
      <c r="K626">
        <v>2.5</v>
      </c>
      <c r="M626" s="2" t="str">
        <f>HYPERLINK("http://www.windermere.com/index.cfm?fuseaction=Listing.MapPropertyInteractive&amp;ListingID=19510975&amp;resize=true&amp;windowWidth=800&amp;windowHeight=600","Map")</f>
        <v>Map</v>
      </c>
      <c r="O626" s="2" t="str">
        <f>HYPERLINK("http://www.windermere.com/index.cfm?fuseaction=Listing.MultiImageViewer&amp;ListingID=19510975&amp;ln=28038924&amp;pub_mls=1","More")</f>
        <v>More</v>
      </c>
      <c r="AI626" t="s">
        <v>66</v>
      </c>
      <c r="AJ626">
        <v>98103</v>
      </c>
      <c r="AS626" t="s">
        <v>1792</v>
      </c>
      <c r="AT626">
        <v>19510975</v>
      </c>
      <c r="AU626" s="7">
        <v>39520</v>
      </c>
      <c r="BB626" t="s">
        <v>912</v>
      </c>
    </row>
    <row r="627" spans="1:54">
      <c r="A627">
        <v>28043356</v>
      </c>
      <c r="B627" s="2" t="str">
        <f>HYPERLINK("http://www.windermere.com/index.cfm?fuseaction=Listing.ListingDetail&amp;ListingID=19532047","Active")</f>
        <v>Active</v>
      </c>
      <c r="D627" t="s">
        <v>60</v>
      </c>
      <c r="E627" t="s">
        <v>1793</v>
      </c>
      <c r="F627" s="10">
        <v>389950</v>
      </c>
      <c r="G627" t="s">
        <v>247</v>
      </c>
      <c r="H627" s="1">
        <v>1096</v>
      </c>
      <c r="J627">
        <v>2</v>
      </c>
      <c r="K627">
        <v>1.5</v>
      </c>
      <c r="M627" s="2" t="str">
        <f>HYPERLINK("http://www.windermere.com/index.cfm?fuseaction=Listing.MapPropertyInteractive&amp;ListingID=19532047&amp;resize=true&amp;windowWidth=800&amp;windowHeight=600","Map")</f>
        <v>Map</v>
      </c>
      <c r="O627" s="2" t="str">
        <f>HYPERLINK("http://www.windermere.com/index.cfm?fuseaction=viewGallery.Home&amp;customTourID=210945&amp;wvt=0","More")</f>
        <v>More</v>
      </c>
      <c r="P627" t="s">
        <v>44</v>
      </c>
      <c r="AI627" t="s">
        <v>66</v>
      </c>
      <c r="AJ627">
        <v>98103</v>
      </c>
      <c r="AS627" t="s">
        <v>1794</v>
      </c>
      <c r="AT627">
        <v>19532047</v>
      </c>
      <c r="AU627" s="7">
        <v>39520</v>
      </c>
      <c r="BB627" t="s">
        <v>912</v>
      </c>
    </row>
    <row r="628" spans="1:54">
      <c r="A628">
        <v>28043145</v>
      </c>
      <c r="B628" s="2" t="str">
        <f>HYPERLINK("http://www.windermere.com/index.cfm?fuseaction=Listing.ListingDetail&amp;ListingID=19528746","Active")</f>
        <v>Active</v>
      </c>
      <c r="D628" t="s">
        <v>188</v>
      </c>
      <c r="E628" t="s">
        <v>189</v>
      </c>
      <c r="F628" s="10">
        <v>389950</v>
      </c>
      <c r="G628" t="s">
        <v>135</v>
      </c>
      <c r="H628" s="1">
        <v>1930</v>
      </c>
      <c r="I628">
        <v>8385</v>
      </c>
      <c r="J628">
        <v>2</v>
      </c>
      <c r="K628">
        <v>1</v>
      </c>
      <c r="M628" s="2" t="str">
        <f>HYPERLINK("http://www.windermere.com/index.cfm?fuseaction=Listing.MapPropertyInteractive&amp;ListingID=19528746&amp;resize=true&amp;windowWidth=800&amp;windowHeight=600","Map")</f>
        <v>Map</v>
      </c>
      <c r="O628" s="2" t="str">
        <f>HYPERLINK("http://www.windermere.com/index.cfm?fuseaction=viewGallery.Home&amp;customTourID=210590&amp;wvt=0","More")</f>
        <v>More</v>
      </c>
      <c r="AI628" t="s">
        <v>66</v>
      </c>
      <c r="AJ628">
        <v>98125</v>
      </c>
      <c r="AS628" t="s">
        <v>1795</v>
      </c>
      <c r="AT628">
        <v>19528746</v>
      </c>
      <c r="AU628" s="7">
        <v>39520</v>
      </c>
      <c r="BB628" t="s">
        <v>912</v>
      </c>
    </row>
    <row r="629" spans="1:54">
      <c r="A629">
        <v>28040105</v>
      </c>
      <c r="B629" s="2" t="str">
        <f>HYPERLINK("http://www.windermere.com/index.cfm?fuseaction=Listing.ListingDetail&amp;ListingID=19501793","Subject To Inspection")</f>
        <v>Subject To Inspection</v>
      </c>
      <c r="D629" t="s">
        <v>60</v>
      </c>
      <c r="E629" t="s">
        <v>1796</v>
      </c>
      <c r="F629" s="10">
        <v>399900</v>
      </c>
      <c r="G629" t="s">
        <v>878</v>
      </c>
      <c r="H629" s="1">
        <v>1360</v>
      </c>
      <c r="I629">
        <v>4080</v>
      </c>
      <c r="J629">
        <v>2</v>
      </c>
      <c r="K629">
        <v>1</v>
      </c>
      <c r="M629" s="2" t="str">
        <f>HYPERLINK("http://www.windermere.com/index.cfm?fuseaction=Listing.MapPropertyInteractive&amp;ListingID=19501793&amp;resize=true&amp;windowWidth=800&amp;windowHeight=600","Map")</f>
        <v>Map</v>
      </c>
      <c r="O629" s="2" t="str">
        <f>HYPERLINK("http://www.windermere.com/index.cfm?fuseaction=viewGallery.Home&amp;customTourID=210001&amp;wvt=0","More")</f>
        <v>More</v>
      </c>
      <c r="P629" t="s">
        <v>44</v>
      </c>
      <c r="AI629" t="s">
        <v>66</v>
      </c>
      <c r="AJ629">
        <v>98103</v>
      </c>
      <c r="AS629" t="s">
        <v>1797</v>
      </c>
      <c r="AT629">
        <v>19501793</v>
      </c>
      <c r="AU629" s="7">
        <v>39520</v>
      </c>
      <c r="BB629" t="s">
        <v>912</v>
      </c>
    </row>
    <row r="630" spans="1:54">
      <c r="A630">
        <v>28042569</v>
      </c>
      <c r="B630" s="2" t="str">
        <f>HYPERLINK("http://www.windermere.com/index.cfm?fuseaction=Listing.ListingDetail&amp;ListingID=19525923","Active")</f>
        <v>Active</v>
      </c>
      <c r="D630" t="s">
        <v>70</v>
      </c>
      <c r="E630" t="s">
        <v>692</v>
      </c>
      <c r="F630" s="10">
        <v>399950</v>
      </c>
      <c r="G630" t="s">
        <v>157</v>
      </c>
      <c r="H630" s="1">
        <v>1640</v>
      </c>
      <c r="I630">
        <v>8400</v>
      </c>
      <c r="J630">
        <v>3</v>
      </c>
      <c r="K630">
        <v>1.75</v>
      </c>
      <c r="M630" s="2" t="str">
        <f>HYPERLINK("http://www.windermere.com/index.cfm?fuseaction=Listing.MapPropertyInteractive&amp;ListingID=19525923&amp;resize=true&amp;windowWidth=800&amp;windowHeight=600","Map")</f>
        <v>Map</v>
      </c>
      <c r="O630" s="2" t="str">
        <f>HYPERLINK("http://www.windermere.com/index.cfm?fuseaction=Listing.MultiImageViewer&amp;ListingID=19525923&amp;ln=28042569&amp;pub_mls=1","More")</f>
        <v>More</v>
      </c>
      <c r="P630" t="s">
        <v>44</v>
      </c>
      <c r="AI630" t="s">
        <v>66</v>
      </c>
      <c r="AJ630">
        <v>98133</v>
      </c>
      <c r="AS630" t="s">
        <v>1798</v>
      </c>
      <c r="AT630">
        <v>19525923</v>
      </c>
      <c r="AU630" s="7">
        <v>39520</v>
      </c>
      <c r="BB630" t="s">
        <v>912</v>
      </c>
    </row>
    <row r="631" spans="1:54">
      <c r="A631">
        <v>28043475</v>
      </c>
      <c r="B631" s="4" t="str">
        <f>HYPERLINK("http://www.windermere.com/index.cfm?fuseaction=Listing.ListingDetail&amp;ListingID=19534275","Subject To Inspection")</f>
        <v>Subject To Inspection</v>
      </c>
      <c r="D631" t="s">
        <v>70</v>
      </c>
      <c r="E631" t="s">
        <v>1799</v>
      </c>
      <c r="F631" s="10">
        <v>399950</v>
      </c>
      <c r="G631" t="s">
        <v>130</v>
      </c>
      <c r="H631" s="1">
        <v>1480</v>
      </c>
      <c r="I631">
        <v>6500</v>
      </c>
      <c r="J631">
        <v>3</v>
      </c>
      <c r="K631">
        <v>1</v>
      </c>
      <c r="M631" s="2" t="str">
        <f>HYPERLINK("http://www.windermere.com/index.cfm?fuseaction=Listing.MapPropertyInteractive&amp;ListingID=19534275&amp;resize=true&amp;windowWidth=800&amp;windowHeight=600","Map")</f>
        <v>Map</v>
      </c>
      <c r="O631" s="2" t="str">
        <f>HYPERLINK("http://www.windermere.com/index.cfm?fuseaction=viewGallery.Home&amp;customTourID=210617&amp;wvt=0","More")</f>
        <v>More</v>
      </c>
      <c r="P631" t="s">
        <v>44</v>
      </c>
      <c r="AI631" t="s">
        <v>66</v>
      </c>
      <c r="AJ631">
        <v>98177</v>
      </c>
      <c r="AS631" t="s">
        <v>1800</v>
      </c>
      <c r="AT631">
        <v>19534275</v>
      </c>
      <c r="AU631" s="7">
        <v>39520</v>
      </c>
      <c r="BB631" t="s">
        <v>912</v>
      </c>
    </row>
    <row r="632" spans="1:54">
      <c r="A632">
        <v>28041588</v>
      </c>
      <c r="B632" s="4" t="str">
        <f>HYPERLINK("http://www.windermere.com/index.cfm?fuseaction=Listing.ListingDetail&amp;ListingID=19518282","Active")</f>
        <v>Active</v>
      </c>
      <c r="D632" t="s">
        <v>1130</v>
      </c>
      <c r="E632" t="s">
        <v>1801</v>
      </c>
      <c r="F632" s="10">
        <v>399950</v>
      </c>
      <c r="G632" t="s">
        <v>135</v>
      </c>
      <c r="H632" s="1">
        <v>1400</v>
      </c>
      <c r="I632">
        <v>10446</v>
      </c>
      <c r="J632">
        <v>2</v>
      </c>
      <c r="K632">
        <v>2</v>
      </c>
      <c r="M632" s="2" t="str">
        <f>HYPERLINK("http://www.windermere.com/index.cfm?fuseaction=Listing.MapPropertyInteractive&amp;ListingID=19518282&amp;resize=true&amp;windowWidth=800&amp;windowHeight=600","Map")</f>
        <v>Map</v>
      </c>
      <c r="O632" s="2" t="str">
        <f>HYPERLINK("http://www.windermere.com/index.cfm?fuseaction=Listing.MultiImageViewer&amp;ListingID=19518282&amp;ln=28041588&amp;pub_mls=1","More")</f>
        <v>More</v>
      </c>
      <c r="AI632" t="s">
        <v>66</v>
      </c>
      <c r="AJ632">
        <v>98125</v>
      </c>
      <c r="AS632" t="s">
        <v>1802</v>
      </c>
      <c r="AT632">
        <v>19518282</v>
      </c>
      <c r="AU632" s="7">
        <v>39520</v>
      </c>
      <c r="BB632" t="s">
        <v>912</v>
      </c>
    </row>
    <row r="633" spans="1:54">
      <c r="A633">
        <v>28041845</v>
      </c>
      <c r="B633" s="4" t="str">
        <f>HYPERLINK("http://www.windermere.com/index.cfm?fuseaction=Listing.ListingDetail&amp;ListingID=19527687","Subject To Inspection")</f>
        <v>Subject To Inspection</v>
      </c>
      <c r="D633" t="s">
        <v>63</v>
      </c>
      <c r="E633" t="s">
        <v>1803</v>
      </c>
      <c r="F633" s="10">
        <v>400000</v>
      </c>
      <c r="G633" t="s">
        <v>176</v>
      </c>
      <c r="H633">
        <v>880</v>
      </c>
      <c r="J633">
        <v>2</v>
      </c>
      <c r="K633">
        <v>1</v>
      </c>
      <c r="M633" s="2" t="str">
        <f>HYPERLINK("http://www.windermere.com/index.cfm?fuseaction=Listing.MapPropertyInteractive&amp;ListingID=19527687&amp;resize=true&amp;windowWidth=800&amp;windowHeight=600","Map")</f>
        <v>Map</v>
      </c>
      <c r="O633" s="2" t="str">
        <f>HYPERLINK("http://www.windermere.com/index.cfm?fuseaction=Listing.MultiImageViewer&amp;ListingID=19527687&amp;ln=28041845&amp;pub_mls=1","More")</f>
        <v>More</v>
      </c>
      <c r="AI633" t="s">
        <v>66</v>
      </c>
      <c r="AJ633">
        <v>98117</v>
      </c>
      <c r="AS633" t="s">
        <v>1804</v>
      </c>
      <c r="AT633">
        <v>19527687</v>
      </c>
      <c r="AU633" s="7">
        <v>39520</v>
      </c>
      <c r="BB633" t="s">
        <v>912</v>
      </c>
    </row>
    <row r="634" spans="1:54">
      <c r="A634">
        <v>28041539</v>
      </c>
      <c r="B634" s="2" t="str">
        <f>HYPERLINK("http://www.windermere.com/index.cfm?fuseaction=Listing.ListingDetail&amp;ListingID=19516854","Active")</f>
        <v>Active</v>
      </c>
      <c r="D634" t="s">
        <v>190</v>
      </c>
      <c r="E634" t="s">
        <v>673</v>
      </c>
      <c r="F634" s="18">
        <v>392500</v>
      </c>
      <c r="G634" t="s">
        <v>674</v>
      </c>
      <c r="H634" s="1">
        <v>1350</v>
      </c>
      <c r="J634">
        <v>3</v>
      </c>
      <c r="K634">
        <v>2.25</v>
      </c>
      <c r="M634" s="2" t="str">
        <f>HYPERLINK("http://www.windermere.com/index.cfm?fuseaction=Listing.MapPropertyInteractive&amp;ListingID=19516854&amp;resize=true&amp;windowWidth=800&amp;windowHeight=600","Map")</f>
        <v>Map</v>
      </c>
      <c r="O634" s="2" t="str">
        <f>HYPERLINK("http://www.windermere.com/index.cfm?fuseaction=Listing.MultiImageViewer&amp;ListingID=19516854&amp;ln=28041539&amp;pub_mls=1","More")</f>
        <v>More</v>
      </c>
      <c r="AI634" t="s">
        <v>66</v>
      </c>
      <c r="AJ634">
        <v>98115</v>
      </c>
      <c r="AS634" t="s">
        <v>1805</v>
      </c>
      <c r="AT634">
        <v>19516854</v>
      </c>
      <c r="AU634" s="7">
        <v>39520</v>
      </c>
      <c r="BB634" t="s">
        <v>912</v>
      </c>
    </row>
    <row r="635" spans="1:54">
      <c r="A635">
        <v>28041722</v>
      </c>
      <c r="B635" s="2" t="str">
        <f>HYPERLINK("http://www.windermere.com/index.cfm?fuseaction=Listing.ListingDetail&amp;ListingID=19520541","Active")</f>
        <v>Active</v>
      </c>
      <c r="D635" t="s">
        <v>1087</v>
      </c>
      <c r="E635" t="s">
        <v>1806</v>
      </c>
      <c r="F635" s="10">
        <v>409950</v>
      </c>
      <c r="G635" t="s">
        <v>135</v>
      </c>
      <c r="H635" s="1">
        <v>1800</v>
      </c>
      <c r="I635">
        <v>6741</v>
      </c>
      <c r="J635">
        <v>3</v>
      </c>
      <c r="K635">
        <v>1.75</v>
      </c>
      <c r="M635" s="2" t="str">
        <f>HYPERLINK("http://www.windermere.com/index.cfm?fuseaction=Listing.MapPropertyInteractive&amp;ListingID=19520541&amp;resize=true&amp;windowWidth=800&amp;windowHeight=600","Map")</f>
        <v>Map</v>
      </c>
      <c r="O635" s="2" t="str">
        <f>HYPERLINK("http://www.windermere.com/index.cfm?fuseaction=Listing.MultiImageViewer&amp;ListingID=19520541&amp;ln=28041722&amp;pub_mls=1","More")</f>
        <v>More</v>
      </c>
      <c r="AI635" t="s">
        <v>66</v>
      </c>
      <c r="AJ635">
        <v>98133</v>
      </c>
      <c r="AS635" t="s">
        <v>1807</v>
      </c>
      <c r="AT635">
        <v>19520541</v>
      </c>
      <c r="AU635" s="7">
        <v>39520</v>
      </c>
      <c r="BB635" t="s">
        <v>912</v>
      </c>
    </row>
    <row r="636" spans="1:54">
      <c r="A636">
        <v>28042399</v>
      </c>
      <c r="B636" s="2" t="str">
        <f>HYPERLINK("http://www.windermere.com/index.cfm?fuseaction=Listing.ListingDetail&amp;ListingID=19527760","Active")</f>
        <v>Active</v>
      </c>
      <c r="D636" t="s">
        <v>66</v>
      </c>
      <c r="E636" t="s">
        <v>1808</v>
      </c>
      <c r="F636" s="10">
        <v>409950</v>
      </c>
      <c r="G636" t="s">
        <v>161</v>
      </c>
      <c r="H636" s="1">
        <v>1270</v>
      </c>
      <c r="I636">
        <v>6970</v>
      </c>
      <c r="J636">
        <v>3</v>
      </c>
      <c r="K636">
        <v>2</v>
      </c>
      <c r="M636" s="2" t="str">
        <f>HYPERLINK("http://www.windermere.com/index.cfm?fuseaction=Listing.MapPropertyInteractive&amp;ListingID=19527760&amp;resize=true&amp;windowWidth=800&amp;windowHeight=600","Map")</f>
        <v>Map</v>
      </c>
      <c r="O636" s="2" t="str">
        <f>HYPERLINK("http://www.windermere.com/index.cfm?fuseaction=Listing.MultiImageViewer&amp;ListingID=19527760&amp;ln=28042399&amp;pub_mls=1","More")</f>
        <v>More</v>
      </c>
      <c r="P636" t="s">
        <v>44</v>
      </c>
      <c r="AI636" t="s">
        <v>66</v>
      </c>
      <c r="AJ636">
        <v>98125</v>
      </c>
      <c r="AS636" t="s">
        <v>1809</v>
      </c>
      <c r="AT636">
        <v>19527760</v>
      </c>
      <c r="AU636" s="7">
        <v>39520</v>
      </c>
      <c r="BB636" t="s">
        <v>912</v>
      </c>
    </row>
    <row r="637" spans="1:54">
      <c r="A637">
        <v>28043472</v>
      </c>
      <c r="B637" s="2" t="str">
        <f>HYPERLINK("http://www.windermere.com/index.cfm?fuseaction=Listing.ListingDetail&amp;ListingID=19532603","Active")</f>
        <v>Active</v>
      </c>
      <c r="D637" t="s">
        <v>99</v>
      </c>
      <c r="E637" t="s">
        <v>1810</v>
      </c>
      <c r="F637" s="10">
        <v>418000</v>
      </c>
      <c r="G637" t="s">
        <v>146</v>
      </c>
      <c r="H637" s="1">
        <v>1720</v>
      </c>
      <c r="I637">
        <v>5000</v>
      </c>
      <c r="J637">
        <v>3</v>
      </c>
      <c r="K637">
        <v>1.5</v>
      </c>
      <c r="M637" s="2" t="str">
        <f>HYPERLINK("http://www.windermere.com/index.cfm?fuseaction=Listing.MapPropertyInteractive&amp;ListingID=19532603&amp;resize=true&amp;windowWidth=800&amp;windowHeight=600","Map")</f>
        <v>Map</v>
      </c>
      <c r="O637" s="2" t="str">
        <f>HYPERLINK("http://www.windermere.com/index.cfm?fuseaction=Listing.MultiImageViewer&amp;ListingID=19532603&amp;ln=28043472&amp;pub_mls=1","More")</f>
        <v>More</v>
      </c>
      <c r="P637" t="s">
        <v>44</v>
      </c>
      <c r="AI637" t="s">
        <v>66</v>
      </c>
      <c r="AJ637">
        <v>98117</v>
      </c>
      <c r="AS637" t="s">
        <v>1811</v>
      </c>
      <c r="AT637">
        <v>19532603</v>
      </c>
      <c r="AU637" s="7">
        <v>39520</v>
      </c>
      <c r="BB637" t="s">
        <v>912</v>
      </c>
    </row>
    <row r="638" spans="1:54">
      <c r="A638">
        <v>28041237</v>
      </c>
      <c r="B638" s="4" t="str">
        <f>HYPERLINK("http://www.windermere.com/index.cfm?fuseaction=Listing.ListingDetail&amp;ListingID=19560889","Subject To Inspection")</f>
        <v>Subject To Inspection</v>
      </c>
      <c r="D638" t="s">
        <v>63</v>
      </c>
      <c r="E638" t="s">
        <v>1812</v>
      </c>
      <c r="F638" s="10">
        <v>419000</v>
      </c>
      <c r="G638" t="s">
        <v>1813</v>
      </c>
      <c r="H638" s="1">
        <v>1170</v>
      </c>
      <c r="I638">
        <v>2369</v>
      </c>
      <c r="J638">
        <v>2</v>
      </c>
      <c r="K638">
        <v>1.5</v>
      </c>
      <c r="M638" s="2" t="str">
        <f>HYPERLINK("http://www.windermere.com/index.cfm?fuseaction=Listing.MapPropertyInteractive&amp;ListingID=19560889&amp;resize=true&amp;windowWidth=800&amp;windowHeight=600","Map")</f>
        <v>Map</v>
      </c>
      <c r="O638" s="2" t="str">
        <f>HYPERLINK("http://www.windermere.com/index.cfm?fuseaction=viewGallery.Home&amp;customTourID=210350&amp;wvt=0","More")</f>
        <v>More</v>
      </c>
      <c r="AI638" t="s">
        <v>66</v>
      </c>
      <c r="AJ638">
        <v>98107</v>
      </c>
      <c r="AS638" s="3" t="s">
        <v>1956</v>
      </c>
      <c r="AT638" s="3">
        <v>19560889</v>
      </c>
      <c r="AU638" s="7">
        <v>39520</v>
      </c>
      <c r="BB638" t="s">
        <v>912</v>
      </c>
    </row>
    <row r="639" spans="1:54">
      <c r="A639">
        <v>28042130</v>
      </c>
      <c r="B639" s="2" t="str">
        <f>HYPERLINK("http://www.windermere.com/index.cfm?fuseaction=Listing.ListingDetail&amp;ListingID=19520835","Active")</f>
        <v>Active</v>
      </c>
      <c r="D639" t="s">
        <v>984</v>
      </c>
      <c r="E639" t="s">
        <v>1814</v>
      </c>
      <c r="F639" s="10">
        <v>429950</v>
      </c>
      <c r="G639" t="s">
        <v>731</v>
      </c>
      <c r="H639">
        <v>960</v>
      </c>
      <c r="I639">
        <v>6000</v>
      </c>
      <c r="J639">
        <v>2</v>
      </c>
      <c r="K639">
        <v>1</v>
      </c>
      <c r="M639" s="2" t="str">
        <f>HYPERLINK("http://www.windermere.com/index.cfm?fuseaction=Listing.MapPropertyInteractive&amp;ListingID=19520835&amp;resize=true&amp;windowWidth=800&amp;windowHeight=600","Map")</f>
        <v>Map</v>
      </c>
      <c r="O639" s="2" t="str">
        <f>HYPERLINK("http://www.windermere.com/index.cfm?fuseaction=viewGallery.Home&amp;customTourID=210193&amp;wvt=0","More")</f>
        <v>More</v>
      </c>
      <c r="P639" t="s">
        <v>44</v>
      </c>
      <c r="AI639" t="s">
        <v>66</v>
      </c>
      <c r="AJ639">
        <v>98115</v>
      </c>
      <c r="AS639" t="s">
        <v>1815</v>
      </c>
      <c r="AT639">
        <v>19520835</v>
      </c>
      <c r="AU639" s="7">
        <v>39520</v>
      </c>
      <c r="BB639" t="s">
        <v>912</v>
      </c>
    </row>
    <row r="640" spans="1:54">
      <c r="A640">
        <v>28041195</v>
      </c>
      <c r="B640" s="2" t="str">
        <f>HYPERLINK("http://www.windermere.com/index.cfm?fuseaction=Listing.ListingDetail&amp;ListingID=19525006","Active")</f>
        <v>Active</v>
      </c>
      <c r="D640" t="s">
        <v>99</v>
      </c>
      <c r="E640" t="s">
        <v>1816</v>
      </c>
      <c r="F640" s="10">
        <v>430000</v>
      </c>
      <c r="G640" t="s">
        <v>168</v>
      </c>
      <c r="H640">
        <v>980</v>
      </c>
      <c r="I640">
        <v>6930</v>
      </c>
      <c r="J640">
        <v>2</v>
      </c>
      <c r="K640">
        <v>1</v>
      </c>
      <c r="M640" s="2" t="str">
        <f>HYPERLINK("http://www.windermere.com/index.cfm?fuseaction=Listing.MapPropertyInteractive&amp;ListingID=19525006&amp;resize=true&amp;windowWidth=800&amp;windowHeight=600","Map")</f>
        <v>Map</v>
      </c>
      <c r="O640" s="2" t="str">
        <f>HYPERLINK("http://www.windermere.com/index.cfm?fuseaction=Listing.MultiImageViewer&amp;ListingID=19525006&amp;ln=28041195&amp;pub_mls=1","More")</f>
        <v>More</v>
      </c>
      <c r="AI640" t="s">
        <v>66</v>
      </c>
      <c r="AJ640">
        <v>98177</v>
      </c>
      <c r="AS640" t="s">
        <v>1817</v>
      </c>
      <c r="AT640">
        <v>19525006</v>
      </c>
      <c r="AU640" s="7">
        <v>39520</v>
      </c>
      <c r="BB640" t="s">
        <v>912</v>
      </c>
    </row>
    <row r="641" spans="1:54">
      <c r="A641">
        <v>28033550</v>
      </c>
      <c r="B641" s="4" t="str">
        <f>HYPERLINK("http://www.windermere.com/index.cfm?fuseaction=Listing.ListingDetail&amp;ListingID=19501422","Subject To Inspection")</f>
        <v>Subject To Inspection</v>
      </c>
      <c r="D641" t="s">
        <v>920</v>
      </c>
      <c r="E641" t="s">
        <v>1818</v>
      </c>
      <c r="F641" s="10">
        <v>430000</v>
      </c>
      <c r="G641" t="s">
        <v>176</v>
      </c>
      <c r="H641" s="1">
        <v>1400</v>
      </c>
      <c r="I641">
        <v>6832</v>
      </c>
      <c r="J641">
        <v>3</v>
      </c>
      <c r="K641">
        <v>1</v>
      </c>
      <c r="M641" s="2" t="str">
        <f>HYPERLINK("http://www.windermere.com/index.cfm?fuseaction=Listing.MapPropertyInteractive&amp;ListingID=19501422&amp;resize=true&amp;windowWidth=800&amp;windowHeight=600","Map")</f>
        <v>Map</v>
      </c>
      <c r="O641" s="2" t="str">
        <f>HYPERLINK("http://www.windermere.com/index.cfm?fuseaction=Listing.MultiImageViewer&amp;ListingID=19501422&amp;ln=28033550&amp;pub_mls=1","More")</f>
        <v>More</v>
      </c>
      <c r="AI641" t="s">
        <v>66</v>
      </c>
      <c r="AJ641">
        <v>98125</v>
      </c>
      <c r="AS641" t="s">
        <v>1819</v>
      </c>
      <c r="AT641">
        <v>19501422</v>
      </c>
      <c r="AU641" s="7">
        <v>39520</v>
      </c>
      <c r="BB641" t="s">
        <v>912</v>
      </c>
    </row>
    <row r="642" spans="1:54">
      <c r="A642">
        <v>28039993</v>
      </c>
      <c r="B642" s="2" t="str">
        <f>HYPERLINK("http://www.windermere.com/index.cfm?fuseaction=Listing.ListingDetail&amp;ListingID=19502602","Active")</f>
        <v>Active</v>
      </c>
      <c r="D642" t="s">
        <v>204</v>
      </c>
      <c r="E642" t="s">
        <v>205</v>
      </c>
      <c r="F642" s="10">
        <v>438300</v>
      </c>
      <c r="G642" t="s">
        <v>124</v>
      </c>
      <c r="H642" s="1">
        <v>2500</v>
      </c>
      <c r="I642">
        <v>7749</v>
      </c>
      <c r="J642">
        <v>4</v>
      </c>
      <c r="K642">
        <v>2</v>
      </c>
      <c r="M642" s="2" t="str">
        <f>HYPERLINK("http://www.windermere.com/index.cfm?fuseaction=Listing.MapPropertyInteractive&amp;ListingID=19502602&amp;resize=true&amp;windowWidth=800&amp;windowHeight=600","Map")</f>
        <v>Map</v>
      </c>
      <c r="O642" s="2" t="str">
        <f>HYPERLINK("http://www.windermere.com/index.cfm?fuseaction=Listing.MultiImageViewer&amp;ListingID=19502602&amp;ln=28039993&amp;pub_mls=1","More")</f>
        <v>More</v>
      </c>
      <c r="P642" t="s">
        <v>44</v>
      </c>
      <c r="AI642" t="s">
        <v>66</v>
      </c>
      <c r="AJ642">
        <v>98125</v>
      </c>
      <c r="AS642" t="s">
        <v>1820</v>
      </c>
      <c r="AT642">
        <v>19502602</v>
      </c>
      <c r="AU642" s="7">
        <v>39520</v>
      </c>
      <c r="BB642" t="s">
        <v>912</v>
      </c>
    </row>
    <row r="643" spans="1:54">
      <c r="A643">
        <v>28037830</v>
      </c>
      <c r="B643" s="2" t="str">
        <f>HYPERLINK("http://www.windermere.com/index.cfm?fuseaction=Listing.ListingDetail&amp;ListingID=19508565","Active")</f>
        <v>Active</v>
      </c>
      <c r="D643" t="s">
        <v>192</v>
      </c>
      <c r="E643" t="s">
        <v>1822</v>
      </c>
      <c r="F643" s="10">
        <v>444000</v>
      </c>
      <c r="G643" t="s">
        <v>129</v>
      </c>
      <c r="H643" s="1">
        <v>1050</v>
      </c>
      <c r="I643">
        <v>4275</v>
      </c>
      <c r="J643">
        <v>2</v>
      </c>
      <c r="K643">
        <v>1.5</v>
      </c>
      <c r="M643" s="2" t="str">
        <f>HYPERLINK("http://www.windermere.com/index.cfm?fuseaction=Listing.MapPropertyInteractive&amp;ListingID=19508565&amp;resize=true&amp;windowWidth=800&amp;windowHeight=600","Map")</f>
        <v>Map</v>
      </c>
      <c r="AI643" t="s">
        <v>66</v>
      </c>
      <c r="AJ643">
        <v>98115</v>
      </c>
      <c r="AS643" t="s">
        <v>1823</v>
      </c>
      <c r="AT643">
        <v>19508565</v>
      </c>
      <c r="AU643" s="7">
        <v>39520</v>
      </c>
      <c r="BB643" t="s">
        <v>912</v>
      </c>
    </row>
    <row r="644" spans="1:54">
      <c r="A644">
        <v>28041473</v>
      </c>
      <c r="B644" s="2" t="str">
        <f>HYPERLINK("http://www.windermere.com/index.cfm?fuseaction=Listing.ListingDetail&amp;ListingID=19522436","Active")</f>
        <v>Active</v>
      </c>
      <c r="D644" t="s">
        <v>63</v>
      </c>
      <c r="E644" t="s">
        <v>1824</v>
      </c>
      <c r="F644" s="10">
        <v>459000</v>
      </c>
      <c r="G644" t="s">
        <v>144</v>
      </c>
      <c r="H644" s="1">
        <v>1520</v>
      </c>
      <c r="I644">
        <v>3000</v>
      </c>
      <c r="J644">
        <v>2</v>
      </c>
      <c r="K644">
        <v>1</v>
      </c>
      <c r="M644" s="2" t="str">
        <f>HYPERLINK("http://www.windermere.com/index.cfm?fuseaction=Listing.MapPropertyInteractive&amp;ListingID=19522436&amp;resize=true&amp;windowWidth=800&amp;windowHeight=600","Map")</f>
        <v>Map</v>
      </c>
      <c r="O644" s="2" t="str">
        <f>HYPERLINK("http://www.windermere.com/index.cfm?fuseaction=viewGallery.Home&amp;customTourID=210168&amp;wvt=0","More")</f>
        <v>More</v>
      </c>
      <c r="AI644" t="s">
        <v>66</v>
      </c>
      <c r="AJ644">
        <v>98117</v>
      </c>
      <c r="AS644" t="s">
        <v>1825</v>
      </c>
      <c r="AT644">
        <v>19522436</v>
      </c>
      <c r="AU644" s="7">
        <v>39520</v>
      </c>
      <c r="BB644" t="s">
        <v>912</v>
      </c>
    </row>
    <row r="645" spans="1:54">
      <c r="A645">
        <v>28040201</v>
      </c>
      <c r="B645" s="2" t="str">
        <f>HYPERLINK("http://www.windermere.com/index.cfm?fuseaction=Listing.ListingDetail&amp;ListingID=19501911","Active")</f>
        <v>Active</v>
      </c>
      <c r="D645" t="s">
        <v>100</v>
      </c>
      <c r="E645" t="s">
        <v>1425</v>
      </c>
      <c r="F645" s="10">
        <v>459000</v>
      </c>
      <c r="G645" t="s">
        <v>159</v>
      </c>
      <c r="H645" s="1">
        <v>1670</v>
      </c>
      <c r="I645">
        <v>3025</v>
      </c>
      <c r="J645">
        <v>2</v>
      </c>
      <c r="K645">
        <v>1.75</v>
      </c>
      <c r="M645" s="2" t="str">
        <f>HYPERLINK("http://www.windermere.com/index.cfm?fuseaction=Listing.MapPropertyInteractive&amp;ListingID=19501911&amp;resize=true&amp;windowWidth=800&amp;windowHeight=600","Map")</f>
        <v>Map</v>
      </c>
      <c r="P645" t="s">
        <v>44</v>
      </c>
      <c r="AI645" t="s">
        <v>66</v>
      </c>
      <c r="AJ645">
        <v>98107</v>
      </c>
      <c r="AS645" t="s">
        <v>1826</v>
      </c>
      <c r="AT645">
        <v>19501911</v>
      </c>
      <c r="AU645" s="7">
        <v>39520</v>
      </c>
      <c r="BB645" t="s">
        <v>912</v>
      </c>
    </row>
    <row r="646" spans="1:54">
      <c r="A646">
        <v>28042199</v>
      </c>
      <c r="B646" s="2" t="str">
        <f>HYPERLINK("http://www.windermere.com/index.cfm?fuseaction=Listing.ListingDetail&amp;ListingID=19520926","Active")</f>
        <v>Active</v>
      </c>
      <c r="D646" t="s">
        <v>109</v>
      </c>
      <c r="E646" t="s">
        <v>1827</v>
      </c>
      <c r="F646" s="10">
        <v>459950</v>
      </c>
      <c r="G646" t="s">
        <v>247</v>
      </c>
      <c r="H646" s="1">
        <v>1439</v>
      </c>
      <c r="J646">
        <v>3</v>
      </c>
      <c r="K646">
        <v>2.25</v>
      </c>
      <c r="M646" s="2" t="str">
        <f>HYPERLINK("http://www.windermere.com/index.cfm?fuseaction=Listing.MapPropertyInteractive&amp;ListingID=19520926&amp;resize=true&amp;windowWidth=800&amp;windowHeight=600","Map")</f>
        <v>Map</v>
      </c>
      <c r="O646" s="2" t="str">
        <f>HYPERLINK("http://www.windermere.com/index.cfm?fuseaction=Listing.MultiImageViewer&amp;ListingID=19520926&amp;ln=28042199&amp;pub_mls=1","More")</f>
        <v>More</v>
      </c>
      <c r="P646" t="s">
        <v>44</v>
      </c>
      <c r="AI646" t="s">
        <v>66</v>
      </c>
      <c r="AJ646">
        <v>98103</v>
      </c>
      <c r="AS646" t="s">
        <v>1828</v>
      </c>
      <c r="AT646">
        <v>19520926</v>
      </c>
      <c r="AU646" s="7">
        <v>39520</v>
      </c>
      <c r="BB646" t="s">
        <v>912</v>
      </c>
    </row>
    <row r="647" spans="1:54">
      <c r="A647">
        <v>28043121</v>
      </c>
      <c r="B647" s="2" t="str">
        <f>HYPERLINK("http://www.windermere.com/index.cfm?fuseaction=Listing.ListingDetail&amp;ListingID=19528624","Active")</f>
        <v>Active</v>
      </c>
      <c r="D647" t="s">
        <v>194</v>
      </c>
      <c r="E647" t="s">
        <v>1829</v>
      </c>
      <c r="F647" s="10">
        <v>462500</v>
      </c>
      <c r="G647" t="s">
        <v>162</v>
      </c>
      <c r="H647" s="1">
        <v>1860</v>
      </c>
      <c r="I647">
        <v>6968</v>
      </c>
      <c r="J647">
        <v>2</v>
      </c>
      <c r="K647">
        <v>1.25</v>
      </c>
      <c r="M647" s="2" t="str">
        <f>HYPERLINK("http://www.windermere.com/index.cfm?fuseaction=Listing.MapPropertyInteractive&amp;ListingID=19528624&amp;resize=true&amp;windowWidth=800&amp;windowHeight=600","Map")</f>
        <v>Map</v>
      </c>
      <c r="O647" s="2" t="str">
        <f>HYPERLINK("http://www.windermere.com/index.cfm?fuseaction=Listing.MultiImageViewer&amp;ListingID=19528624&amp;ln=28043121&amp;pub_mls=1","More")</f>
        <v>More</v>
      </c>
      <c r="AI647" t="s">
        <v>66</v>
      </c>
      <c r="AJ647">
        <v>98115</v>
      </c>
      <c r="AS647" t="s">
        <v>1830</v>
      </c>
      <c r="AT647">
        <v>19528624</v>
      </c>
      <c r="AU647" s="7">
        <v>39520</v>
      </c>
      <c r="BB647" t="s">
        <v>912</v>
      </c>
    </row>
    <row r="648" spans="1:54">
      <c r="A648">
        <v>28041576</v>
      </c>
      <c r="B648" s="2" t="str">
        <f>HYPERLINK("http://www.windermere.com/index.cfm?fuseaction=Listing.ListingDetail&amp;ListingID=19519996","Active")</f>
        <v>Active</v>
      </c>
      <c r="D648" t="s">
        <v>70</v>
      </c>
      <c r="E648" t="s">
        <v>903</v>
      </c>
      <c r="F648" s="10">
        <v>469000</v>
      </c>
      <c r="G648" t="s">
        <v>135</v>
      </c>
      <c r="H648" s="1">
        <v>2120</v>
      </c>
      <c r="J648">
        <v>3</v>
      </c>
      <c r="K648">
        <v>1.5</v>
      </c>
      <c r="M648" s="2" t="str">
        <f>HYPERLINK("http://www.windermere.com/index.cfm?fuseaction=Listing.MapPropertyInteractive&amp;ListingID=19519996&amp;resize=true&amp;windowWidth=800&amp;windowHeight=600","Map")</f>
        <v>Map</v>
      </c>
      <c r="O648" s="2" t="str">
        <f>HYPERLINK("http://www.windermere.com/index.cfm?fuseaction=viewGallery.Home&amp;customTourID=207709&amp;wvt=0","More")</f>
        <v>More</v>
      </c>
      <c r="AI648" t="s">
        <v>66</v>
      </c>
      <c r="AJ648">
        <v>98103</v>
      </c>
      <c r="AS648" t="s">
        <v>1831</v>
      </c>
      <c r="AT648">
        <v>19519996</v>
      </c>
      <c r="AU648" s="7">
        <v>39520</v>
      </c>
      <c r="BB648" t="s">
        <v>912</v>
      </c>
    </row>
    <row r="649" spans="1:54">
      <c r="A649">
        <v>28040739</v>
      </c>
      <c r="B649" s="2" t="str">
        <f>HYPERLINK("http://www.windermere.com/index.cfm?fuseaction=Listing.ListingDetail&amp;ListingID=19504940","Active")</f>
        <v>Active</v>
      </c>
      <c r="D649" t="s">
        <v>60</v>
      </c>
      <c r="E649" t="s">
        <v>1832</v>
      </c>
      <c r="F649" s="10">
        <v>469000</v>
      </c>
      <c r="G649" t="s">
        <v>288</v>
      </c>
      <c r="H649" s="1">
        <v>1920</v>
      </c>
      <c r="I649">
        <v>3000</v>
      </c>
      <c r="J649">
        <v>3</v>
      </c>
      <c r="K649">
        <v>1</v>
      </c>
      <c r="M649" s="2" t="str">
        <f>HYPERLINK("http://www.windermere.com/index.cfm?fuseaction=Listing.MapPropertyInteractive&amp;ListingID=19504940&amp;resize=true&amp;windowWidth=800&amp;windowHeight=600","Map")</f>
        <v>Map</v>
      </c>
      <c r="O649" s="2" t="str">
        <f>HYPERLINK("http://www.windermere.com/index.cfm?fuseaction=Listing.MultiImageViewer&amp;ListingID=19504940&amp;ln=28040739&amp;pub_mls=1","More")</f>
        <v>More</v>
      </c>
      <c r="AI649" t="s">
        <v>66</v>
      </c>
      <c r="AJ649">
        <v>98115</v>
      </c>
      <c r="AS649" t="s">
        <v>1833</v>
      </c>
      <c r="AT649">
        <v>19504940</v>
      </c>
      <c r="AU649" s="7">
        <v>39520</v>
      </c>
      <c r="BB649" t="s">
        <v>912</v>
      </c>
    </row>
    <row r="650" spans="1:54">
      <c r="A650">
        <v>28043644</v>
      </c>
      <c r="B650" s="4" t="str">
        <f>HYPERLINK("http://www.windermere.com/index.cfm?fuseaction=Listing.ListingDetail&amp;ListingID=19534597","Subject To Inspection")</f>
        <v>Subject To Inspection</v>
      </c>
      <c r="D650" t="s">
        <v>192</v>
      </c>
      <c r="E650" t="s">
        <v>1834</v>
      </c>
      <c r="F650" s="10">
        <v>469000</v>
      </c>
      <c r="G650" t="s">
        <v>156</v>
      </c>
      <c r="H650" s="1">
        <v>1940</v>
      </c>
      <c r="I650">
        <v>7344</v>
      </c>
      <c r="J650">
        <v>3</v>
      </c>
      <c r="K650" s="3">
        <v>1.5</v>
      </c>
      <c r="M650" s="2" t="str">
        <f>HYPERLINK("http://www.windermere.com/index.cfm?fuseaction=Listing.MapPropertyInteractive&amp;ListingID=19534597&amp;resize=true&amp;windowWidth=800&amp;windowHeight=600","Map")</f>
        <v>Map</v>
      </c>
      <c r="O650" s="2" t="str">
        <f>HYPERLINK("http://www.windermere.com/index.cfm?fuseaction=Listing.MultiImageViewer&amp;ListingID=19534597&amp;ln=28043644&amp;pub_mls=1","More")</f>
        <v>More</v>
      </c>
      <c r="P650" t="s">
        <v>44</v>
      </c>
      <c r="AI650" t="s">
        <v>66</v>
      </c>
      <c r="AJ650">
        <v>98115</v>
      </c>
      <c r="AS650" t="s">
        <v>1835</v>
      </c>
      <c r="AT650">
        <v>19534597</v>
      </c>
      <c r="AU650" s="7">
        <v>39520</v>
      </c>
      <c r="BB650" t="s">
        <v>912</v>
      </c>
    </row>
    <row r="651" spans="1:54">
      <c r="A651">
        <v>28042860</v>
      </c>
      <c r="B651" s="2" t="str">
        <f>HYPERLINK("http://www.windermere.com/index.cfm?fuseaction=Listing.ListingDetail&amp;ListingID=19528316","Active")</f>
        <v>Active</v>
      </c>
      <c r="D651" t="s">
        <v>100</v>
      </c>
      <c r="E651" t="s">
        <v>1836</v>
      </c>
      <c r="F651" s="10">
        <v>469950</v>
      </c>
      <c r="G651" t="s">
        <v>424</v>
      </c>
      <c r="H651" s="1">
        <v>1285</v>
      </c>
      <c r="J651">
        <v>2</v>
      </c>
      <c r="K651">
        <v>1.5</v>
      </c>
      <c r="M651" s="2" t="str">
        <f>HYPERLINK("http://www.windermere.com/index.cfm?fuseaction=Listing.MapPropertyInteractive&amp;ListingID=19528316&amp;resize=true&amp;windowWidth=800&amp;windowHeight=600","Map")</f>
        <v>Map</v>
      </c>
      <c r="O651" s="2" t="str">
        <f>HYPERLINK("http://www.windermere.com/index.cfm?fuseaction=Listing.MultiImageViewer&amp;ListingID=19528316&amp;ln=28042860&amp;pub_mls=1","More")</f>
        <v>More</v>
      </c>
      <c r="AI651" t="s">
        <v>66</v>
      </c>
      <c r="AJ651">
        <v>98103</v>
      </c>
      <c r="AS651" t="s">
        <v>1837</v>
      </c>
      <c r="AT651">
        <v>19528316</v>
      </c>
      <c r="AU651" s="7">
        <v>39520</v>
      </c>
      <c r="BB651" t="s">
        <v>912</v>
      </c>
    </row>
    <row r="652" spans="1:54">
      <c r="A652">
        <v>28043351</v>
      </c>
      <c r="B652" s="2" t="str">
        <f>HYPERLINK("http://www.windermere.com/index.cfm?fuseaction=Listing.ListingDetail&amp;ListingID=19531998","Active")</f>
        <v>Active</v>
      </c>
      <c r="D652" t="s">
        <v>60</v>
      </c>
      <c r="E652" t="s">
        <v>1838</v>
      </c>
      <c r="F652" s="10">
        <v>479950</v>
      </c>
      <c r="G652" t="s">
        <v>247</v>
      </c>
      <c r="H652" s="1">
        <v>1357</v>
      </c>
      <c r="J652">
        <v>3</v>
      </c>
      <c r="K652">
        <v>2.5</v>
      </c>
      <c r="M652" s="2" t="str">
        <f>HYPERLINK("http://www.windermere.com/index.cfm?fuseaction=Listing.MapPropertyInteractive&amp;ListingID=19531998&amp;resize=true&amp;windowWidth=800&amp;windowHeight=600","Map")</f>
        <v>Map</v>
      </c>
      <c r="O652" s="2" t="str">
        <f>HYPERLINK("http://www.windermere.com/index.cfm?fuseaction=viewGallery.Home&amp;customTourID=210944&amp;wvt=0","More")</f>
        <v>More</v>
      </c>
      <c r="P652" t="s">
        <v>44</v>
      </c>
      <c r="AI652" t="s">
        <v>66</v>
      </c>
      <c r="AJ652">
        <v>98103</v>
      </c>
      <c r="AS652" t="s">
        <v>1839</v>
      </c>
      <c r="AT652">
        <v>19531998</v>
      </c>
      <c r="AU652" s="7">
        <v>39520</v>
      </c>
      <c r="BB652" t="s">
        <v>912</v>
      </c>
    </row>
    <row r="653" spans="1:54">
      <c r="A653">
        <v>28041039</v>
      </c>
      <c r="B653" s="2" t="str">
        <f>HYPERLINK("http://www.windermere.com/index.cfm?fuseaction=Listing.ListingDetail&amp;ListingID=19508791","Active")</f>
        <v>Active</v>
      </c>
      <c r="D653" t="s">
        <v>192</v>
      </c>
      <c r="E653" t="s">
        <v>1840</v>
      </c>
      <c r="F653" s="10">
        <v>485000</v>
      </c>
      <c r="G653" t="s">
        <v>151</v>
      </c>
      <c r="H653" s="1">
        <v>1930</v>
      </c>
      <c r="I653">
        <v>3800</v>
      </c>
      <c r="J653">
        <v>3</v>
      </c>
      <c r="K653">
        <v>1</v>
      </c>
      <c r="M653" s="2" t="str">
        <f>HYPERLINK("http://www.windermere.com/index.cfm?fuseaction=Listing.MapPropertyInteractive&amp;ListingID=19508791&amp;resize=true&amp;windowWidth=800&amp;windowHeight=600","Map")</f>
        <v>Map</v>
      </c>
      <c r="O653" s="2" t="str">
        <f>HYPERLINK("http://www.windermere.com/index.cfm?fuseaction=Listing.MultiImageViewer&amp;ListingID=19508791&amp;ln=28041039&amp;pub_mls=1","More")</f>
        <v>More</v>
      </c>
      <c r="P653" t="s">
        <v>44</v>
      </c>
      <c r="AI653" t="s">
        <v>66</v>
      </c>
      <c r="AJ653">
        <v>98115</v>
      </c>
      <c r="AS653" t="s">
        <v>1841</v>
      </c>
      <c r="AT653">
        <v>19508791</v>
      </c>
      <c r="AU653" s="7">
        <v>39520</v>
      </c>
      <c r="BB653" t="s">
        <v>912</v>
      </c>
    </row>
    <row r="654" spans="1:54">
      <c r="A654">
        <v>28043452</v>
      </c>
      <c r="B654" s="2" t="str">
        <f>HYPERLINK("http://www.windermere.com/index.cfm?fuseaction=Listing.ListingDetail&amp;ListingID=19532558","Active")</f>
        <v>Active</v>
      </c>
      <c r="D654" t="s">
        <v>100</v>
      </c>
      <c r="E654" t="s">
        <v>1842</v>
      </c>
      <c r="F654" s="10">
        <v>489960</v>
      </c>
      <c r="G654" t="s">
        <v>128</v>
      </c>
      <c r="H654" s="1">
        <v>1400</v>
      </c>
      <c r="J654">
        <v>3</v>
      </c>
      <c r="K654">
        <v>2.5</v>
      </c>
      <c r="M654" s="2" t="str">
        <f>HYPERLINK("http://www.windermere.com/index.cfm?fuseaction=Listing.MapPropertyInteractive&amp;ListingID=19532558&amp;resize=true&amp;windowWidth=800&amp;windowHeight=600","Map")</f>
        <v>Map</v>
      </c>
      <c r="O654" s="2" t="str">
        <f>HYPERLINK("http://www.windermere.com/index.cfm?fuseaction=Listing.MultiImageViewer&amp;ListingID=19532558&amp;ln=28043452&amp;pub_mls=1","More")</f>
        <v>More</v>
      </c>
      <c r="AI654" t="s">
        <v>66</v>
      </c>
      <c r="AJ654">
        <v>98103</v>
      </c>
      <c r="AS654" t="s">
        <v>1843</v>
      </c>
      <c r="AT654">
        <v>19532558</v>
      </c>
      <c r="AU654" s="7">
        <v>39520</v>
      </c>
      <c r="BB654" t="s">
        <v>912</v>
      </c>
    </row>
    <row r="655" spans="1:54">
      <c r="A655">
        <v>28033278</v>
      </c>
      <c r="B655" s="2" t="str">
        <f>HYPERLINK("http://www.windermere.com/index.cfm?fuseaction=Listing.ListingDetail&amp;ListingID=19445397","Active")</f>
        <v>Active</v>
      </c>
      <c r="D655" t="s">
        <v>100</v>
      </c>
      <c r="E655" t="s">
        <v>1844</v>
      </c>
      <c r="F655" s="10">
        <v>498750</v>
      </c>
      <c r="G655" t="s">
        <v>404</v>
      </c>
      <c r="H655" s="1">
        <v>1690</v>
      </c>
      <c r="J655">
        <v>3</v>
      </c>
      <c r="K655">
        <v>3.5</v>
      </c>
      <c r="M655" s="2" t="str">
        <f>HYPERLINK("http://www.windermere.com/index.cfm?fuseaction=Listing.MapPropertyInteractive&amp;ListingID=19445397&amp;resize=true&amp;windowWidth=800&amp;windowHeight=600","Map")</f>
        <v>Map</v>
      </c>
      <c r="O655" s="2" t="str">
        <f>HYPERLINK("http://www.windermere.com/index.cfm?fuseaction=Listing.MultiImageViewer&amp;ListingID=19445397&amp;ln=28033278&amp;pub_mls=1","More")</f>
        <v>More</v>
      </c>
      <c r="P655" t="s">
        <v>44</v>
      </c>
      <c r="AI655" t="s">
        <v>66</v>
      </c>
      <c r="AJ655">
        <v>98103</v>
      </c>
      <c r="AS655" t="s">
        <v>1845</v>
      </c>
      <c r="AT655">
        <v>19445397</v>
      </c>
      <c r="AU655" s="7">
        <v>39520</v>
      </c>
      <c r="BB655" t="s">
        <v>912</v>
      </c>
    </row>
    <row r="656" spans="1:54">
      <c r="A656">
        <v>28043221</v>
      </c>
      <c r="B656" s="2" t="str">
        <f>HYPERLINK("http://www.windermere.com/index.cfm?fuseaction=Listing.ListingDetail&amp;ListingID=19531465","Active")</f>
        <v>Active</v>
      </c>
      <c r="D656" t="s">
        <v>60</v>
      </c>
      <c r="E656" t="s">
        <v>1846</v>
      </c>
      <c r="F656" s="10">
        <v>499000</v>
      </c>
      <c r="G656" t="s">
        <v>247</v>
      </c>
      <c r="H656" s="1">
        <v>1584</v>
      </c>
      <c r="J656">
        <v>3</v>
      </c>
      <c r="K656">
        <v>3.5</v>
      </c>
      <c r="M656" s="2" t="str">
        <f>HYPERLINK("http://www.windermere.com/index.cfm?fuseaction=Listing.MapPropertyInteractive&amp;ListingID=19531465&amp;resize=true&amp;windowWidth=800&amp;windowHeight=600","Map")</f>
        <v>Map</v>
      </c>
      <c r="O656" s="2" t="str">
        <f>HYPERLINK("http://www.windermere.com/index.cfm?fuseaction=Listing.MultiImageViewer&amp;ListingID=19531465&amp;ln=28043221&amp;pub_mls=1","More")</f>
        <v>More</v>
      </c>
      <c r="P656" t="s">
        <v>44</v>
      </c>
      <c r="AI656" t="s">
        <v>66</v>
      </c>
      <c r="AJ656">
        <v>98103</v>
      </c>
      <c r="AS656" t="s">
        <v>1847</v>
      </c>
      <c r="AT656">
        <v>19531465</v>
      </c>
      <c r="AU656" s="7">
        <v>39520</v>
      </c>
      <c r="BB656" t="s">
        <v>912</v>
      </c>
    </row>
    <row r="657" spans="1:54">
      <c r="A657">
        <v>28043240</v>
      </c>
      <c r="B657" s="2" t="str">
        <f>HYPERLINK("http://www.windermere.com/index.cfm?fuseaction=Listing.ListingDetail&amp;ListingID=19531487","Active")</f>
        <v>Active</v>
      </c>
      <c r="D657" t="s">
        <v>60</v>
      </c>
      <c r="E657" t="s">
        <v>1848</v>
      </c>
      <c r="F657" s="10">
        <v>499000</v>
      </c>
      <c r="G657" t="s">
        <v>247</v>
      </c>
      <c r="H657" s="1">
        <v>1580</v>
      </c>
      <c r="J657">
        <v>3</v>
      </c>
      <c r="K657">
        <v>3.5</v>
      </c>
      <c r="M657" s="2" t="str">
        <f>HYPERLINK("http://www.windermere.com/index.cfm?fuseaction=Listing.MapPropertyInteractive&amp;ListingID=19531487&amp;resize=true&amp;windowWidth=800&amp;windowHeight=600","Map")</f>
        <v>Map</v>
      </c>
      <c r="O657" s="2" t="str">
        <f>HYPERLINK("http://www.windermere.com/index.cfm?fuseaction=Listing.MultiImageViewer&amp;ListingID=19531487&amp;ln=28043240&amp;pub_mls=1","More")</f>
        <v>More</v>
      </c>
      <c r="P657" t="s">
        <v>44</v>
      </c>
      <c r="AI657" t="s">
        <v>66</v>
      </c>
      <c r="AJ657">
        <v>98103</v>
      </c>
      <c r="AS657" t="s">
        <v>1849</v>
      </c>
      <c r="AT657">
        <v>19531487</v>
      </c>
      <c r="AU657" s="7">
        <v>39520</v>
      </c>
      <c r="BB657" t="s">
        <v>912</v>
      </c>
    </row>
    <row r="658" spans="1:54">
      <c r="A658">
        <v>28008975</v>
      </c>
      <c r="B658" s="4" t="str">
        <f>HYPERLINK("http://www.windermere.com/index.cfm?fuseaction=Listing.ListingDetail&amp;ListingID=19223637","Subject To Inspection")</f>
        <v>Subject To Inspection</v>
      </c>
      <c r="D658" t="s">
        <v>109</v>
      </c>
      <c r="E658" t="s">
        <v>1850</v>
      </c>
      <c r="F658" s="10">
        <v>499000</v>
      </c>
      <c r="G658" t="s">
        <v>172</v>
      </c>
      <c r="H658" s="1">
        <v>1360</v>
      </c>
      <c r="I658">
        <v>3750</v>
      </c>
      <c r="J658">
        <v>2</v>
      </c>
      <c r="K658">
        <v>1.75</v>
      </c>
      <c r="M658" s="2" t="str">
        <f>HYPERLINK("http://www.windermere.com/index.cfm?fuseaction=Listing.MapPropertyInteractive&amp;ListingID=19223637&amp;resize=true&amp;windowWidth=800&amp;windowHeight=600","Map")</f>
        <v>Map</v>
      </c>
      <c r="O658" s="2" t="str">
        <f>HYPERLINK("http://www.windermere.com/index.cfm?fuseaction=viewGallery.Home&amp;customTourID=195956&amp;wvt=0","More")</f>
        <v>More</v>
      </c>
      <c r="P658" t="s">
        <v>44</v>
      </c>
      <c r="AI658" t="s">
        <v>66</v>
      </c>
      <c r="AJ658">
        <v>98103</v>
      </c>
      <c r="AS658" t="s">
        <v>1851</v>
      </c>
      <c r="AT658">
        <v>19223637</v>
      </c>
      <c r="AU658" s="7">
        <v>39520</v>
      </c>
      <c r="BB658" t="s">
        <v>912</v>
      </c>
    </row>
    <row r="659" spans="1:54">
      <c r="A659">
        <v>27199085</v>
      </c>
      <c r="B659" s="2" t="str">
        <f>HYPERLINK("http://www.windermere.com/index.cfm?fuseaction=Listing.ListingDetail&amp;ListingID=18933731","Active")</f>
        <v>Active</v>
      </c>
      <c r="D659" s="3" t="s">
        <v>66</v>
      </c>
      <c r="E659" t="s">
        <v>1852</v>
      </c>
      <c r="F659" s="10">
        <v>499000</v>
      </c>
      <c r="G659" t="s">
        <v>156</v>
      </c>
      <c r="H659" s="1">
        <v>1780</v>
      </c>
      <c r="I659">
        <v>5050</v>
      </c>
      <c r="J659">
        <v>2</v>
      </c>
      <c r="K659">
        <v>1.5</v>
      </c>
      <c r="M659" s="2" t="str">
        <f>HYPERLINK("http://www.windermere.com/index.cfm?fuseaction=Listing.MapPropertyInteractive&amp;ListingID=18933731&amp;resize=true&amp;windowWidth=800&amp;windowHeight=600","Map")</f>
        <v>Map</v>
      </c>
      <c r="O659" s="2" t="str">
        <f>HYPERLINK("http://www.windermere.com/index.cfm?fuseaction=Listing.MultiImageViewer&amp;ListingID=18933731&amp;ln=27199085&amp;pub_mls=1","More")</f>
        <v>More</v>
      </c>
      <c r="AI659" t="s">
        <v>66</v>
      </c>
      <c r="AJ659">
        <v>98115</v>
      </c>
      <c r="AS659" t="s">
        <v>1853</v>
      </c>
      <c r="AT659">
        <v>18933731</v>
      </c>
      <c r="AU659" s="7">
        <v>39520</v>
      </c>
      <c r="BB659" t="s">
        <v>912</v>
      </c>
    </row>
    <row r="660" spans="1:54">
      <c r="A660">
        <v>28042411</v>
      </c>
      <c r="B660" s="2" t="str">
        <f>HYPERLINK("http://www.windermere.com/index.cfm?fuseaction=Listing.ListingDetail&amp;ListingID=19530550","Active")</f>
        <v>Active</v>
      </c>
      <c r="D660" t="s">
        <v>202</v>
      </c>
      <c r="E660" t="s">
        <v>1854</v>
      </c>
      <c r="F660" s="10">
        <v>499000</v>
      </c>
      <c r="G660" t="s">
        <v>176</v>
      </c>
      <c r="I660">
        <v>9977</v>
      </c>
      <c r="J660">
        <v>3</v>
      </c>
      <c r="K660">
        <v>1.75</v>
      </c>
      <c r="M660" s="2" t="str">
        <f>HYPERLINK("http://www.windermere.com/index.cfm?fuseaction=Listing.MapPropertyInteractive&amp;ListingID=19530550&amp;resize=true&amp;windowWidth=800&amp;windowHeight=600","Map")</f>
        <v>Map</v>
      </c>
      <c r="O660" s="2" t="str">
        <f>HYPERLINK("http://www.windermere.com/index.cfm?fuseaction=viewGallery.Home&amp;customTourID=210232&amp;wvt=0","More")</f>
        <v>More</v>
      </c>
      <c r="AI660" t="s">
        <v>66</v>
      </c>
      <c r="AJ660">
        <v>98125</v>
      </c>
      <c r="AS660" t="s">
        <v>1855</v>
      </c>
      <c r="AT660">
        <v>19530550</v>
      </c>
      <c r="AU660" s="7">
        <v>39520</v>
      </c>
      <c r="BB660" t="s">
        <v>912</v>
      </c>
    </row>
    <row r="661" spans="1:54">
      <c r="A661">
        <v>28043259</v>
      </c>
      <c r="B661" s="2" t="str">
        <f>HYPERLINK("http://www.windermere.com/index.cfm?fuseaction=Listing.ListingDetail&amp;ListingID=19531597","Active")</f>
        <v>Active</v>
      </c>
      <c r="D661" t="s">
        <v>60</v>
      </c>
      <c r="E661" t="s">
        <v>1856</v>
      </c>
      <c r="F661" s="10">
        <v>499950</v>
      </c>
      <c r="G661" t="s">
        <v>247</v>
      </c>
      <c r="H661" s="1">
        <v>1432</v>
      </c>
      <c r="J661">
        <v>3</v>
      </c>
      <c r="K661">
        <v>2.5</v>
      </c>
      <c r="M661" s="2" t="str">
        <f>HYPERLINK("http://www.windermere.com/index.cfm?fuseaction=Listing.MapPropertyInteractive&amp;ListingID=19531597&amp;resize=true&amp;windowWidth=800&amp;windowHeight=600","Map")</f>
        <v>Map</v>
      </c>
      <c r="O661" s="2" t="str">
        <f>HYPERLINK("http://www.windermere.com/index.cfm?fuseaction=viewGallery.Home&amp;customTourID=210940&amp;wvt=0","More")</f>
        <v>More</v>
      </c>
      <c r="P661" t="s">
        <v>44</v>
      </c>
      <c r="AI661" t="s">
        <v>66</v>
      </c>
      <c r="AJ661">
        <v>98103</v>
      </c>
      <c r="AS661" t="s">
        <v>1857</v>
      </c>
      <c r="AT661">
        <v>19531597</v>
      </c>
      <c r="AU661" s="7">
        <v>39520</v>
      </c>
      <c r="BB661" t="s">
        <v>912</v>
      </c>
    </row>
    <row r="662" spans="1:54">
      <c r="A662">
        <v>28040368</v>
      </c>
      <c r="B662" s="2" t="str">
        <f>HYPERLINK("http://www.windermere.com/index.cfm?fuseaction=Listing.ListingDetail&amp;ListingID=19502947","Active")</f>
        <v>Active</v>
      </c>
      <c r="D662" t="s">
        <v>100</v>
      </c>
      <c r="E662" t="s">
        <v>1858</v>
      </c>
      <c r="F662" s="10">
        <v>499950</v>
      </c>
      <c r="G662" t="s">
        <v>247</v>
      </c>
      <c r="J662">
        <v>3</v>
      </c>
      <c r="K662">
        <v>2.5</v>
      </c>
      <c r="M662" s="2" t="str">
        <f>HYPERLINK("http://www.windermere.com/index.cfm?fuseaction=Listing.MapPropertyInteractive&amp;ListingID=19502947&amp;resize=true&amp;windowWidth=800&amp;windowHeight=600","Map")</f>
        <v>Map</v>
      </c>
      <c r="O662" s="2" t="str">
        <f>HYPERLINK("http://www.windermere.com/index.cfm?fuseaction=Listing.MultiImageViewer&amp;ListingID=19502947&amp;ln=28040368&amp;pub_mls=1","More")</f>
        <v>More</v>
      </c>
      <c r="P662" t="s">
        <v>44</v>
      </c>
      <c r="AI662" t="s">
        <v>66</v>
      </c>
      <c r="AJ662">
        <v>98103</v>
      </c>
      <c r="AS662" t="s">
        <v>1859</v>
      </c>
      <c r="AT662">
        <v>19502947</v>
      </c>
      <c r="AU662" s="7">
        <v>39520</v>
      </c>
      <c r="BB662" t="s">
        <v>912</v>
      </c>
    </row>
    <row r="663" spans="1:54">
      <c r="A663">
        <v>28040066</v>
      </c>
      <c r="B663" s="2" t="str">
        <f>HYPERLINK("http://www.windermere.com/index.cfm?fuseaction=Listing.ListingDetail&amp;ListingID=19501470","Active")</f>
        <v>Active</v>
      </c>
      <c r="D663" t="s">
        <v>100</v>
      </c>
      <c r="E663" t="s">
        <v>1860</v>
      </c>
      <c r="F663" s="10">
        <v>499950</v>
      </c>
      <c r="G663" t="s">
        <v>247</v>
      </c>
      <c r="H663" s="1">
        <v>1364</v>
      </c>
      <c r="J663">
        <v>3</v>
      </c>
      <c r="K663">
        <v>2.75</v>
      </c>
      <c r="M663" s="2" t="str">
        <f>HYPERLINK("http://www.windermere.com/index.cfm?fuseaction=Listing.MapPropertyInteractive&amp;ListingID=19501470&amp;resize=true&amp;windowWidth=800&amp;windowHeight=600","Map")</f>
        <v>Map</v>
      </c>
      <c r="O663" s="2" t="str">
        <f>HYPERLINK("http://www.windermere.com/index.cfm?fuseaction=Listing.MultiImageViewer&amp;ListingID=19501470&amp;ln=28040066&amp;pub_mls=1","More")</f>
        <v>More</v>
      </c>
      <c r="AI663" t="s">
        <v>66</v>
      </c>
      <c r="AJ663">
        <v>98107</v>
      </c>
      <c r="AS663" t="s">
        <v>1861</v>
      </c>
      <c r="AT663">
        <v>19501470</v>
      </c>
      <c r="AU663" s="7">
        <v>39520</v>
      </c>
      <c r="BB663" t="s">
        <v>912</v>
      </c>
    </row>
    <row r="664" spans="1:54">
      <c r="A664">
        <v>28040033</v>
      </c>
      <c r="B664" s="2" t="str">
        <f>HYPERLINK("http://www.windermere.com/index.cfm?fuseaction=Listing.ListingDetail&amp;ListingID=19501414","Active")</f>
        <v>Active</v>
      </c>
      <c r="D664" t="s">
        <v>226</v>
      </c>
      <c r="E664" t="s">
        <v>1536</v>
      </c>
      <c r="F664" s="10">
        <v>499950</v>
      </c>
      <c r="G664" t="s">
        <v>135</v>
      </c>
      <c r="H664" s="1">
        <v>1540</v>
      </c>
      <c r="I664">
        <v>4284</v>
      </c>
      <c r="J664">
        <v>3</v>
      </c>
      <c r="K664">
        <v>1.75</v>
      </c>
      <c r="M664" s="2" t="str">
        <f>HYPERLINK("http://www.windermere.com/index.cfm?fuseaction=Listing.MapPropertyInteractive&amp;ListingID=19501414&amp;resize=true&amp;windowWidth=800&amp;windowHeight=600","Map")</f>
        <v>Map</v>
      </c>
      <c r="O664" s="2" t="str">
        <f>HYPERLINK("http://www.windermere.com/index.cfm?fuseaction=Listing.MultiImageViewer&amp;ListingID=19501414&amp;ln=28040033&amp;pub_mls=1","More")</f>
        <v>More</v>
      </c>
      <c r="AI664" t="s">
        <v>66</v>
      </c>
      <c r="AJ664">
        <v>98105</v>
      </c>
      <c r="AS664" t="s">
        <v>1863</v>
      </c>
      <c r="AT664">
        <v>19501414</v>
      </c>
      <c r="AU664" s="7">
        <v>39520</v>
      </c>
      <c r="BB664" t="s">
        <v>912</v>
      </c>
    </row>
    <row r="665" spans="1:54">
      <c r="A665">
        <v>28038180</v>
      </c>
      <c r="B665" s="2" t="str">
        <f>HYPERLINK("http://www.windermere.com/index.cfm?fuseaction=Listing.ListingDetail&amp;ListingID=19502755","Active")</f>
        <v>Active</v>
      </c>
      <c r="D665" t="s">
        <v>42</v>
      </c>
      <c r="E665" t="s">
        <v>1864</v>
      </c>
      <c r="F665" s="10">
        <v>500000</v>
      </c>
      <c r="G665" t="s">
        <v>1865</v>
      </c>
      <c r="H665" s="1">
        <v>1532</v>
      </c>
      <c r="I665">
        <v>8867</v>
      </c>
      <c r="J665">
        <v>3</v>
      </c>
      <c r="K665">
        <v>2.5</v>
      </c>
      <c r="M665" s="2" t="str">
        <f>HYPERLINK("http://www.windermere.com/index.cfm?fuseaction=Listing.MapPropertyInteractive&amp;ListingID=19502755&amp;resize=true&amp;windowWidth=800&amp;windowHeight=600","Map")</f>
        <v>Map</v>
      </c>
      <c r="O665" s="2" t="str">
        <f>HYPERLINK("http://www.windermere.com/index.cfm?fuseaction=Listing.MultiImageViewer&amp;ListingID=19502755&amp;ln=28038180&amp;pub_mls=1","More")</f>
        <v>More</v>
      </c>
      <c r="AI665" t="s">
        <v>66</v>
      </c>
      <c r="AJ665">
        <v>98125</v>
      </c>
      <c r="AS665" t="s">
        <v>1866</v>
      </c>
      <c r="AT665">
        <v>19502755</v>
      </c>
      <c r="AU665" s="7">
        <v>39520</v>
      </c>
      <c r="BB665" t="s">
        <v>912</v>
      </c>
    </row>
    <row r="666" spans="1:54">
      <c r="A666">
        <v>28039687</v>
      </c>
      <c r="B666" s="2" t="str">
        <f>HYPERLINK("http://www.windermere.com/index.cfm?fuseaction=Listing.ListingDetail&amp;ListingID=19502484","Active")</f>
        <v>Active</v>
      </c>
      <c r="D666" t="s">
        <v>63</v>
      </c>
      <c r="E666" t="s">
        <v>1867</v>
      </c>
      <c r="F666" s="10">
        <v>500000</v>
      </c>
      <c r="G666" t="s">
        <v>1868</v>
      </c>
      <c r="H666" s="1">
        <v>2100</v>
      </c>
      <c r="I666">
        <v>5000</v>
      </c>
      <c r="J666">
        <v>3</v>
      </c>
      <c r="K666">
        <v>1.75</v>
      </c>
      <c r="M666" s="2" t="str">
        <f>HYPERLINK("http://www.windermere.com/index.cfm?fuseaction=Listing.MapPropertyInteractive&amp;ListingID=19502484&amp;resize=true&amp;windowWidth=800&amp;windowHeight=600","Map")</f>
        <v>Map</v>
      </c>
      <c r="O666" s="2" t="str">
        <f>HYPERLINK("http://www.windermere.com/index.cfm?fuseaction=Listing.MultiImageViewer&amp;ListingID=19502484&amp;ln=28039687&amp;pub_mls=1","More")</f>
        <v>More</v>
      </c>
      <c r="AI666" t="s">
        <v>66</v>
      </c>
      <c r="AJ666">
        <v>98117</v>
      </c>
      <c r="AS666" t="s">
        <v>1869</v>
      </c>
      <c r="AT666">
        <v>19502484</v>
      </c>
      <c r="AU666" s="7">
        <v>39520</v>
      </c>
      <c r="BB666" t="s">
        <v>912</v>
      </c>
    </row>
    <row r="667" spans="1:54">
      <c r="A667">
        <v>28040043</v>
      </c>
      <c r="B667" s="2" t="str">
        <f>HYPERLINK("http://www.windermere.com/index.cfm?fuseaction=Listing.ListingDetail&amp;ListingID=19502401","Active")</f>
        <v>Active</v>
      </c>
      <c r="D667" t="s">
        <v>63</v>
      </c>
      <c r="E667" t="s">
        <v>1870</v>
      </c>
      <c r="F667" s="10">
        <v>500000</v>
      </c>
      <c r="G667" t="s">
        <v>161</v>
      </c>
      <c r="H667" s="1">
        <v>2060</v>
      </c>
      <c r="I667">
        <v>5700</v>
      </c>
      <c r="J667">
        <v>3</v>
      </c>
      <c r="K667">
        <v>2</v>
      </c>
      <c r="M667" s="2" t="str">
        <f>HYPERLINK("http://www.windermere.com/index.cfm?fuseaction=Listing.MapPropertyInteractive&amp;ListingID=19502401&amp;resize=true&amp;windowWidth=800&amp;windowHeight=600","Map")</f>
        <v>Map</v>
      </c>
      <c r="O667" s="2" t="str">
        <f>HYPERLINK("http://www.windermere.com/index.cfm?fuseaction=Listing.MultiImageViewer&amp;ListingID=19502401&amp;ln=28040043&amp;pub_mls=1","More")</f>
        <v>More</v>
      </c>
      <c r="AI667" t="s">
        <v>66</v>
      </c>
      <c r="AJ667">
        <v>98117</v>
      </c>
      <c r="AS667" t="s">
        <v>1871</v>
      </c>
      <c r="AT667">
        <v>19502401</v>
      </c>
      <c r="AU667" s="7">
        <v>39520</v>
      </c>
      <c r="BB667" t="s">
        <v>912</v>
      </c>
    </row>
    <row r="668" spans="1:54">
      <c r="A668">
        <v>28040534</v>
      </c>
      <c r="B668" s="4" t="str">
        <f>HYPERLINK("http://www.windermere.com/index.cfm?fuseaction=Listing.ListingDetail&amp;ListingID=19508867","Active")</f>
        <v>Active</v>
      </c>
      <c r="D668" t="s">
        <v>63</v>
      </c>
      <c r="E668" t="s">
        <v>1872</v>
      </c>
      <c r="F668" s="10">
        <v>270000</v>
      </c>
      <c r="G668" t="s">
        <v>173</v>
      </c>
      <c r="H668">
        <v>600</v>
      </c>
      <c r="I668">
        <v>1800</v>
      </c>
      <c r="J668">
        <v>2</v>
      </c>
      <c r="K668">
        <v>1.5</v>
      </c>
      <c r="M668" s="2" t="str">
        <f>HYPERLINK("http://www.windermere.com/index.cfm?fuseaction=Listing.MapPropertyInteractive&amp;ListingID=19508867&amp;resize=true&amp;windowWidth=800&amp;windowHeight=600","Map")</f>
        <v>Map</v>
      </c>
      <c r="O668" s="2" t="str">
        <f>HYPERLINK("http://www.windermere.com/index.cfm?fuseaction=Listing.MultiImageViewer&amp;ListingID=19508867&amp;ln=28040534&amp;pub_mls=1","More")</f>
        <v>More</v>
      </c>
      <c r="AI668" t="s">
        <v>66</v>
      </c>
      <c r="AJ668">
        <v>98117</v>
      </c>
      <c r="AS668" t="s">
        <v>1873</v>
      </c>
      <c r="AT668">
        <v>19508867</v>
      </c>
      <c r="AU668" s="7">
        <v>39520</v>
      </c>
      <c r="BB668" t="s">
        <v>912</v>
      </c>
    </row>
    <row r="669" spans="1:54">
      <c r="A669">
        <v>28043160</v>
      </c>
      <c r="B669" s="4" t="str">
        <f>HYPERLINK("http://www.windermere.com/index.cfm?fuseaction=Listing.ListingDetail&amp;ListingID=19528824","Subject To Inspection")</f>
        <v>Subject To Inspection</v>
      </c>
      <c r="D669" t="s">
        <v>920</v>
      </c>
      <c r="E669" t="s">
        <v>1874</v>
      </c>
      <c r="F669" s="10">
        <v>299999</v>
      </c>
      <c r="G669" t="s">
        <v>1735</v>
      </c>
      <c r="H669" s="1">
        <v>1390</v>
      </c>
      <c r="I669">
        <v>6970</v>
      </c>
      <c r="J669">
        <v>3</v>
      </c>
      <c r="K669">
        <v>3</v>
      </c>
      <c r="M669" s="2" t="str">
        <f>HYPERLINK("http://www.windermere.com/index.cfm?fuseaction=Listing.MapPropertyInteractive&amp;ListingID=19528824&amp;resize=true&amp;windowWidth=800&amp;windowHeight=600","Map")</f>
        <v>Map</v>
      </c>
      <c r="O669" s="2" t="str">
        <f>HYPERLINK("http://www.windermere.com/index.cfm?fuseaction=Listing.MultiImageViewer&amp;ListingID=19528824&amp;ln=28043160&amp;pub_mls=1","More")</f>
        <v>More</v>
      </c>
      <c r="AI669" t="s">
        <v>66</v>
      </c>
      <c r="AJ669">
        <v>98117</v>
      </c>
      <c r="AS669" t="s">
        <v>1875</v>
      </c>
      <c r="AT669">
        <v>19528824</v>
      </c>
      <c r="AU669" s="7">
        <v>39520</v>
      </c>
      <c r="BB669" t="s">
        <v>912</v>
      </c>
    </row>
    <row r="670" spans="1:54">
      <c r="A670">
        <v>28040280</v>
      </c>
      <c r="B670" s="2" t="str">
        <f>HYPERLINK("http://www.windermere.com/index.cfm?fuseaction=Listing.ListingDetail&amp;ListingID=19502909","Active")</f>
        <v>Active</v>
      </c>
      <c r="D670" t="s">
        <v>1024</v>
      </c>
      <c r="E670" t="s">
        <v>1876</v>
      </c>
      <c r="F670" s="10">
        <v>600000</v>
      </c>
      <c r="G670" t="s">
        <v>288</v>
      </c>
      <c r="H670" s="1">
        <v>2040</v>
      </c>
      <c r="I670">
        <v>5000</v>
      </c>
      <c r="J670">
        <v>3</v>
      </c>
      <c r="K670">
        <v>1</v>
      </c>
      <c r="M670" s="2" t="str">
        <f>HYPERLINK("http://www.windermere.com/index.cfm?fuseaction=Listing.MapPropertyInteractive&amp;ListingID=19502909&amp;resize=true&amp;windowWidth=800&amp;windowHeight=600","Map")</f>
        <v>Map</v>
      </c>
      <c r="O670" s="2" t="str">
        <f>HYPERLINK("http://www.windermere.com/index.cfm?fuseaction=Listing.MultiImageViewer&amp;ListingID=19502909&amp;ln=28040280&amp;pub_mls=1","More")</f>
        <v>More</v>
      </c>
      <c r="AI670" t="s">
        <v>66</v>
      </c>
      <c r="AJ670">
        <v>98117</v>
      </c>
      <c r="AS670" t="s">
        <v>1877</v>
      </c>
      <c r="AT670">
        <v>19502909</v>
      </c>
      <c r="AU670" s="7">
        <v>39520</v>
      </c>
      <c r="BB670" t="s">
        <v>912</v>
      </c>
    </row>
    <row r="671" spans="1:54">
      <c r="A671">
        <v>28041521</v>
      </c>
      <c r="B671" s="2" t="str">
        <f>HYPERLINK("http://www.windermere.com/index.cfm?fuseaction=Listing.ListingDetail&amp;ListingID=19516218","Active")</f>
        <v>Active</v>
      </c>
      <c r="D671" t="s">
        <v>78</v>
      </c>
      <c r="E671" t="s">
        <v>1878</v>
      </c>
      <c r="F671" s="10">
        <v>609000</v>
      </c>
      <c r="G671" t="s">
        <v>140</v>
      </c>
      <c r="H671" s="1">
        <v>2124</v>
      </c>
      <c r="I671">
        <v>3800</v>
      </c>
      <c r="J671">
        <v>3</v>
      </c>
      <c r="K671">
        <v>2</v>
      </c>
      <c r="M671" s="2" t="str">
        <f>HYPERLINK("http://www.windermere.com/index.cfm?fuseaction=Listing.MapPropertyInteractive&amp;ListingID=19516218&amp;resize=true&amp;windowWidth=800&amp;windowHeight=600","Map")</f>
        <v>Map</v>
      </c>
      <c r="O671" s="2" t="str">
        <f>HYPERLINK("http://www.windermere.com/index.cfm?fuseaction=Listing.MultiImageViewer&amp;ListingID=19516218&amp;ln=28041521&amp;pub_mls=1","More")</f>
        <v>More</v>
      </c>
      <c r="P671" t="s">
        <v>44</v>
      </c>
      <c r="AI671" t="s">
        <v>66</v>
      </c>
      <c r="AJ671">
        <v>98117</v>
      </c>
      <c r="AS671" t="s">
        <v>1879</v>
      </c>
      <c r="AT671">
        <v>19516218</v>
      </c>
      <c r="AU671" s="7">
        <v>39520</v>
      </c>
      <c r="BB671" t="s">
        <v>912</v>
      </c>
    </row>
    <row r="672" spans="1:54">
      <c r="A672">
        <v>28038077</v>
      </c>
      <c r="B672" s="2" t="str">
        <f>HYPERLINK("http://www.windermere.com/index.cfm?fuseaction=Listing.ListingDetail&amp;ListingID=19502691","Subject To Inspection")</f>
        <v>Subject To Inspection</v>
      </c>
      <c r="D672" t="s">
        <v>1024</v>
      </c>
      <c r="E672" t="s">
        <v>1880</v>
      </c>
      <c r="F672" s="10">
        <v>615000</v>
      </c>
      <c r="G672" t="s">
        <v>440</v>
      </c>
      <c r="H672" s="1">
        <v>2570</v>
      </c>
      <c r="I672">
        <v>5000</v>
      </c>
      <c r="J672">
        <v>4</v>
      </c>
      <c r="K672">
        <v>2</v>
      </c>
      <c r="M672" s="2" t="str">
        <f>HYPERLINK("http://www.windermere.com/index.cfm?fuseaction=Listing.MapPropertyInteractive&amp;ListingID=19502691&amp;resize=true&amp;windowWidth=800&amp;windowHeight=600","Map")</f>
        <v>Map</v>
      </c>
      <c r="O672" s="2" t="str">
        <f>HYPERLINK("http://www.windermere.com/index.cfm?fuseaction=viewGallery.Home&amp;customTourID=210015&amp;wvt=0","More")</f>
        <v>More</v>
      </c>
      <c r="P672" t="s">
        <v>44</v>
      </c>
      <c r="AI672" t="s">
        <v>66</v>
      </c>
      <c r="AJ672">
        <v>98117</v>
      </c>
      <c r="AS672" t="s">
        <v>1881</v>
      </c>
      <c r="AT672">
        <v>19502691</v>
      </c>
      <c r="AU672" s="7">
        <v>39520</v>
      </c>
      <c r="BB672" t="s">
        <v>912</v>
      </c>
    </row>
    <row r="673" spans="1:54">
      <c r="A673">
        <v>28040285</v>
      </c>
      <c r="B673" s="2" t="str">
        <f>HYPERLINK("http://www.windermere.com/index.cfm?fuseaction=Listing.ListingDetail&amp;ListingID=19503692","Active")</f>
        <v>Active</v>
      </c>
      <c r="D673" t="s">
        <v>78</v>
      </c>
      <c r="E673" t="s">
        <v>1882</v>
      </c>
      <c r="F673" s="18">
        <v>600000</v>
      </c>
      <c r="G673" t="s">
        <v>440</v>
      </c>
      <c r="H673" s="1">
        <v>2220</v>
      </c>
      <c r="I673">
        <v>3036</v>
      </c>
      <c r="J673">
        <v>4</v>
      </c>
      <c r="K673">
        <v>2.75</v>
      </c>
      <c r="M673" s="2" t="str">
        <f>HYPERLINK("http://www.windermere.com/index.cfm?fuseaction=Listing.MapPropertyInteractive&amp;ListingID=19503692&amp;resize=true&amp;windowWidth=800&amp;windowHeight=600","Map")</f>
        <v>Map</v>
      </c>
      <c r="O673" s="2" t="str">
        <f>HYPERLINK("http://www.windermere.com/index.cfm?fuseaction=Listing.MultiImageViewer&amp;ListingID=19503692&amp;ln=28040285&amp;pub_mls=1","More")</f>
        <v>More</v>
      </c>
      <c r="P673" t="s">
        <v>44</v>
      </c>
      <c r="AI673" t="s">
        <v>66</v>
      </c>
      <c r="AJ673">
        <v>98117</v>
      </c>
      <c r="AS673" t="s">
        <v>1883</v>
      </c>
      <c r="AT673">
        <v>19503692</v>
      </c>
      <c r="AU673" s="7">
        <v>39520</v>
      </c>
      <c r="BB673" t="s">
        <v>912</v>
      </c>
    </row>
    <row r="674" spans="1:54">
      <c r="A674">
        <v>28037348</v>
      </c>
      <c r="B674" s="2" t="str">
        <f>HYPERLINK("http://www.windermere.com/index.cfm?fuseaction=Listing.ListingDetail&amp;ListingID=19501346","Active")</f>
        <v>Active</v>
      </c>
      <c r="D674" t="s">
        <v>101</v>
      </c>
      <c r="E674" t="s">
        <v>1885</v>
      </c>
      <c r="F674" s="10">
        <v>649950</v>
      </c>
      <c r="G674" t="s">
        <v>131</v>
      </c>
      <c r="H674" s="1">
        <v>2940</v>
      </c>
      <c r="I674">
        <v>7970</v>
      </c>
      <c r="J674">
        <v>4</v>
      </c>
      <c r="K674">
        <v>1.75</v>
      </c>
      <c r="M674" s="2" t="str">
        <f>HYPERLINK("http://www.windermere.com/index.cfm?fuseaction=Listing.MapPropertyInteractive&amp;ListingID=19501346&amp;resize=true&amp;windowWidth=800&amp;windowHeight=600","Map")</f>
        <v>Map</v>
      </c>
      <c r="O674" s="2" t="str">
        <f>HYPERLINK("http://www.windermere.com/index.cfm?fuseaction=viewGallery.Home&amp;customTourID=210044&amp;wvt=0","More")</f>
        <v>More</v>
      </c>
      <c r="P674" t="s">
        <v>44</v>
      </c>
      <c r="AI674" t="s">
        <v>66</v>
      </c>
      <c r="AJ674">
        <v>98117</v>
      </c>
      <c r="AS674" t="s">
        <v>1886</v>
      </c>
      <c r="AT674">
        <v>19501346</v>
      </c>
      <c r="AU674" s="7">
        <v>39520</v>
      </c>
      <c r="BB674" t="s">
        <v>912</v>
      </c>
    </row>
    <row r="675" spans="1:54">
      <c r="A675">
        <v>28042402</v>
      </c>
      <c r="B675" s="2" t="str">
        <f>HYPERLINK("http://www.windermere.com/index.cfm?fuseaction=Listing.ListingDetail&amp;ListingID=19526040","Active")</f>
        <v>Active</v>
      </c>
      <c r="D675" t="s">
        <v>63</v>
      </c>
      <c r="E675" t="s">
        <v>1887</v>
      </c>
      <c r="F675" s="10">
        <v>689000</v>
      </c>
      <c r="G675" t="s">
        <v>151</v>
      </c>
      <c r="H675" s="1">
        <v>2500</v>
      </c>
      <c r="I675">
        <v>5100</v>
      </c>
      <c r="J675">
        <v>3</v>
      </c>
      <c r="K675">
        <v>2</v>
      </c>
      <c r="M675" s="2" t="str">
        <f>HYPERLINK("http://www.windermere.com/index.cfm?fuseaction=Listing.MapPropertyInteractive&amp;ListingID=19526040&amp;resize=true&amp;windowWidth=800&amp;windowHeight=600","Map")</f>
        <v>Map</v>
      </c>
      <c r="O675" s="2" t="str">
        <f>HYPERLINK("http://www.windermere.com/index.cfm?fuseaction=viewGallery.Home&amp;customTourID=210394&amp;wvt=0","More")</f>
        <v>More</v>
      </c>
      <c r="AI675" t="s">
        <v>66</v>
      </c>
      <c r="AJ675">
        <v>98117</v>
      </c>
      <c r="AS675" t="s">
        <v>1888</v>
      </c>
      <c r="AT675">
        <v>19526040</v>
      </c>
      <c r="AU675" s="7">
        <v>39520</v>
      </c>
      <c r="BB675" t="s">
        <v>912</v>
      </c>
    </row>
    <row r="676" spans="1:54">
      <c r="A676">
        <v>28042459</v>
      </c>
      <c r="B676" s="2" t="str">
        <f>HYPERLINK("http://www.windermere.com/index.cfm?fuseaction=Listing.ListingDetail&amp;ListingID=19529562","Active")</f>
        <v>Active</v>
      </c>
      <c r="D676" t="s">
        <v>1024</v>
      </c>
      <c r="E676" t="s">
        <v>1889</v>
      </c>
      <c r="F676" s="10">
        <v>699950</v>
      </c>
      <c r="G676" t="s">
        <v>151</v>
      </c>
      <c r="H676" s="1">
        <v>2780</v>
      </c>
      <c r="I676">
        <v>3400</v>
      </c>
      <c r="J676">
        <v>4</v>
      </c>
      <c r="K676">
        <v>2</v>
      </c>
      <c r="M676" s="2" t="str">
        <f>HYPERLINK("http://www.windermere.com/index.cfm?fuseaction=Listing.MapPropertyInteractive&amp;ListingID=19529562&amp;resize=true&amp;windowWidth=800&amp;windowHeight=600","Map")</f>
        <v>Map</v>
      </c>
      <c r="O676" s="2" t="str">
        <f>HYPERLINK("http://www.windermere.com/index.cfm?fuseaction=Listing.MultiImageViewer&amp;ListingID=19529562&amp;ln=28042459&amp;pub_mls=1","More")</f>
        <v>More</v>
      </c>
      <c r="P676" t="s">
        <v>44</v>
      </c>
      <c r="AI676" t="s">
        <v>66</v>
      </c>
      <c r="AJ676">
        <v>98117</v>
      </c>
      <c r="AS676" t="s">
        <v>1890</v>
      </c>
      <c r="AT676">
        <v>19529562</v>
      </c>
      <c r="AU676" s="7">
        <v>39520</v>
      </c>
      <c r="BB676" t="s">
        <v>912</v>
      </c>
    </row>
    <row r="677" spans="1:54">
      <c r="A677">
        <v>28042926</v>
      </c>
      <c r="B677" s="4" t="str">
        <f>HYPERLINK("http://www.windermere.com/index.cfm?fuseaction=Listing.ListingDetail&amp;ListingID=19531262","Subject To Inspection")</f>
        <v>Subject To Inspection</v>
      </c>
      <c r="D677" t="s">
        <v>88</v>
      </c>
      <c r="E677" t="s">
        <v>1892</v>
      </c>
      <c r="F677" s="10">
        <v>769000</v>
      </c>
      <c r="G677" t="s">
        <v>227</v>
      </c>
      <c r="H677" s="1">
        <v>2540</v>
      </c>
      <c r="I677">
        <v>4200</v>
      </c>
      <c r="J677">
        <v>5</v>
      </c>
      <c r="K677">
        <v>3</v>
      </c>
      <c r="M677" s="2" t="str">
        <f>HYPERLINK("http://www.windermere.com/index.cfm?fuseaction=Listing.MapPropertyInteractive&amp;ListingID=19531262&amp;resize=true&amp;windowWidth=800&amp;windowHeight=600","Map")</f>
        <v>Map</v>
      </c>
      <c r="O677" s="2" t="str">
        <f>HYPERLINK("http://www.windermere.com/index.cfm?fuseaction=viewGallery.Home&amp;customTourID=187575&amp;wvt=0","More")</f>
        <v>More</v>
      </c>
      <c r="P677" t="s">
        <v>44</v>
      </c>
      <c r="AI677" t="s">
        <v>66</v>
      </c>
      <c r="AJ677">
        <v>98117</v>
      </c>
      <c r="AS677" t="s">
        <v>1893</v>
      </c>
      <c r="AT677">
        <v>19531262</v>
      </c>
      <c r="AU677" s="7">
        <v>39520</v>
      </c>
      <c r="BB677" t="s">
        <v>912</v>
      </c>
    </row>
    <row r="678" spans="1:54">
      <c r="A678">
        <v>28043262</v>
      </c>
      <c r="B678" s="2" t="str">
        <f>HYPERLINK("http://www.windermere.com/index.cfm?fuseaction=Listing.ListingDetail&amp;ListingID=19531594","Active")</f>
        <v>Active</v>
      </c>
      <c r="D678" t="s">
        <v>78</v>
      </c>
      <c r="E678" t="s">
        <v>1275</v>
      </c>
      <c r="F678" s="10">
        <v>839950</v>
      </c>
      <c r="G678" t="s">
        <v>147</v>
      </c>
      <c r="H678" s="1">
        <v>3111</v>
      </c>
      <c r="I678">
        <v>5500</v>
      </c>
      <c r="J678">
        <v>4</v>
      </c>
      <c r="K678">
        <v>2.75</v>
      </c>
      <c r="M678" s="2" t="str">
        <f>HYPERLINK("http://www.windermere.com/index.cfm?fuseaction=Listing.MapPropertyInteractive&amp;ListingID=19531594&amp;resize=true&amp;windowWidth=800&amp;windowHeight=600","Map")</f>
        <v>Map</v>
      </c>
      <c r="O678" s="2" t="str">
        <f>HYPERLINK("http://www.windermere.com/index.cfm?fuseaction=Listing.MultiImageViewer&amp;ListingID=19531594&amp;ln=28043262&amp;pub_mls=1","More")</f>
        <v>More</v>
      </c>
      <c r="P678" t="s">
        <v>44</v>
      </c>
      <c r="AI678" t="s">
        <v>66</v>
      </c>
      <c r="AJ678">
        <v>98117</v>
      </c>
      <c r="AS678" t="s">
        <v>1894</v>
      </c>
      <c r="AT678">
        <v>19531594</v>
      </c>
      <c r="AU678" s="7">
        <v>39520</v>
      </c>
      <c r="BB678" t="s">
        <v>912</v>
      </c>
    </row>
    <row r="679" spans="1:54">
      <c r="A679">
        <v>28039416</v>
      </c>
      <c r="B679" s="2" t="str">
        <f>HYPERLINK("http://www.windermere.com/index.cfm?fuseaction=Listing.ListingDetail&amp;ListingID=19502604","Active")</f>
        <v>Active</v>
      </c>
      <c r="D679" t="s">
        <v>101</v>
      </c>
      <c r="E679" t="s">
        <v>1304</v>
      </c>
      <c r="F679" s="10">
        <v>1490000</v>
      </c>
      <c r="G679" t="s">
        <v>1187</v>
      </c>
      <c r="H679" s="1">
        <v>2870</v>
      </c>
      <c r="I679">
        <v>9000</v>
      </c>
      <c r="J679">
        <v>4</v>
      </c>
      <c r="K679">
        <v>3.5</v>
      </c>
      <c r="M679" s="2" t="str">
        <f>HYPERLINK("http://www.windermere.com/index.cfm?fuseaction=Listing.MapPropertyInteractive&amp;ListingID=19502604&amp;resize=true&amp;windowWidth=800&amp;windowHeight=600","Map")</f>
        <v>Map</v>
      </c>
      <c r="O679" s="2" t="str">
        <f>HYPERLINK("http://www.windermere.com/index.cfm?fuseaction=viewGallery.Home&amp;customTourID=209888&amp;wvt=0","More")</f>
        <v>More</v>
      </c>
      <c r="P679" t="s">
        <v>44</v>
      </c>
      <c r="AI679" t="s">
        <v>66</v>
      </c>
      <c r="AJ679">
        <v>98117</v>
      </c>
      <c r="AS679" t="s">
        <v>1895</v>
      </c>
      <c r="AT679">
        <v>19502604</v>
      </c>
      <c r="AU679" s="7">
        <v>39520</v>
      </c>
      <c r="BB679" t="s">
        <v>912</v>
      </c>
    </row>
    <row r="680" spans="1:54">
      <c r="A680">
        <v>28044041</v>
      </c>
      <c r="B680" s="2" t="str">
        <f>HYPERLINK("http://www.windermere.com/index.cfm?fuseaction=Listing.ListingDetail&amp;ListingID=19539604","Active")</f>
        <v>Active</v>
      </c>
      <c r="D680" t="s">
        <v>42</v>
      </c>
      <c r="E680" t="s">
        <v>1896</v>
      </c>
      <c r="F680" s="10">
        <v>315000</v>
      </c>
      <c r="G680" t="s">
        <v>1300</v>
      </c>
      <c r="H680" s="1">
        <v>1320</v>
      </c>
      <c r="I680">
        <v>5085</v>
      </c>
      <c r="J680">
        <v>3</v>
      </c>
      <c r="K680">
        <v>2.5</v>
      </c>
      <c r="M680" s="2" t="str">
        <f>HYPERLINK("http://www.windermere.com/index.cfm?fuseaction=Listing.MapPropertyInteractive&amp;ListingID=19539604&amp;resize=true&amp;windowWidth=800&amp;windowHeight=600","Map")</f>
        <v>Map</v>
      </c>
      <c r="O680" s="2" t="str">
        <f>HYPERLINK("http://www.windermere.com/index.cfm?fuseaction=Listing.MultiImageViewer&amp;ListingID=19539604&amp;ln=28044041&amp;pub_mls=1","More")</f>
        <v>More</v>
      </c>
      <c r="AI680" t="s">
        <v>66</v>
      </c>
      <c r="AJ680">
        <v>98133</v>
      </c>
      <c r="AS680" t="s">
        <v>1897</v>
      </c>
      <c r="AT680">
        <v>19539604</v>
      </c>
      <c r="AU680" s="7">
        <v>39520</v>
      </c>
      <c r="BB680" t="s">
        <v>912</v>
      </c>
    </row>
    <row r="681" spans="1:54">
      <c r="A681">
        <v>28041378</v>
      </c>
      <c r="B681" s="2" t="str">
        <f>HYPERLINK("http://www.windermere.com/index.cfm?fuseaction=Listing.ListingDetail&amp;ListingID=19541287","Active")</f>
        <v>Active</v>
      </c>
      <c r="D681" t="s">
        <v>199</v>
      </c>
      <c r="E681" t="s">
        <v>1898</v>
      </c>
      <c r="F681" s="10">
        <v>349500</v>
      </c>
      <c r="G681" t="s">
        <v>146</v>
      </c>
      <c r="H681">
        <v>960</v>
      </c>
      <c r="I681">
        <v>7353</v>
      </c>
      <c r="J681">
        <v>2</v>
      </c>
      <c r="K681">
        <v>1</v>
      </c>
      <c r="M681" s="2" t="str">
        <f>HYPERLINK("http://www.windermere.com/index.cfm?fuseaction=Listing.MapPropertyInteractive&amp;ListingID=19541287&amp;resize=true&amp;windowWidth=800&amp;windowHeight=600","Map")</f>
        <v>Map</v>
      </c>
      <c r="O681" s="2" t="str">
        <f>HYPERLINK("http://www.windermere.com/index.cfm?fuseaction=Listing.MultiImageViewer&amp;ListingID=19541287&amp;ln=28041378&amp;pub_mls=1","More")</f>
        <v>More</v>
      </c>
      <c r="AI681" t="s">
        <v>66</v>
      </c>
      <c r="AJ681">
        <v>98125</v>
      </c>
      <c r="AS681" t="s">
        <v>1899</v>
      </c>
      <c r="AT681">
        <v>19541287</v>
      </c>
      <c r="AU681" s="7">
        <v>39520</v>
      </c>
      <c r="BB681" t="s">
        <v>912</v>
      </c>
    </row>
    <row r="682" spans="1:54">
      <c r="A682">
        <v>28043957</v>
      </c>
      <c r="B682" s="2" t="str">
        <f>HYPERLINK("http://www.windermere.com/index.cfm?fuseaction=Listing.ListingDetail&amp;ListingID=19539941","Active")</f>
        <v>Active</v>
      </c>
      <c r="D682" t="s">
        <v>42</v>
      </c>
      <c r="E682" t="s">
        <v>1900</v>
      </c>
      <c r="F682" s="10">
        <v>350000</v>
      </c>
      <c r="G682" t="s">
        <v>130</v>
      </c>
      <c r="H682" s="1">
        <v>1280</v>
      </c>
      <c r="I682">
        <v>7000</v>
      </c>
      <c r="J682">
        <v>3</v>
      </c>
      <c r="K682">
        <v>1</v>
      </c>
      <c r="M682" s="2" t="str">
        <f>HYPERLINK("http://www.windermere.com/index.cfm?fuseaction=Listing.MapPropertyInteractive&amp;ListingID=19539941&amp;resize=true&amp;windowWidth=800&amp;windowHeight=600","Map")</f>
        <v>Map</v>
      </c>
      <c r="O682" s="2" t="str">
        <f>HYPERLINK("http://www.windermere.com/index.cfm?fuseaction=Listing.MultiImageViewer&amp;ListingID=19539941&amp;ln=28043957&amp;pub_mls=1","More")</f>
        <v>More</v>
      </c>
      <c r="AI682" t="s">
        <v>66</v>
      </c>
      <c r="AJ682">
        <v>98133</v>
      </c>
      <c r="AS682" t="s">
        <v>1901</v>
      </c>
      <c r="AT682">
        <v>19539941</v>
      </c>
      <c r="AU682" s="7">
        <v>39520</v>
      </c>
      <c r="BB682" t="s">
        <v>912</v>
      </c>
    </row>
    <row r="683" spans="1:54">
      <c r="A683">
        <v>28043857</v>
      </c>
      <c r="B683" s="2" t="str">
        <f>HYPERLINK("http://www.windermere.com/index.cfm?fuseaction=Listing.ListingDetail&amp;ListingID=19538246","Active")</f>
        <v>Active</v>
      </c>
      <c r="D683" t="s">
        <v>184</v>
      </c>
      <c r="E683" t="s">
        <v>1902</v>
      </c>
      <c r="F683" s="10">
        <v>419500</v>
      </c>
      <c r="G683" t="s">
        <v>171</v>
      </c>
      <c r="H683" s="1">
        <v>1220</v>
      </c>
      <c r="I683">
        <v>8040</v>
      </c>
      <c r="J683">
        <v>3</v>
      </c>
      <c r="K683">
        <v>1</v>
      </c>
      <c r="M683" s="2" t="str">
        <f>HYPERLINK("http://www.windermere.com/index.cfm?fuseaction=Listing.MapPropertyInteractive&amp;ListingID=19538246&amp;resize=true&amp;windowWidth=800&amp;windowHeight=600","Map")</f>
        <v>Map</v>
      </c>
      <c r="O683" s="2" t="str">
        <f>HYPERLINK("http://www.windermere.com/index.cfm?fuseaction=viewGallery.Home&amp;customTourID=210730&amp;wvt=0","More")</f>
        <v>More</v>
      </c>
      <c r="AI683" t="s">
        <v>66</v>
      </c>
      <c r="AJ683">
        <v>98125</v>
      </c>
      <c r="AS683" t="s">
        <v>1903</v>
      </c>
      <c r="AT683">
        <v>19538246</v>
      </c>
      <c r="AU683" s="7">
        <v>39520</v>
      </c>
      <c r="BB683" t="s">
        <v>912</v>
      </c>
    </row>
    <row r="684" spans="1:54">
      <c r="A684">
        <v>27179410</v>
      </c>
      <c r="B684" s="2" t="str">
        <f>HYPERLINK("http://www.windermere.com/index.cfm?fuseaction=Listing.ListingDetail&amp;ListingID=19541901","Active")</f>
        <v>Active</v>
      </c>
      <c r="D684" t="s">
        <v>63</v>
      </c>
      <c r="E684" t="s">
        <v>1904</v>
      </c>
      <c r="F684" s="10">
        <v>459750</v>
      </c>
      <c r="G684" t="s">
        <v>147</v>
      </c>
      <c r="H684" s="1">
        <v>1852</v>
      </c>
      <c r="J684">
        <v>3</v>
      </c>
      <c r="K684">
        <v>3.5</v>
      </c>
      <c r="M684" s="2" t="str">
        <f>HYPERLINK("http://www.windermere.com/index.cfm?fuseaction=Listing.MapPropertyInteractive&amp;ListingID=19541901&amp;resize=true&amp;windowWidth=800&amp;windowHeight=600","Map")</f>
        <v>Map</v>
      </c>
      <c r="O684" s="2" t="str">
        <f>HYPERLINK("http://www.windermere.com/index.cfm?fuseaction=viewGallery.Home&amp;customTourID=202606&amp;wvt=0","More")</f>
        <v>More</v>
      </c>
      <c r="AI684" t="s">
        <v>66</v>
      </c>
      <c r="AJ684">
        <v>98107</v>
      </c>
      <c r="AS684" t="s">
        <v>1905</v>
      </c>
      <c r="AT684">
        <v>19541901</v>
      </c>
      <c r="AU684" s="7">
        <v>39520</v>
      </c>
      <c r="BB684" t="s">
        <v>912</v>
      </c>
    </row>
    <row r="685" spans="1:54">
      <c r="A685">
        <v>28044404</v>
      </c>
      <c r="B685" s="2" t="str">
        <f>HYPERLINK("http://www.windermere.com/index.cfm?fuseaction=Listing.ListingDetail&amp;ListingID=19541736","Active")</f>
        <v>Active</v>
      </c>
      <c r="D685" t="s">
        <v>55</v>
      </c>
      <c r="E685" t="s">
        <v>1906</v>
      </c>
      <c r="F685" s="10">
        <v>479950</v>
      </c>
      <c r="G685" t="s">
        <v>419</v>
      </c>
      <c r="H685" s="1">
        <v>2400</v>
      </c>
      <c r="I685">
        <v>4835</v>
      </c>
      <c r="J685">
        <v>4</v>
      </c>
      <c r="K685">
        <v>1.75</v>
      </c>
      <c r="M685" s="2" t="str">
        <f>HYPERLINK("http://www.windermere.com/index.cfm?fuseaction=Listing.MapPropertyInteractive&amp;ListingID=19541736&amp;resize=true&amp;windowWidth=800&amp;windowHeight=600","Map")</f>
        <v>Map</v>
      </c>
      <c r="O685" s="2" t="str">
        <f>HYPERLINK("http://www.windermere.com/index.cfm?fuseaction=Listing.MultiImageViewer&amp;ListingID=19541736&amp;ln=28044404&amp;pub_mls=1","More")</f>
        <v>More</v>
      </c>
      <c r="P685" t="s">
        <v>44</v>
      </c>
      <c r="AI685" t="s">
        <v>66</v>
      </c>
      <c r="AJ685">
        <v>98103</v>
      </c>
      <c r="AS685" t="s">
        <v>1907</v>
      </c>
      <c r="AT685">
        <v>19541736</v>
      </c>
      <c r="AU685" s="7">
        <v>39520</v>
      </c>
      <c r="BB685" t="s">
        <v>912</v>
      </c>
    </row>
    <row r="686" spans="1:54">
      <c r="A686">
        <v>28042735</v>
      </c>
      <c r="B686" s="2" t="str">
        <f>HYPERLINK("http://www.windermere.com/index.cfm?fuseaction=Listing.ListingDetail&amp;ListingID=19542777","Active")</f>
        <v>Active</v>
      </c>
      <c r="D686" t="s">
        <v>63</v>
      </c>
      <c r="E686" t="s">
        <v>1908</v>
      </c>
      <c r="F686" s="10">
        <v>499950</v>
      </c>
      <c r="G686" t="s">
        <v>135</v>
      </c>
      <c r="H686" s="1">
        <v>1940</v>
      </c>
      <c r="I686">
        <v>4000</v>
      </c>
      <c r="J686">
        <v>2</v>
      </c>
      <c r="K686">
        <v>1</v>
      </c>
      <c r="M686" s="2" t="str">
        <f>HYPERLINK("http://www.windermere.com/index.cfm?fuseaction=Listing.MapPropertyInteractive&amp;ListingID=19542777&amp;resize=true&amp;windowWidth=800&amp;windowHeight=600","Map")</f>
        <v>Map</v>
      </c>
      <c r="O686" s="2" t="str">
        <f>HYPERLINK("http://www.windermere.com/index.cfm?fuseaction=Listing.MultiImageViewer&amp;ListingID=19542777&amp;ln=28042735&amp;pub_mls=1","More")</f>
        <v>More</v>
      </c>
      <c r="P686" t="s">
        <v>44</v>
      </c>
      <c r="AI686" t="s">
        <v>66</v>
      </c>
      <c r="AJ686">
        <v>98107</v>
      </c>
      <c r="AS686" t="s">
        <v>1909</v>
      </c>
      <c r="AT686">
        <v>19542777</v>
      </c>
      <c r="AU686" s="7">
        <v>39520</v>
      </c>
      <c r="BB686" t="s">
        <v>912</v>
      </c>
    </row>
    <row r="687" spans="1:54">
      <c r="A687">
        <v>28044245</v>
      </c>
      <c r="B687" s="2" t="str">
        <f>HYPERLINK("http://www.windermere.com/index.cfm?fuseaction=Listing.ListingDetail&amp;ListingID=19541299","Active")</f>
        <v>Active</v>
      </c>
      <c r="D687" t="s">
        <v>63</v>
      </c>
      <c r="E687" t="s">
        <v>1910</v>
      </c>
      <c r="F687" s="10">
        <v>297500</v>
      </c>
      <c r="G687" t="s">
        <v>182</v>
      </c>
      <c r="H687" s="1">
        <v>1570</v>
      </c>
      <c r="I687">
        <v>3060</v>
      </c>
      <c r="J687">
        <v>2</v>
      </c>
      <c r="K687">
        <v>1</v>
      </c>
      <c r="M687" s="2" t="str">
        <f>HYPERLINK("http://www.windermere.com/index.cfm?fuseaction=Listing.MapPropertyInteractive&amp;ListingID=19541299&amp;resize=true&amp;windowWidth=800&amp;windowHeight=600","Map")</f>
        <v>Map</v>
      </c>
      <c r="O687" s="2" t="str">
        <f>HYPERLINK("http://www.windermere.com/index.cfm?fuseaction=Listing.MultiImageViewer&amp;ListingID=19541299&amp;ln=28044245&amp;pub_mls=1","More")</f>
        <v>More</v>
      </c>
      <c r="AI687" t="s">
        <v>66</v>
      </c>
      <c r="AJ687">
        <v>98117</v>
      </c>
      <c r="AS687" t="s">
        <v>1911</v>
      </c>
      <c r="AT687">
        <v>19541299</v>
      </c>
      <c r="AU687" s="7">
        <v>39520</v>
      </c>
      <c r="BB687" t="s">
        <v>912</v>
      </c>
    </row>
    <row r="688" spans="1:54">
      <c r="A688">
        <v>28044600</v>
      </c>
      <c r="B688" s="2" t="str">
        <f>HYPERLINK("http://www.windermere.com/index.cfm?fuseaction=Listing.ListingDetail&amp;ListingID=19543181","Active")</f>
        <v>Active</v>
      </c>
      <c r="D688" s="3" t="s">
        <v>88</v>
      </c>
      <c r="E688" t="s">
        <v>1237</v>
      </c>
      <c r="F688" s="10">
        <v>674950</v>
      </c>
      <c r="G688" t="s">
        <v>135</v>
      </c>
      <c r="H688" s="1">
        <v>2260</v>
      </c>
      <c r="J688">
        <v>4</v>
      </c>
      <c r="K688">
        <v>2.25</v>
      </c>
      <c r="M688" s="2" t="str">
        <f>HYPERLINK("http://www.windermere.com/index.cfm?fuseaction=Listing.MapPropertyInteractive&amp;ListingID=19543181&amp;resize=true&amp;windowWidth=800&amp;windowHeight=600","Map")</f>
        <v>Map</v>
      </c>
      <c r="O688" s="2" t="str">
        <f>HYPERLINK("http://www.windermere.com/index.cfm?fuseaction=Listing.MultiImageViewer&amp;ListingID=19543181&amp;ln=28044600&amp;pub_mls=1","More")</f>
        <v>More</v>
      </c>
      <c r="AI688" t="s">
        <v>66</v>
      </c>
      <c r="AJ688">
        <v>98117</v>
      </c>
      <c r="AS688" t="s">
        <v>1912</v>
      </c>
      <c r="AT688">
        <v>19543181</v>
      </c>
      <c r="AU688" s="7">
        <v>39520</v>
      </c>
      <c r="BB688" t="s">
        <v>912</v>
      </c>
    </row>
    <row r="689" spans="1:54">
      <c r="A689">
        <v>28044749</v>
      </c>
      <c r="B689" s="2" t="str">
        <f>HYPERLINK("http://www.windermere.com/index.cfm?fuseaction=Listing.ListingDetail&amp;ListingID=19549596","Active")</f>
        <v>Active</v>
      </c>
      <c r="D689" t="s">
        <v>55</v>
      </c>
      <c r="E689" t="s">
        <v>1913</v>
      </c>
      <c r="F689" s="10">
        <v>325000</v>
      </c>
      <c r="G689" t="s">
        <v>248</v>
      </c>
      <c r="H689" s="1">
        <v>1240</v>
      </c>
      <c r="I689">
        <v>1480</v>
      </c>
      <c r="J689">
        <v>2</v>
      </c>
      <c r="K689">
        <v>1.5</v>
      </c>
      <c r="M689" s="2" t="str">
        <f>HYPERLINK("http://www.windermere.com/index.cfm?fuseaction=Listing.MapPropertyInteractive&amp;ListingID=19549596&amp;resize=true&amp;windowWidth=800&amp;windowHeight=600","Map")</f>
        <v>Map</v>
      </c>
      <c r="O689" s="2" t="str">
        <f>HYPERLINK("http://www.windermere.com/index.cfm?fuseaction=viewGallery.Home&amp;customTourID=210830&amp;wvt=0","More")</f>
        <v>More</v>
      </c>
      <c r="P689" t="s">
        <v>44</v>
      </c>
      <c r="AI689" t="s">
        <v>66</v>
      </c>
      <c r="AJ689">
        <v>98103</v>
      </c>
      <c r="AS689" t="s">
        <v>1914</v>
      </c>
      <c r="AT689">
        <v>19549596</v>
      </c>
      <c r="AU689" s="7">
        <v>39522</v>
      </c>
      <c r="BB689" t="s">
        <v>912</v>
      </c>
    </row>
    <row r="690" spans="1:54">
      <c r="A690">
        <v>28045322</v>
      </c>
      <c r="B690" s="2" t="str">
        <f>HYPERLINK("http://www.windermere.com/index.cfm?fuseaction=Listing.ListingDetail&amp;ListingID=19550432","Active")</f>
        <v>Active</v>
      </c>
      <c r="D690" t="s">
        <v>63</v>
      </c>
      <c r="E690" t="s">
        <v>1915</v>
      </c>
      <c r="F690" s="10">
        <v>369950</v>
      </c>
      <c r="G690" t="s">
        <v>247</v>
      </c>
      <c r="H690" s="1">
        <v>1250</v>
      </c>
      <c r="J690">
        <v>3</v>
      </c>
      <c r="K690">
        <v>2.5</v>
      </c>
      <c r="M690" s="2" t="str">
        <f>HYPERLINK("http://www.windermere.com/index.cfm?fuseaction=Listing.MapPropertyInteractive&amp;ListingID=19550432&amp;resize=true&amp;windowWidth=800&amp;windowHeight=600","Map")</f>
        <v>Map</v>
      </c>
      <c r="O690" s="2" t="str">
        <f>HYPERLINK("http://www.windermere.com/index.cfm?fuseaction=Listing.MultiImageViewer&amp;ListingID=19550432&amp;ln=28045322&amp;pub_mls=1","More")</f>
        <v>More</v>
      </c>
      <c r="AI690" t="s">
        <v>66</v>
      </c>
      <c r="AJ690">
        <v>98107</v>
      </c>
      <c r="AS690" t="s">
        <v>1916</v>
      </c>
      <c r="AT690">
        <v>19550432</v>
      </c>
      <c r="AU690" s="7">
        <v>39522</v>
      </c>
      <c r="BB690" t="s">
        <v>912</v>
      </c>
    </row>
    <row r="691" spans="1:54">
      <c r="A691">
        <v>28043962</v>
      </c>
      <c r="B691" s="2" t="str">
        <f>HYPERLINK("http://www.windermere.com/index.cfm?fuseaction=Listing.ListingDetail&amp;ListingID=19549593","Active")</f>
        <v>Active</v>
      </c>
      <c r="D691" t="s">
        <v>63</v>
      </c>
      <c r="E691" t="s">
        <v>1917</v>
      </c>
      <c r="F691" s="10">
        <v>370000</v>
      </c>
      <c r="G691" t="s">
        <v>248</v>
      </c>
      <c r="H691" s="1">
        <v>1200</v>
      </c>
      <c r="I691">
        <v>1301</v>
      </c>
      <c r="J691">
        <v>2</v>
      </c>
      <c r="K691">
        <v>1.5</v>
      </c>
      <c r="M691" s="2" t="str">
        <f>HYPERLINK("http://www.windermere.com/index.cfm?fuseaction=Listing.MapPropertyInteractive&amp;ListingID=19549593&amp;resize=true&amp;windowWidth=800&amp;windowHeight=600","Map")</f>
        <v>Map</v>
      </c>
      <c r="O691" s="2" t="str">
        <f>HYPERLINK("http://www.windermere.com/index.cfm?fuseaction=Listing.MultiImageViewer&amp;ListingID=19549593&amp;ln=28043962&amp;pub_mls=1","More")</f>
        <v>More</v>
      </c>
      <c r="AI691" t="s">
        <v>66</v>
      </c>
      <c r="AJ691">
        <v>98107</v>
      </c>
      <c r="AS691" t="s">
        <v>1918</v>
      </c>
      <c r="AT691">
        <v>19549593</v>
      </c>
      <c r="AU691" s="7">
        <v>39522</v>
      </c>
      <c r="BB691" t="s">
        <v>912</v>
      </c>
    </row>
    <row r="692" spans="1:54">
      <c r="A692">
        <v>28044879</v>
      </c>
      <c r="B692" s="2" t="str">
        <f>HYPERLINK("http://www.windermere.com/index.cfm?fuseaction=Listing.ListingDetail&amp;ListingID=19549546","Active")</f>
        <v>Active</v>
      </c>
      <c r="D692" t="s">
        <v>920</v>
      </c>
      <c r="E692" t="s">
        <v>1919</v>
      </c>
      <c r="F692" s="10">
        <v>379888</v>
      </c>
      <c r="G692" t="s">
        <v>156</v>
      </c>
      <c r="H692" s="1">
        <v>2200</v>
      </c>
      <c r="I692">
        <v>7357</v>
      </c>
      <c r="J692">
        <v>3</v>
      </c>
      <c r="K692">
        <v>1.75</v>
      </c>
      <c r="M692" s="2" t="str">
        <f>HYPERLINK("http://www.windermere.com/index.cfm?fuseaction=Listing.MapPropertyInteractive&amp;ListingID=19549546&amp;resize=true&amp;windowWidth=800&amp;windowHeight=600","Map")</f>
        <v>Map</v>
      </c>
      <c r="O692" s="2" t="str">
        <f>HYPERLINK("http://www.windermere.com/index.cfm?fuseaction=Listing.MultiImageViewer&amp;ListingID=19549546&amp;ln=28044879&amp;pub_mls=1","More")</f>
        <v>More</v>
      </c>
      <c r="P692" t="s">
        <v>44</v>
      </c>
      <c r="AI692" t="s">
        <v>66</v>
      </c>
      <c r="AJ692">
        <v>98133</v>
      </c>
      <c r="AS692" t="s">
        <v>1920</v>
      </c>
      <c r="AT692">
        <v>19549546</v>
      </c>
      <c r="AU692" s="7">
        <v>39522</v>
      </c>
      <c r="BB692" t="s">
        <v>912</v>
      </c>
    </row>
    <row r="693" spans="1:54">
      <c r="A693">
        <v>28045317</v>
      </c>
      <c r="B693" s="2" t="str">
        <f>HYPERLINK("http://www.windermere.com/index.cfm?fuseaction=Listing.ListingDetail&amp;ListingID=19550429","Active")</f>
        <v>Active</v>
      </c>
      <c r="D693" t="s">
        <v>63</v>
      </c>
      <c r="E693" t="s">
        <v>1921</v>
      </c>
      <c r="F693" s="10">
        <v>379950</v>
      </c>
      <c r="G693" t="s">
        <v>247</v>
      </c>
      <c r="H693" s="1">
        <v>1250</v>
      </c>
      <c r="J693">
        <v>3</v>
      </c>
      <c r="K693">
        <v>2.5</v>
      </c>
      <c r="M693" s="2" t="str">
        <f>HYPERLINK("http://www.windermere.com/index.cfm?fuseaction=Listing.MapPropertyInteractive&amp;ListingID=19550429&amp;resize=true&amp;windowWidth=800&amp;windowHeight=600","Map")</f>
        <v>Map</v>
      </c>
      <c r="O693" s="2" t="str">
        <f>HYPERLINK("http://www.windermere.com/index.cfm?fuseaction=Listing.MultiImageViewer&amp;ListingID=19550429&amp;ln=28045317&amp;pub_mls=1","More")</f>
        <v>More</v>
      </c>
      <c r="AI693" t="s">
        <v>66</v>
      </c>
      <c r="AJ693">
        <v>98107</v>
      </c>
      <c r="AS693" t="s">
        <v>1922</v>
      </c>
      <c r="AT693">
        <v>19550429</v>
      </c>
      <c r="AU693" s="7">
        <v>39522</v>
      </c>
      <c r="BB693" t="s">
        <v>912</v>
      </c>
    </row>
    <row r="694" spans="1:54">
      <c r="A694">
        <v>28045497</v>
      </c>
      <c r="B694" s="2" t="str">
        <f>HYPERLINK("http://www.windermere.com/index.cfm?fuseaction=Listing.ListingDetail&amp;ListingID=19554406","Active")</f>
        <v>Active</v>
      </c>
      <c r="D694" t="s">
        <v>63</v>
      </c>
      <c r="E694" t="s">
        <v>745</v>
      </c>
      <c r="F694" s="10">
        <v>419000</v>
      </c>
      <c r="G694" t="s">
        <v>248</v>
      </c>
      <c r="H694" s="1">
        <v>1330</v>
      </c>
      <c r="J694">
        <v>3</v>
      </c>
      <c r="K694">
        <v>2.25</v>
      </c>
      <c r="M694" s="2" t="str">
        <f>HYPERLINK("http://www.windermere.com/index.cfm?fuseaction=Listing.MapPropertyInteractive&amp;ListingID=19554406&amp;resize=true&amp;windowWidth=800&amp;windowHeight=600","Map")</f>
        <v>Map</v>
      </c>
      <c r="O694" s="2" t="str">
        <f>HYPERLINK("http://www.windermere.com/index.cfm?fuseaction=Listing.MultiImageViewer&amp;ListingID=19554406&amp;ln=28045497&amp;pub_mls=1","More")</f>
        <v>More</v>
      </c>
      <c r="P694" t="s">
        <v>44</v>
      </c>
      <c r="AI694" t="s">
        <v>66</v>
      </c>
      <c r="AJ694">
        <v>98107</v>
      </c>
      <c r="AS694" t="s">
        <v>1923</v>
      </c>
      <c r="AT694">
        <v>19554406</v>
      </c>
      <c r="AU694" s="7">
        <v>39522</v>
      </c>
      <c r="BB694" t="s">
        <v>912</v>
      </c>
    </row>
    <row r="695" spans="1:54">
      <c r="A695">
        <v>28045022</v>
      </c>
      <c r="B695" s="2" t="str">
        <f>HYPERLINK("http://www.windermere.com/index.cfm?fuseaction=Listing.ListingDetail&amp;ListingID=19548792","Active")</f>
        <v>Active</v>
      </c>
      <c r="D695" t="s">
        <v>60</v>
      </c>
      <c r="E695" t="s">
        <v>1924</v>
      </c>
      <c r="F695" s="10">
        <v>430000</v>
      </c>
      <c r="G695" t="s">
        <v>154</v>
      </c>
      <c r="H695" s="1">
        <v>2160</v>
      </c>
      <c r="I695">
        <v>3720</v>
      </c>
      <c r="J695">
        <v>2</v>
      </c>
      <c r="K695">
        <v>0.75</v>
      </c>
      <c r="M695" s="2" t="str">
        <f>HYPERLINK("http://www.windermere.com/index.cfm?fuseaction=Listing.MapPropertyInteractive&amp;ListingID=19548792&amp;resize=true&amp;windowWidth=800&amp;windowHeight=600","Map")</f>
        <v>Map</v>
      </c>
      <c r="O695" s="2" t="str">
        <f>HYPERLINK("http://www.windermere.com/index.cfm?fuseaction=viewGallery.Home&amp;customTourID=210604&amp;wvt=0","More")</f>
        <v>More</v>
      </c>
      <c r="AI695" t="s">
        <v>66</v>
      </c>
      <c r="AJ695">
        <v>98103</v>
      </c>
      <c r="AS695" t="s">
        <v>1925</v>
      </c>
      <c r="AT695">
        <v>19548792</v>
      </c>
      <c r="AU695" s="7">
        <v>39522</v>
      </c>
      <c r="BB695" t="s">
        <v>912</v>
      </c>
    </row>
    <row r="696" spans="1:54">
      <c r="A696">
        <v>28044640</v>
      </c>
      <c r="B696" s="2" t="str">
        <f>HYPERLINK("http://www.windermere.com/index.cfm?fuseaction=Listing.ListingDetail&amp;ListingID=19543787","Active")</f>
        <v>Active</v>
      </c>
      <c r="D696" t="s">
        <v>78</v>
      </c>
      <c r="E696" t="s">
        <v>158</v>
      </c>
      <c r="F696" s="10">
        <v>437500</v>
      </c>
      <c r="G696" t="s">
        <v>126</v>
      </c>
      <c r="H696" s="1">
        <v>1830</v>
      </c>
      <c r="I696">
        <v>4284</v>
      </c>
      <c r="J696">
        <v>2</v>
      </c>
      <c r="K696">
        <v>1</v>
      </c>
      <c r="M696" s="2" t="str">
        <f>HYPERLINK("http://www.windermere.com/index.cfm?fuseaction=Listing.MapPropertyInteractive&amp;ListingID=19543787&amp;resize=true&amp;windowWidth=800&amp;windowHeight=600","Map")</f>
        <v>Map</v>
      </c>
      <c r="O696" s="2" t="str">
        <f>HYPERLINK("http://www.windermere.com/index.cfm?fuseaction=Listing.MultiImageViewer&amp;ListingID=19543787&amp;ln=28044640&amp;pub_mls=1","More")</f>
        <v>More</v>
      </c>
      <c r="P696" t="s">
        <v>44</v>
      </c>
      <c r="AI696" t="s">
        <v>66</v>
      </c>
      <c r="AJ696">
        <v>98117</v>
      </c>
      <c r="AS696" t="s">
        <v>1926</v>
      </c>
      <c r="AT696">
        <v>19543787</v>
      </c>
      <c r="AU696" s="7">
        <v>39522</v>
      </c>
      <c r="BB696" t="s">
        <v>912</v>
      </c>
    </row>
    <row r="697" spans="1:54">
      <c r="A697">
        <v>28042195</v>
      </c>
      <c r="B697" s="4" t="str">
        <f>HYPERLINK("http://www.windermere.com/index.cfm?fuseaction=Listing.ListingDetail&amp;ListingID=19547689","Subject To Inspection")</f>
        <v>Subject To Inspection</v>
      </c>
      <c r="D697" t="s">
        <v>63</v>
      </c>
      <c r="E697" t="s">
        <v>1927</v>
      </c>
      <c r="F697" s="10">
        <v>439000</v>
      </c>
      <c r="G697" t="s">
        <v>180</v>
      </c>
      <c r="H697" s="1">
        <v>1980</v>
      </c>
      <c r="I697">
        <v>3600</v>
      </c>
      <c r="J697">
        <v>2</v>
      </c>
      <c r="K697">
        <v>1</v>
      </c>
      <c r="M697" s="2" t="str">
        <f>HYPERLINK("http://www.windermere.com/index.cfm?fuseaction=Listing.MapPropertyInteractive&amp;ListingID=19547689&amp;resize=true&amp;windowWidth=800&amp;windowHeight=600","Map")</f>
        <v>Map</v>
      </c>
      <c r="O697" s="2" t="str">
        <f>HYPERLINK("http://www.windermere.com/index.cfm?fuseaction=viewGallery.Home&amp;customTourID=210734&amp;wvt=0","More")</f>
        <v>More</v>
      </c>
      <c r="AI697" t="s">
        <v>66</v>
      </c>
      <c r="AJ697">
        <v>98117</v>
      </c>
      <c r="AS697" t="s">
        <v>1928</v>
      </c>
      <c r="AT697">
        <v>19547689</v>
      </c>
      <c r="AU697" s="7">
        <v>39522</v>
      </c>
      <c r="BB697" t="s">
        <v>912</v>
      </c>
    </row>
    <row r="698" spans="1:54">
      <c r="A698">
        <v>28043939</v>
      </c>
      <c r="B698" s="2" t="str">
        <f>HYPERLINK("http://www.windermere.com/index.cfm?fuseaction=Listing.ListingDetail&amp;ListingID=19548043","Active")</f>
        <v>Active</v>
      </c>
      <c r="D698" t="s">
        <v>63</v>
      </c>
      <c r="E698" t="s">
        <v>1929</v>
      </c>
      <c r="F698" s="10">
        <v>449950</v>
      </c>
      <c r="G698" t="s">
        <v>181</v>
      </c>
      <c r="H698" s="1">
        <v>1400</v>
      </c>
      <c r="I698">
        <v>5000</v>
      </c>
      <c r="J698">
        <v>2</v>
      </c>
      <c r="K698">
        <v>1.5</v>
      </c>
      <c r="M698" s="2" t="str">
        <f>HYPERLINK("http://www.windermere.com/index.cfm?fuseaction=Listing.MapPropertyInteractive&amp;ListingID=19548043&amp;resize=true&amp;windowWidth=800&amp;windowHeight=600","Map")</f>
        <v>Map</v>
      </c>
      <c r="O698" s="2" t="str">
        <f>HYPERLINK("http://www.windermere.com/index.cfm?fuseaction=Listing.MultiImageViewer&amp;ListingID=19548043&amp;ln=28043939&amp;pub_mls=1","More")</f>
        <v>More</v>
      </c>
      <c r="AI698" t="s">
        <v>66</v>
      </c>
      <c r="AJ698">
        <v>98107</v>
      </c>
      <c r="AS698" t="s">
        <v>1930</v>
      </c>
      <c r="AT698">
        <v>19548043</v>
      </c>
      <c r="AU698" s="7">
        <v>39522</v>
      </c>
      <c r="BB698" t="s">
        <v>912</v>
      </c>
    </row>
    <row r="699" spans="1:54">
      <c r="A699">
        <v>28042994</v>
      </c>
      <c r="B699" s="2" t="str">
        <f>HYPERLINK("http://www.windermere.com/index.cfm?fuseaction=Listing.ListingDetail&amp;ListingID=19549896","Active")</f>
        <v>Active</v>
      </c>
      <c r="D699" t="s">
        <v>63</v>
      </c>
      <c r="E699" t="s">
        <v>1931</v>
      </c>
      <c r="F699" s="10">
        <v>465000</v>
      </c>
      <c r="G699" t="s">
        <v>176</v>
      </c>
      <c r="H699" s="1">
        <v>1150</v>
      </c>
      <c r="I699">
        <v>6264</v>
      </c>
      <c r="J699">
        <v>2</v>
      </c>
      <c r="K699">
        <v>1</v>
      </c>
      <c r="M699" s="2" t="str">
        <f>HYPERLINK("http://www.windermere.com/index.cfm?fuseaction=Listing.MapPropertyInteractive&amp;ListingID=19549896&amp;resize=true&amp;windowWidth=800&amp;windowHeight=600","Map")</f>
        <v>Map</v>
      </c>
      <c r="O699" s="2" t="str">
        <f>HYPERLINK("http://www.windermere.com/index.cfm?fuseaction=Listing.MultiImageViewer&amp;ListingID=19549896&amp;ln=28042994&amp;pub_mls=1","More")</f>
        <v>More</v>
      </c>
      <c r="AI699" t="s">
        <v>66</v>
      </c>
      <c r="AJ699">
        <v>98117</v>
      </c>
      <c r="AS699" t="s">
        <v>1932</v>
      </c>
      <c r="AT699">
        <v>19549896</v>
      </c>
      <c r="AU699" s="7">
        <v>39522</v>
      </c>
      <c r="BB699" t="s">
        <v>912</v>
      </c>
    </row>
    <row r="700" spans="1:54">
      <c r="A700">
        <v>28045367</v>
      </c>
      <c r="B700" s="2" t="str">
        <f>HYPERLINK("http://www.windermere.com/index.cfm?fuseaction=Listing.ListingDetail&amp;ListingID=19551566","Active")</f>
        <v>Active</v>
      </c>
      <c r="D700" t="s">
        <v>226</v>
      </c>
      <c r="E700" t="s">
        <v>1933</v>
      </c>
      <c r="F700" s="10">
        <v>467500</v>
      </c>
      <c r="G700" t="s">
        <v>374</v>
      </c>
      <c r="H700" s="1">
        <v>1250</v>
      </c>
      <c r="J700">
        <v>3</v>
      </c>
      <c r="K700">
        <v>2.5</v>
      </c>
      <c r="M700" s="2" t="str">
        <f>HYPERLINK("http://www.windermere.com/index.cfm?fuseaction=Listing.MapPropertyInteractive&amp;ListingID=19551566&amp;resize=true&amp;windowWidth=800&amp;windowHeight=600","Map")</f>
        <v>Map</v>
      </c>
      <c r="O700" s="2" t="str">
        <f>HYPERLINK("http://www.windermere.com/index.cfm?fuseaction=Listing.MultiImageViewer&amp;ListingID=19551566&amp;ln=28045367&amp;pub_mls=1","More")</f>
        <v>More</v>
      </c>
      <c r="P700" t="s">
        <v>44</v>
      </c>
      <c r="AI700" t="s">
        <v>66</v>
      </c>
      <c r="AJ700">
        <v>98105</v>
      </c>
      <c r="AS700" t="s">
        <v>1934</v>
      </c>
      <c r="AT700">
        <v>19551566</v>
      </c>
      <c r="AU700" s="7">
        <v>39522</v>
      </c>
      <c r="BB700" t="s">
        <v>912</v>
      </c>
    </row>
    <row r="701" spans="1:54">
      <c r="A701">
        <v>28045421</v>
      </c>
      <c r="B701" s="2" t="str">
        <f>HYPERLINK("http://www.windermere.com/index.cfm?fuseaction=Listing.ListingDetail&amp;ListingID=19552760","Active")</f>
        <v>Active</v>
      </c>
      <c r="D701" t="s">
        <v>55</v>
      </c>
      <c r="E701" t="s">
        <v>1935</v>
      </c>
      <c r="F701" s="10">
        <v>469950</v>
      </c>
      <c r="G701" t="s">
        <v>134</v>
      </c>
      <c r="I701">
        <v>7156</v>
      </c>
      <c r="J701">
        <v>3</v>
      </c>
      <c r="K701">
        <v>3</v>
      </c>
      <c r="M701" s="2" t="str">
        <f>HYPERLINK("http://www.windermere.com/index.cfm?fuseaction=Listing.MapPropertyInteractive&amp;ListingID=19552760&amp;resize=true&amp;windowWidth=800&amp;windowHeight=600","Map")</f>
        <v>Map</v>
      </c>
      <c r="O701" s="2" t="str">
        <f>HYPERLINK("http://www.windermere.com/index.cfm?fuseaction=viewGallery.Home&amp;customTourID=210824&amp;wvt=0","More")</f>
        <v>More</v>
      </c>
      <c r="AI701" t="s">
        <v>66</v>
      </c>
      <c r="AJ701">
        <v>98103</v>
      </c>
      <c r="AS701" t="s">
        <v>1936</v>
      </c>
      <c r="AT701">
        <v>19552760</v>
      </c>
      <c r="AU701" s="7">
        <v>39522</v>
      </c>
      <c r="BB701" t="s">
        <v>912</v>
      </c>
    </row>
    <row r="702" spans="1:54">
      <c r="A702">
        <v>28045403</v>
      </c>
      <c r="B702" s="2" t="str">
        <f>HYPERLINK("http://www.windermere.com/index.cfm?fuseaction=Listing.ListingDetail&amp;ListingID=19552688","Active")</f>
        <v>Active</v>
      </c>
      <c r="D702" t="s">
        <v>109</v>
      </c>
      <c r="E702" t="s">
        <v>1937</v>
      </c>
      <c r="F702" s="10">
        <v>499950</v>
      </c>
      <c r="G702" t="s">
        <v>247</v>
      </c>
      <c r="H702" s="1">
        <v>1367</v>
      </c>
      <c r="J702">
        <v>3</v>
      </c>
      <c r="K702">
        <v>2.5</v>
      </c>
      <c r="M702" s="2" t="str">
        <f>HYPERLINK("http://www.windermere.com/index.cfm?fuseaction=Listing.MapPropertyInteractive&amp;ListingID=19552688&amp;resize=true&amp;windowWidth=800&amp;windowHeight=600","Map")</f>
        <v>Map</v>
      </c>
      <c r="O702" s="2" t="str">
        <f>HYPERLINK("http://www.windermere.com/index.cfm?fuseaction=Listing.MultiImageViewer&amp;ListingID=19552688&amp;ln=28045403&amp;pub_mls=1","More")</f>
        <v>More</v>
      </c>
      <c r="P702" t="s">
        <v>44</v>
      </c>
      <c r="AI702" t="s">
        <v>66</v>
      </c>
      <c r="AJ702">
        <v>98103</v>
      </c>
      <c r="AS702" t="s">
        <v>1938</v>
      </c>
      <c r="AT702">
        <v>19552688</v>
      </c>
      <c r="AU702" s="7">
        <v>39522</v>
      </c>
      <c r="BB702" t="s">
        <v>912</v>
      </c>
    </row>
    <row r="703" spans="1:54">
      <c r="A703">
        <v>28043911</v>
      </c>
      <c r="B703" s="2" t="str">
        <f>HYPERLINK("http://www.windermere.com/index.cfm?fuseaction=Listing.ListingDetail&amp;ListingID=19543276","Active")</f>
        <v>Active</v>
      </c>
      <c r="D703" t="s">
        <v>207</v>
      </c>
      <c r="E703" t="s">
        <v>1939</v>
      </c>
      <c r="F703" s="10">
        <v>499950</v>
      </c>
      <c r="G703" t="s">
        <v>374</v>
      </c>
      <c r="H703" s="1">
        <v>1330</v>
      </c>
      <c r="J703">
        <v>3</v>
      </c>
      <c r="K703">
        <v>2.25</v>
      </c>
      <c r="M703" s="2" t="str">
        <f>HYPERLINK("http://www.windermere.com/index.cfm?fuseaction=Listing.MapPropertyInteractive&amp;ListingID=19543276&amp;resize=true&amp;windowWidth=800&amp;windowHeight=600","Map")</f>
        <v>Map</v>
      </c>
      <c r="O703" s="2" t="str">
        <f>HYPERLINK("http://www.windermere.com/index.cfm?fuseaction=Listing.MultiImageViewer&amp;ListingID=19543276&amp;ln=28043911&amp;pub_mls=1","More")</f>
        <v>More</v>
      </c>
      <c r="P703" t="s">
        <v>44</v>
      </c>
      <c r="AI703" t="s">
        <v>66</v>
      </c>
      <c r="AJ703">
        <v>98105</v>
      </c>
      <c r="AS703" t="s">
        <v>1940</v>
      </c>
      <c r="AT703">
        <v>19543276</v>
      </c>
      <c r="AU703" s="7">
        <v>39522</v>
      </c>
      <c r="BB703" t="s">
        <v>912</v>
      </c>
    </row>
    <row r="704" spans="1:54">
      <c r="A704">
        <v>28045199</v>
      </c>
      <c r="B704" s="2" t="str">
        <f>HYPERLINK("http://www.windermere.com/index.cfm?fuseaction=Listing.ListingDetail&amp;ListingID=19555636","Active")</f>
        <v>Active</v>
      </c>
      <c r="D704" t="s">
        <v>55</v>
      </c>
      <c r="E704" t="s">
        <v>1941</v>
      </c>
      <c r="F704" s="10">
        <v>309950</v>
      </c>
      <c r="G704" t="s">
        <v>247</v>
      </c>
      <c r="H704" s="1">
        <v>1174</v>
      </c>
      <c r="J704">
        <v>2</v>
      </c>
      <c r="K704">
        <v>1.75</v>
      </c>
      <c r="M704" s="2" t="str">
        <f>HYPERLINK("http://www.windermere.com/index.cfm?fuseaction=Listing.MapPropertyInteractive&amp;ListingID=19555636&amp;resize=true&amp;windowWidth=800&amp;windowHeight=600","Map")</f>
        <v>Map</v>
      </c>
      <c r="O704" s="2" t="str">
        <f>HYPERLINK("http://www.windermere.com/index.cfm?fuseaction=Listing.MultiImageViewer&amp;ListingID=19555636&amp;ln=28045199&amp;pub_mls=1","More")</f>
        <v>More</v>
      </c>
      <c r="P704" t="s">
        <v>44</v>
      </c>
      <c r="AI704" t="s">
        <v>66</v>
      </c>
      <c r="AJ704">
        <v>98133</v>
      </c>
      <c r="AS704" t="s">
        <v>1942</v>
      </c>
      <c r="AT704">
        <v>19555636</v>
      </c>
      <c r="AU704" s="7">
        <v>39525</v>
      </c>
      <c r="BB704" t="s">
        <v>912</v>
      </c>
    </row>
    <row r="705" spans="1:54">
      <c r="A705">
        <v>28045186</v>
      </c>
      <c r="B705" s="2" t="str">
        <f>HYPERLINK("http://www.windermere.com/index.cfm?fuseaction=Listing.ListingDetail&amp;ListingID=19556104","Active")</f>
        <v>Active</v>
      </c>
      <c r="D705" t="s">
        <v>55</v>
      </c>
      <c r="E705" t="s">
        <v>1943</v>
      </c>
      <c r="F705" s="10">
        <v>319950</v>
      </c>
      <c r="G705" t="s">
        <v>247</v>
      </c>
      <c r="H705" s="1">
        <v>1174</v>
      </c>
      <c r="J705">
        <v>2</v>
      </c>
      <c r="K705">
        <v>1.75</v>
      </c>
      <c r="M705" s="2" t="str">
        <f>HYPERLINK("http://www.windermere.com/index.cfm?fuseaction=Listing.MapPropertyInteractive&amp;ListingID=19556104&amp;resize=true&amp;windowWidth=800&amp;windowHeight=600","Map")</f>
        <v>Map</v>
      </c>
      <c r="O705" s="2" t="str">
        <f>HYPERLINK("http://www.windermere.com/index.cfm?fuseaction=Listing.MultiImageViewer&amp;ListingID=19556104&amp;ln=28045186&amp;pub_mls=1","More")</f>
        <v>More</v>
      </c>
      <c r="P705" t="s">
        <v>44</v>
      </c>
      <c r="AI705" t="s">
        <v>66</v>
      </c>
      <c r="AJ705">
        <v>98133</v>
      </c>
      <c r="AS705" t="s">
        <v>1944</v>
      </c>
      <c r="AT705">
        <v>19556104</v>
      </c>
      <c r="AU705" s="7">
        <v>39525</v>
      </c>
      <c r="BB705" t="s">
        <v>912</v>
      </c>
    </row>
    <row r="706" spans="1:54">
      <c r="A706">
        <v>28042673</v>
      </c>
      <c r="B706" s="2" t="str">
        <f>HYPERLINK("http://www.windermere.com/index.cfm?fuseaction=Listing.ListingDetail&amp;ListingID=19555586","Active")</f>
        <v>Active</v>
      </c>
      <c r="D706" t="s">
        <v>70</v>
      </c>
      <c r="E706" t="s">
        <v>1945</v>
      </c>
      <c r="F706" s="10">
        <v>324950</v>
      </c>
      <c r="G706" t="s">
        <v>1946</v>
      </c>
      <c r="J706">
        <v>2</v>
      </c>
      <c r="K706">
        <v>1.5</v>
      </c>
      <c r="M706" s="2" t="str">
        <f>HYPERLINK("http://www.windermere.com/index.cfm?fuseaction=Listing.MapPropertyInteractive&amp;ListingID=19555586&amp;resize=true&amp;windowWidth=800&amp;windowHeight=600","Map")</f>
        <v>Map</v>
      </c>
      <c r="O706" s="2" t="str">
        <f>HYPERLINK("http://www.windermere.com/index.cfm?fuseaction=viewGallery.Home&amp;customTourID=210986&amp;wvt=0","More")</f>
        <v>More</v>
      </c>
      <c r="AI706" t="s">
        <v>66</v>
      </c>
      <c r="AJ706">
        <v>98177</v>
      </c>
      <c r="AS706" t="s">
        <v>1947</v>
      </c>
      <c r="AT706">
        <v>19555586</v>
      </c>
      <c r="AU706" s="7">
        <v>39525</v>
      </c>
      <c r="BB706" t="s">
        <v>912</v>
      </c>
    </row>
    <row r="707" spans="1:54">
      <c r="A707">
        <v>28045195</v>
      </c>
      <c r="B707" s="2" t="str">
        <f>HYPERLINK("http://www.windermere.com/index.cfm?fuseaction=Listing.ListingDetail&amp;ListingID=19555949","Active")</f>
        <v>Active</v>
      </c>
      <c r="D707" t="s">
        <v>55</v>
      </c>
      <c r="E707" t="s">
        <v>1948</v>
      </c>
      <c r="F707" s="10">
        <v>339950</v>
      </c>
      <c r="G707" t="s">
        <v>247</v>
      </c>
      <c r="H707" s="1">
        <v>1174</v>
      </c>
      <c r="J707">
        <v>2</v>
      </c>
      <c r="K707">
        <v>1.75</v>
      </c>
      <c r="M707" s="2" t="str">
        <f>HYPERLINK("http://www.windermere.com/index.cfm?fuseaction=Listing.MapPropertyInteractive&amp;ListingID=19555949&amp;resize=true&amp;windowWidth=800&amp;windowHeight=600","Map")</f>
        <v>Map</v>
      </c>
      <c r="O707" s="2" t="str">
        <f>HYPERLINK("http://www.windermere.com/index.cfm?fuseaction=Listing.MultiImageViewer&amp;ListingID=19555949&amp;ln=28045195&amp;pub_mls=1","More")</f>
        <v>More</v>
      </c>
      <c r="P707" t="s">
        <v>44</v>
      </c>
      <c r="AI707" t="s">
        <v>66</v>
      </c>
      <c r="AJ707">
        <v>98133</v>
      </c>
      <c r="AS707" t="s">
        <v>1949</v>
      </c>
      <c r="AT707">
        <v>19555949</v>
      </c>
      <c r="AU707" s="7">
        <v>39525</v>
      </c>
      <c r="BB707" t="s">
        <v>912</v>
      </c>
    </row>
    <row r="708" spans="1:54">
      <c r="A708">
        <v>28046310</v>
      </c>
      <c r="B708" s="2" t="str">
        <f>HYPERLINK("http://www.windermere.com/index.cfm?fuseaction=Listing.ListingDetail&amp;ListingID=19561761","Active")</f>
        <v>Active</v>
      </c>
      <c r="D708" t="s">
        <v>192</v>
      </c>
      <c r="E708" t="s">
        <v>1950</v>
      </c>
      <c r="F708" s="10">
        <v>375000</v>
      </c>
      <c r="G708" t="s">
        <v>125</v>
      </c>
      <c r="H708" s="1">
        <v>1290</v>
      </c>
      <c r="I708">
        <v>5376</v>
      </c>
      <c r="J708">
        <v>2</v>
      </c>
      <c r="K708">
        <v>1</v>
      </c>
      <c r="M708" s="2" t="str">
        <f>HYPERLINK("http://www.windermere.com/index.cfm?fuseaction=Listing.MapPropertyInteractive&amp;ListingID=19561761&amp;resize=true&amp;windowWidth=800&amp;windowHeight=600","Map")</f>
        <v>Map</v>
      </c>
      <c r="O708" s="2" t="str">
        <f>HYPERLINK("http://www.windermere.com/index.cfm?fuseaction=Listing.MultiImageViewer&amp;ListingID=19561761&amp;ln=28046310&amp;pub_mls=1","More")</f>
        <v>More</v>
      </c>
      <c r="AI708" t="s">
        <v>66</v>
      </c>
      <c r="AJ708">
        <v>98115</v>
      </c>
      <c r="AS708" t="s">
        <v>1951</v>
      </c>
      <c r="AT708">
        <v>19561761</v>
      </c>
      <c r="AU708" s="7">
        <v>39525</v>
      </c>
      <c r="BB708" t="s">
        <v>912</v>
      </c>
    </row>
    <row r="709" spans="1:54">
      <c r="A709">
        <v>28046098</v>
      </c>
      <c r="B709" s="2" t="str">
        <f>HYPERLINK("http://www.windermere.com/index.cfm?fuseaction=Listing.ListingDetail&amp;ListingID=19560774","Active")</f>
        <v>Active</v>
      </c>
      <c r="D709" t="s">
        <v>194</v>
      </c>
      <c r="E709" t="s">
        <v>1952</v>
      </c>
      <c r="F709" s="10">
        <v>379000</v>
      </c>
      <c r="G709" t="s">
        <v>157</v>
      </c>
      <c r="H709">
        <v>790</v>
      </c>
      <c r="I709">
        <v>7057</v>
      </c>
      <c r="J709">
        <v>2</v>
      </c>
      <c r="K709">
        <v>1</v>
      </c>
      <c r="M709" s="2" t="str">
        <f>HYPERLINK("http://www.windermere.com/index.cfm?fuseaction=Listing.MapPropertyInteractive&amp;ListingID=19560774&amp;resize=true&amp;windowWidth=800&amp;windowHeight=600","Map")</f>
        <v>Map</v>
      </c>
      <c r="O709" s="2" t="str">
        <f>HYPERLINK("http://www.windermere.com/index.cfm?fuseaction=Listing.MultiImageViewer&amp;ListingID=19560774&amp;ln=28046098&amp;pub_mls=1","More")</f>
        <v>More</v>
      </c>
      <c r="AI709" t="s">
        <v>66</v>
      </c>
      <c r="AJ709">
        <v>98115</v>
      </c>
      <c r="AS709" t="s">
        <v>1953</v>
      </c>
      <c r="AT709">
        <v>19560774</v>
      </c>
      <c r="AU709" s="7">
        <v>39525</v>
      </c>
      <c r="BB709" t="s">
        <v>912</v>
      </c>
    </row>
    <row r="710" spans="1:54">
      <c r="A710">
        <v>28045935</v>
      </c>
      <c r="B710" s="2" t="str">
        <f>HYPERLINK("http://www.windermere.com/index.cfm?fuseaction=Listing.ListingDetail&amp;ListingID=19560102","Active")</f>
        <v>Active</v>
      </c>
      <c r="D710" t="s">
        <v>204</v>
      </c>
      <c r="E710" t="s">
        <v>1954</v>
      </c>
      <c r="F710" s="10">
        <v>398000</v>
      </c>
      <c r="G710" t="s">
        <v>124</v>
      </c>
      <c r="H710" s="1">
        <v>1590</v>
      </c>
      <c r="I710">
        <v>7241</v>
      </c>
      <c r="J710">
        <v>4</v>
      </c>
      <c r="K710">
        <v>2</v>
      </c>
      <c r="M710" s="2" t="str">
        <f>HYPERLINK("http://www.windermere.com/index.cfm?fuseaction=Listing.MapPropertyInteractive&amp;ListingID=19560102&amp;resize=true&amp;windowWidth=800&amp;windowHeight=600","Map")</f>
        <v>Map</v>
      </c>
      <c r="O710" s="2" t="str">
        <f>HYPERLINK("http://www.windermere.com/index.cfm?fuseaction=Listing.MultiImageViewer&amp;ListingID=19560102&amp;ln=28045935&amp;pub_mls=1","More")</f>
        <v>More</v>
      </c>
      <c r="AI710" t="s">
        <v>66</v>
      </c>
      <c r="AJ710">
        <v>98125</v>
      </c>
      <c r="AS710" t="s">
        <v>1955</v>
      </c>
      <c r="AT710">
        <v>19560102</v>
      </c>
      <c r="AU710" s="7">
        <v>39525</v>
      </c>
      <c r="BB710" t="s">
        <v>912</v>
      </c>
    </row>
    <row r="711" spans="1:54">
      <c r="A711">
        <v>28045917</v>
      </c>
      <c r="B711" s="2" t="str">
        <f>HYPERLINK("http://www.windermere.com/index.cfm?fuseaction=Listing.ListingDetail&amp;ListingID=19561510","Active")</f>
        <v>Active</v>
      </c>
      <c r="D711" t="s">
        <v>194</v>
      </c>
      <c r="E711" t="s">
        <v>1957</v>
      </c>
      <c r="F711" s="10">
        <v>419000</v>
      </c>
      <c r="G711" t="s">
        <v>137</v>
      </c>
      <c r="I711">
        <v>5100</v>
      </c>
      <c r="J711">
        <v>2</v>
      </c>
      <c r="K711">
        <v>1</v>
      </c>
      <c r="M711" s="2" t="str">
        <f>HYPERLINK("http://www.windermere.com/index.cfm?fuseaction=Listing.MapPropertyInteractive&amp;ListingID=19561510&amp;resize=true&amp;windowWidth=800&amp;windowHeight=600","Map")</f>
        <v>Map</v>
      </c>
      <c r="O711" s="2" t="str">
        <f>HYPERLINK("http://www.windermere.com/index.cfm?fuseaction=viewGallery.Home&amp;customTourID=210947&amp;wvt=0","More")</f>
        <v>More</v>
      </c>
      <c r="AI711" t="s">
        <v>66</v>
      </c>
      <c r="AJ711">
        <v>98115</v>
      </c>
      <c r="AS711" t="s">
        <v>1958</v>
      </c>
      <c r="AT711">
        <v>19561510</v>
      </c>
      <c r="AU711" s="7">
        <v>39525</v>
      </c>
      <c r="BB711" t="s">
        <v>912</v>
      </c>
    </row>
    <row r="712" spans="1:54">
      <c r="A712">
        <v>28046370</v>
      </c>
      <c r="B712" s="2" t="str">
        <f>HYPERLINK("http://www.windermere.com/index.cfm?fuseaction=Listing.ListingDetail&amp;ListingID=19561511","Active")</f>
        <v>Active</v>
      </c>
      <c r="D712" t="s">
        <v>207</v>
      </c>
      <c r="E712" t="s">
        <v>1961</v>
      </c>
      <c r="F712" s="10">
        <v>459950</v>
      </c>
      <c r="G712" t="s">
        <v>154</v>
      </c>
      <c r="H712" s="1">
        <v>1270</v>
      </c>
      <c r="I712">
        <v>3750</v>
      </c>
      <c r="J712">
        <v>2</v>
      </c>
      <c r="K712">
        <v>1</v>
      </c>
      <c r="M712" s="2" t="str">
        <f>HYPERLINK("http://www.windermere.com/index.cfm?fuseaction=Listing.MapPropertyInteractive&amp;ListingID=19561511&amp;resize=true&amp;windowWidth=800&amp;windowHeight=600","Map")</f>
        <v>Map</v>
      </c>
      <c r="O712" s="2" t="str">
        <f>HYPERLINK("http://www.windermere.com/index.cfm?fuseaction=Listing.MultiImageViewer&amp;ListingID=19561511&amp;ln=28046370&amp;pub_mls=1","More")</f>
        <v>More</v>
      </c>
      <c r="P712" t="s">
        <v>44</v>
      </c>
      <c r="AI712" t="s">
        <v>66</v>
      </c>
      <c r="AJ712">
        <v>98115</v>
      </c>
      <c r="AS712" t="s">
        <v>1962</v>
      </c>
      <c r="AT712">
        <v>19561511</v>
      </c>
      <c r="AU712" s="7">
        <v>39525</v>
      </c>
      <c r="BB712" t="s">
        <v>912</v>
      </c>
    </row>
    <row r="713" spans="1:54">
      <c r="A713">
        <v>28044820</v>
      </c>
      <c r="B713" s="2" t="str">
        <f>HYPERLINK("http://www.windermere.com/index.cfm?fuseaction=Listing.ListingDetail&amp;ListingID=19557685","Active")</f>
        <v>Active</v>
      </c>
      <c r="D713" t="s">
        <v>192</v>
      </c>
      <c r="E713" t="s">
        <v>1963</v>
      </c>
      <c r="F713" s="10">
        <v>474950</v>
      </c>
      <c r="G713" t="s">
        <v>161</v>
      </c>
      <c r="H713" s="1">
        <v>2260</v>
      </c>
      <c r="I713">
        <v>4590</v>
      </c>
      <c r="J713">
        <v>3</v>
      </c>
      <c r="K713">
        <v>1.5</v>
      </c>
      <c r="M713" s="2" t="str">
        <f>HYPERLINK("http://www.windermere.com/index.cfm?fuseaction=Listing.MapPropertyInteractive&amp;ListingID=19557685&amp;resize=true&amp;windowWidth=800&amp;windowHeight=600","Map")</f>
        <v>Map</v>
      </c>
      <c r="O713" s="2" t="str">
        <f>HYPERLINK("http://www.windermere.com/index.cfm?fuseaction=Listing.MultiImageViewer&amp;ListingID=19557685&amp;ln=28044820&amp;pub_mls=1","More")</f>
        <v>More</v>
      </c>
      <c r="AI713" t="s">
        <v>66</v>
      </c>
      <c r="AJ713">
        <v>98115</v>
      </c>
      <c r="AS713" t="s">
        <v>1964</v>
      </c>
      <c r="AT713">
        <v>19557685</v>
      </c>
      <c r="AU713" s="7">
        <v>39525</v>
      </c>
      <c r="BB713" t="s">
        <v>912</v>
      </c>
    </row>
    <row r="714" spans="1:54">
      <c r="A714">
        <v>28045584</v>
      </c>
      <c r="B714" s="2" t="str">
        <f>HYPERLINK("http://www.windermere.com/index.cfm?fuseaction=Listing.ListingDetail&amp;ListingID=19556071","Active")</f>
        <v>Active</v>
      </c>
      <c r="D714" t="s">
        <v>920</v>
      </c>
      <c r="E714" t="s">
        <v>1965</v>
      </c>
      <c r="F714" s="10">
        <v>479950</v>
      </c>
      <c r="G714" t="s">
        <v>256</v>
      </c>
      <c r="H714" s="1">
        <v>1520</v>
      </c>
      <c r="I714">
        <v>5431</v>
      </c>
      <c r="J714">
        <v>3</v>
      </c>
      <c r="K714">
        <v>2</v>
      </c>
      <c r="M714" s="2" t="str">
        <f>HYPERLINK("http://www.windermere.com/index.cfm?fuseaction=Listing.MapPropertyInteractive&amp;ListingID=19556071&amp;resize=true&amp;windowWidth=800&amp;windowHeight=600","Map")</f>
        <v>Map</v>
      </c>
      <c r="AI714" t="s">
        <v>66</v>
      </c>
      <c r="AJ714">
        <v>98133</v>
      </c>
      <c r="AS714" t="s">
        <v>1966</v>
      </c>
      <c r="AT714">
        <v>19556071</v>
      </c>
      <c r="AU714" s="7">
        <v>39525</v>
      </c>
      <c r="BB714" t="s">
        <v>912</v>
      </c>
    </row>
    <row r="715" spans="1:54">
      <c r="A715">
        <v>28045722</v>
      </c>
      <c r="B715" s="2" t="str">
        <f>HYPERLINK("http://www.windermere.com/index.cfm?fuseaction=Listing.ListingDetail&amp;ListingID=19557225","Active")</f>
        <v>Active</v>
      </c>
      <c r="D715" t="s">
        <v>920</v>
      </c>
      <c r="E715" t="s">
        <v>1967</v>
      </c>
      <c r="F715" s="10">
        <v>499950</v>
      </c>
      <c r="G715" t="s">
        <v>176</v>
      </c>
      <c r="I715">
        <v>7590</v>
      </c>
      <c r="J715">
        <v>2</v>
      </c>
      <c r="K715">
        <v>2.75</v>
      </c>
      <c r="M715" s="2" t="str">
        <f>HYPERLINK("http://www.windermere.com/index.cfm?fuseaction=Listing.MapPropertyInteractive&amp;ListingID=19557225&amp;resize=true&amp;windowWidth=800&amp;windowHeight=600","Map")</f>
        <v>Map</v>
      </c>
      <c r="O715" s="2" t="str">
        <f>HYPERLINK("http://www.windermere.com/index.cfm?fuseaction=Listing.MultiImageViewer&amp;ListingID=19557225&amp;ln=28045722&amp;pub_mls=1","More")</f>
        <v>More</v>
      </c>
      <c r="P715" t="s">
        <v>44</v>
      </c>
      <c r="AI715" t="s">
        <v>66</v>
      </c>
      <c r="AJ715">
        <v>98133</v>
      </c>
      <c r="AS715" t="s">
        <v>1968</v>
      </c>
      <c r="AT715">
        <v>19557225</v>
      </c>
      <c r="AU715" s="7">
        <v>39525</v>
      </c>
      <c r="BB715" t="s">
        <v>912</v>
      </c>
    </row>
    <row r="716" spans="1:54">
      <c r="A716">
        <v>28045681</v>
      </c>
      <c r="B716" s="2" t="str">
        <f>HYPERLINK("http://www.windermere.com/index.cfm?fuseaction=Listing.ListingDetail&amp;ListingID=19556561","Active")</f>
        <v>Active</v>
      </c>
      <c r="D716" t="s">
        <v>99</v>
      </c>
      <c r="E716" t="s">
        <v>269</v>
      </c>
      <c r="F716" s="10">
        <v>499950</v>
      </c>
      <c r="G716" t="s">
        <v>138</v>
      </c>
      <c r="H716" s="1">
        <v>1980</v>
      </c>
      <c r="I716">
        <v>8276</v>
      </c>
      <c r="J716">
        <v>3</v>
      </c>
      <c r="K716">
        <v>2</v>
      </c>
      <c r="M716" s="2" t="str">
        <f>HYPERLINK("http://www.windermere.com/index.cfm?fuseaction=Listing.MapPropertyInteractive&amp;ListingID=19556561&amp;resize=true&amp;windowWidth=800&amp;windowHeight=600","Map")</f>
        <v>Map</v>
      </c>
      <c r="O716" s="2" t="str">
        <f>HYPERLINK("http://www.windermere.com/index.cfm?fuseaction=Listing.MultiImageViewer&amp;ListingID=19556561&amp;ln=28045681&amp;pub_mls=1","More")</f>
        <v>More</v>
      </c>
      <c r="P716" t="s">
        <v>44</v>
      </c>
      <c r="AI716" t="s">
        <v>66</v>
      </c>
      <c r="AJ716">
        <v>98117</v>
      </c>
      <c r="AS716" t="s">
        <v>1969</v>
      </c>
      <c r="AT716">
        <v>19556561</v>
      </c>
      <c r="AU716" s="7">
        <v>39525</v>
      </c>
      <c r="BB716" t="s">
        <v>912</v>
      </c>
    </row>
    <row r="717" spans="1:54">
      <c r="A717">
        <v>28045960</v>
      </c>
      <c r="B717" s="2" t="str">
        <f>HYPERLINK("http://www.windermere.com/index.cfm?fuseaction=Listing.ListingDetail&amp;ListingID=19559601","Active")</f>
        <v>Active</v>
      </c>
      <c r="D717" t="s">
        <v>188</v>
      </c>
      <c r="E717" t="s">
        <v>1970</v>
      </c>
      <c r="F717" s="10">
        <v>499950</v>
      </c>
      <c r="G717" t="s">
        <v>663</v>
      </c>
      <c r="H717" s="1">
        <v>1570</v>
      </c>
      <c r="I717">
        <v>12862</v>
      </c>
      <c r="J717">
        <v>3</v>
      </c>
      <c r="K717">
        <v>1.75</v>
      </c>
      <c r="M717" s="2" t="str">
        <f>HYPERLINK("http://www.windermere.com/index.cfm?fuseaction=Listing.MapPropertyInteractive&amp;ListingID=19559601&amp;resize=true&amp;windowWidth=800&amp;windowHeight=600","Map")</f>
        <v>Map</v>
      </c>
      <c r="O717" s="2" t="str">
        <f>HYPERLINK("http://www.windermere.com/index.cfm?fuseaction=Listing.MultiImageViewer&amp;ListingID=19559601&amp;ln=28045960&amp;pub_mls=1","More")</f>
        <v>More</v>
      </c>
      <c r="AI717" t="s">
        <v>66</v>
      </c>
      <c r="AJ717">
        <v>98125</v>
      </c>
      <c r="AS717" t="s">
        <v>1971</v>
      </c>
      <c r="AT717">
        <v>19559601</v>
      </c>
      <c r="AU717" s="7">
        <v>39525</v>
      </c>
      <c r="BB717" t="s">
        <v>912</v>
      </c>
    </row>
    <row r="718" spans="1:54">
      <c r="A718">
        <v>28046309</v>
      </c>
      <c r="B718" s="2" t="str">
        <f>HYPERLINK("http://www.windermere.com/index.cfm?fuseaction=Listing.ListingDetail&amp;ListingID=19561313","Active")</f>
        <v>Active</v>
      </c>
      <c r="D718" t="s">
        <v>1024</v>
      </c>
      <c r="E718" t="s">
        <v>1972</v>
      </c>
      <c r="F718" s="10">
        <v>509950</v>
      </c>
      <c r="G718" t="s">
        <v>124</v>
      </c>
      <c r="J718">
        <v>2</v>
      </c>
      <c r="K718">
        <v>1.5</v>
      </c>
      <c r="M718" s="2" t="str">
        <f>HYPERLINK("http://www.windermere.com/index.cfm?fuseaction=Listing.MapPropertyInteractive&amp;ListingID=19561313&amp;resize=true&amp;windowWidth=800&amp;windowHeight=600","Map")</f>
        <v>Map</v>
      </c>
      <c r="O718" s="2" t="str">
        <f>HYPERLINK("http://www.windermere.com/index.cfm?fuseaction=Listing.MultiImageViewer&amp;ListingID=19561313&amp;ln=28046309&amp;pub_mls=1","More")</f>
        <v>More</v>
      </c>
      <c r="P718" t="s">
        <v>44</v>
      </c>
      <c r="AI718" t="s">
        <v>66</v>
      </c>
      <c r="AJ718">
        <v>98117</v>
      </c>
      <c r="AS718" t="s">
        <v>1973</v>
      </c>
      <c r="AT718">
        <v>19561313</v>
      </c>
      <c r="AU718" s="7">
        <v>39525</v>
      </c>
      <c r="BB718" t="s">
        <v>912</v>
      </c>
    </row>
    <row r="719" spans="1:54">
      <c r="A719">
        <v>28046063</v>
      </c>
      <c r="B719" s="2" t="str">
        <f>HYPERLINK("http://www.windermere.com/index.cfm?fuseaction=Listing.ListingDetail&amp;ListingID=19561990","Active")</f>
        <v>Active</v>
      </c>
      <c r="D719" t="s">
        <v>63</v>
      </c>
      <c r="E719" t="s">
        <v>1974</v>
      </c>
      <c r="F719" s="10">
        <v>510000</v>
      </c>
      <c r="G719" t="s">
        <v>617</v>
      </c>
      <c r="H719" s="1">
        <v>2560</v>
      </c>
      <c r="I719">
        <v>4000</v>
      </c>
      <c r="J719">
        <v>4</v>
      </c>
      <c r="K719">
        <v>2</v>
      </c>
      <c r="M719" s="2" t="str">
        <f>HYPERLINK("http://www.windermere.com/index.cfm?fuseaction=Listing.MapPropertyInteractive&amp;ListingID=19561990&amp;resize=true&amp;windowWidth=800&amp;windowHeight=600","Map")</f>
        <v>Map</v>
      </c>
      <c r="O719" s="2" t="str">
        <f>HYPERLINK("http://www.windermere.com/index.cfm?fuseaction=Listing.MultiImageViewer&amp;ListingID=19561990&amp;ln=28046063&amp;pub_mls=1","More")</f>
        <v>More</v>
      </c>
      <c r="AI719" t="s">
        <v>66</v>
      </c>
      <c r="AJ719">
        <v>98117</v>
      </c>
      <c r="AS719" t="s">
        <v>1975</v>
      </c>
      <c r="AT719">
        <v>19561990</v>
      </c>
      <c r="AU719" s="7">
        <v>39525</v>
      </c>
      <c r="BB719" t="s">
        <v>912</v>
      </c>
    </row>
    <row r="720" spans="1:54">
      <c r="A720">
        <v>28004234</v>
      </c>
      <c r="B720" s="2" t="str">
        <f>HYPERLINK("http://www.windermere.com/index.cfm?fuseaction=Listing.ListingDetail&amp;ListingID=19556400","Active")</f>
        <v>Active</v>
      </c>
      <c r="D720" t="s">
        <v>63</v>
      </c>
      <c r="E720" t="s">
        <v>1976</v>
      </c>
      <c r="F720" s="10">
        <v>569950</v>
      </c>
      <c r="G720" t="s">
        <v>181</v>
      </c>
      <c r="H720" s="1">
        <v>2200</v>
      </c>
      <c r="I720">
        <v>4800</v>
      </c>
      <c r="J720">
        <v>4</v>
      </c>
      <c r="K720">
        <v>2.75</v>
      </c>
      <c r="M720" s="2" t="str">
        <f>HYPERLINK("http://www.windermere.com/index.cfm?fuseaction=Listing.MapPropertyInteractive&amp;ListingID=19556400&amp;resize=true&amp;windowWidth=800&amp;windowHeight=600","Map")</f>
        <v>Map</v>
      </c>
      <c r="O720" s="2" t="str">
        <f>HYPERLINK("http://www.windermere.com/index.cfm?fuseaction=Listing.MultiImageViewer&amp;ListingID=19556400&amp;ln=28004234&amp;pub_mls=1","More")</f>
        <v>More</v>
      </c>
      <c r="AI720" t="s">
        <v>66</v>
      </c>
      <c r="AJ720">
        <v>98117</v>
      </c>
      <c r="AS720" t="s">
        <v>1977</v>
      </c>
      <c r="AT720">
        <v>19556400</v>
      </c>
      <c r="AU720" s="7">
        <v>39525</v>
      </c>
      <c r="BB720" t="s">
        <v>912</v>
      </c>
    </row>
    <row r="721" spans="1:54">
      <c r="A721">
        <v>28044092</v>
      </c>
      <c r="B721" s="2" t="str">
        <f>HYPERLINK("http://www.windermere.com/index.cfm?fuseaction=Listing.ListingDetail&amp;ListingID=19562326","Active")</f>
        <v>Active</v>
      </c>
      <c r="D721" t="s">
        <v>63</v>
      </c>
      <c r="E721" t="s">
        <v>1235</v>
      </c>
      <c r="F721" s="10">
        <v>649950</v>
      </c>
      <c r="G721" t="s">
        <v>134</v>
      </c>
      <c r="H721" s="1">
        <v>2140</v>
      </c>
      <c r="I721">
        <v>3880</v>
      </c>
      <c r="J721">
        <v>3</v>
      </c>
      <c r="K721">
        <v>2.75</v>
      </c>
      <c r="M721" s="2" t="str">
        <f>HYPERLINK("http://www.windermere.com/index.cfm?fuseaction=Listing.MapPropertyInteractive&amp;ListingID=19562326&amp;resize=true&amp;windowWidth=800&amp;windowHeight=600","Map")</f>
        <v>Map</v>
      </c>
      <c r="O721" s="2" t="str">
        <f>HYPERLINK("http://www.windermere.com/index.cfm?fuseaction=Listing.MultiImageViewer&amp;ListingID=19562326&amp;ln=28044092&amp;pub_mls=1","More")</f>
        <v>More</v>
      </c>
      <c r="P721" t="s">
        <v>44</v>
      </c>
      <c r="AI721" t="s">
        <v>66</v>
      </c>
      <c r="AJ721">
        <v>98117</v>
      </c>
      <c r="AS721" t="s">
        <v>1978</v>
      </c>
      <c r="AT721">
        <v>19562326</v>
      </c>
      <c r="AU721" s="7">
        <v>39525</v>
      </c>
      <c r="BB721" t="s">
        <v>912</v>
      </c>
    </row>
    <row r="722" spans="1:54">
      <c r="A722">
        <v>28046447</v>
      </c>
      <c r="B722" s="2" t="str">
        <f>HYPERLINK("http://www.windermere.com/index.cfm?fuseaction=Listing.ListingDetail&amp;ListingID=19570198","Active")</f>
        <v>Active</v>
      </c>
      <c r="D722" t="s">
        <v>968</v>
      </c>
      <c r="E722" t="s">
        <v>1979</v>
      </c>
      <c r="F722" s="10">
        <v>325000</v>
      </c>
      <c r="G722" t="s">
        <v>248</v>
      </c>
      <c r="H722" s="1">
        <v>1430</v>
      </c>
      <c r="J722">
        <v>2</v>
      </c>
      <c r="K722">
        <v>1.5</v>
      </c>
      <c r="M722" s="2" t="str">
        <f>HYPERLINK("http://www.windermere.com/index.cfm?fuseaction=Listing.MapPropertyInteractive&amp;ListingID=19570198&amp;resize=true&amp;windowWidth=800&amp;windowHeight=600","Map")</f>
        <v>Map</v>
      </c>
      <c r="O722" s="2" t="str">
        <f>HYPERLINK("http://www.windermere.com/index.cfm?fuseaction=viewGallery.Home&amp;customTourID=211173&amp;wvt=0","More")</f>
        <v>More</v>
      </c>
      <c r="AI722" t="s">
        <v>66</v>
      </c>
      <c r="AJ722">
        <v>98125</v>
      </c>
      <c r="AS722" t="s">
        <v>1980</v>
      </c>
      <c r="AT722">
        <v>19570198</v>
      </c>
      <c r="AU722" s="7">
        <v>39526</v>
      </c>
      <c r="BB722" t="s">
        <v>912</v>
      </c>
    </row>
    <row r="723" spans="1:54">
      <c r="A723">
        <v>28047220</v>
      </c>
      <c r="B723" s="2" t="str">
        <f>HYPERLINK("http://www.windermere.com/index.cfm?fuseaction=Listing.ListingDetail&amp;ListingID=19569858","Active")</f>
        <v>Active</v>
      </c>
      <c r="D723" t="s">
        <v>226</v>
      </c>
      <c r="E723" t="s">
        <v>1981</v>
      </c>
      <c r="F723" s="10">
        <v>399950</v>
      </c>
      <c r="G723" t="s">
        <v>718</v>
      </c>
      <c r="H723" s="1">
        <v>2300</v>
      </c>
      <c r="I723">
        <v>4500</v>
      </c>
      <c r="J723">
        <v>4</v>
      </c>
      <c r="K723">
        <v>1.75</v>
      </c>
      <c r="M723" s="2" t="str">
        <f>HYPERLINK("http://www.windermere.com/index.cfm?fuseaction=Listing.MapPropertyInteractive&amp;ListingID=19569858&amp;resize=true&amp;windowWidth=800&amp;windowHeight=600","Map")</f>
        <v>Map</v>
      </c>
      <c r="AI723" t="s">
        <v>66</v>
      </c>
      <c r="AJ723">
        <v>98105</v>
      </c>
      <c r="AS723" t="s">
        <v>1982</v>
      </c>
      <c r="AT723">
        <v>19569858</v>
      </c>
      <c r="AU723" s="7">
        <v>39526</v>
      </c>
      <c r="BB723" t="s">
        <v>912</v>
      </c>
    </row>
    <row r="724" spans="1:54">
      <c r="A724">
        <v>28046086</v>
      </c>
      <c r="B724" s="2" t="str">
        <f>HYPERLINK("http://www.windermere.com/index.cfm?fuseaction=Listing.ListingDetail&amp;ListingID=19560646","Subject To Inspection")</f>
        <v>Subject To Inspection</v>
      </c>
      <c r="D724" t="s">
        <v>226</v>
      </c>
      <c r="E724" t="s">
        <v>1984</v>
      </c>
      <c r="F724" s="10">
        <v>465000</v>
      </c>
      <c r="G724" t="s">
        <v>288</v>
      </c>
      <c r="H724" s="1">
        <v>1650</v>
      </c>
      <c r="I724">
        <v>4400</v>
      </c>
      <c r="J724">
        <v>3</v>
      </c>
      <c r="K724">
        <v>2</v>
      </c>
      <c r="M724" s="2" t="str">
        <f>HYPERLINK("http://www.windermere.com/index.cfm?fuseaction=Listing.MapPropertyInteractive&amp;ListingID=19560646&amp;resize=true&amp;windowWidth=800&amp;windowHeight=600","Map")</f>
        <v>Map</v>
      </c>
      <c r="O724" s="2" t="str">
        <f>HYPERLINK("http://www.windermere.com/index.cfm?fuseaction=Listing.MultiImageViewer&amp;ListingID=19560646&amp;ln=28046086&amp;pub_mls=1","More")</f>
        <v>More</v>
      </c>
      <c r="AI724" t="s">
        <v>66</v>
      </c>
      <c r="AJ724">
        <v>98105</v>
      </c>
      <c r="AS724" t="s">
        <v>1985</v>
      </c>
      <c r="AT724">
        <v>19560646</v>
      </c>
      <c r="AU724" s="7">
        <v>39526</v>
      </c>
      <c r="BB724" t="s">
        <v>912</v>
      </c>
    </row>
    <row r="725" spans="1:54">
      <c r="A725">
        <v>28046993</v>
      </c>
      <c r="B725" s="2" t="str">
        <f>HYPERLINK("http://www.windermere.com/index.cfm?fuseaction=Listing.ListingDetail&amp;ListingID=19568007","Active")</f>
        <v>Active</v>
      </c>
      <c r="D725" t="s">
        <v>70</v>
      </c>
      <c r="E725" t="s">
        <v>1986</v>
      </c>
      <c r="F725" s="10">
        <v>495000</v>
      </c>
      <c r="G725" t="s">
        <v>171</v>
      </c>
      <c r="H725" s="1">
        <v>1630</v>
      </c>
      <c r="I725">
        <v>7934</v>
      </c>
      <c r="J725">
        <v>4</v>
      </c>
      <c r="K725">
        <v>2.5</v>
      </c>
      <c r="M725" s="2" t="str">
        <f>HYPERLINK("http://www.windermere.com/index.cfm?fuseaction=Listing.MapPropertyInteractive&amp;ListingID=19568007&amp;resize=true&amp;windowWidth=800&amp;windowHeight=600","Map")</f>
        <v>Map</v>
      </c>
      <c r="O725" s="2" t="str">
        <f>HYPERLINK("http://www.windermere.com/index.cfm?fuseaction=Listing.MultiImageViewer&amp;ListingID=19568007&amp;ln=28046993&amp;pub_mls=1","More")</f>
        <v>More</v>
      </c>
      <c r="P725" t="s">
        <v>44</v>
      </c>
      <c r="AI725" t="s">
        <v>66</v>
      </c>
      <c r="AJ725">
        <v>98133</v>
      </c>
      <c r="AS725" t="s">
        <v>1987</v>
      </c>
      <c r="AT725">
        <v>19568007</v>
      </c>
      <c r="AU725" s="7">
        <v>39526</v>
      </c>
      <c r="BB725" t="s">
        <v>912</v>
      </c>
    </row>
    <row r="726" spans="1:54">
      <c r="A726">
        <v>27164152</v>
      </c>
      <c r="B726" s="2" t="str">
        <f>HYPERLINK("http://www.windermere.com/index.cfm?fuseaction=Listing.ListingDetail&amp;ListingID=18581910","Active")</f>
        <v>Active</v>
      </c>
      <c r="D726" t="s">
        <v>63</v>
      </c>
      <c r="E726" t="s">
        <v>1988</v>
      </c>
      <c r="F726" s="10">
        <v>499950</v>
      </c>
      <c r="G726" t="s">
        <v>147</v>
      </c>
      <c r="H726" s="1">
        <v>2100</v>
      </c>
      <c r="J726">
        <v>3</v>
      </c>
      <c r="K726">
        <v>3.5</v>
      </c>
      <c r="M726" s="2" t="str">
        <f>HYPERLINK("http://www.windermere.com/index.cfm?fuseaction=Listing.MapPropertyInteractive&amp;ListingID=18581910&amp;resize=true&amp;windowWidth=800&amp;windowHeight=600","Map")</f>
        <v>Map</v>
      </c>
      <c r="O726" s="2" t="str">
        <f>HYPERLINK("http://www.windermere.com/index.cfm?fuseaction=Listing.MultiImageViewer&amp;ListingID=18581910&amp;ln=27164152&amp;pub_mls=1","More")</f>
        <v>More</v>
      </c>
      <c r="P726" t="s">
        <v>44</v>
      </c>
      <c r="AI726" t="s">
        <v>66</v>
      </c>
      <c r="AJ726">
        <v>98107</v>
      </c>
      <c r="AS726" t="s">
        <v>1989</v>
      </c>
      <c r="AT726">
        <v>18581910</v>
      </c>
      <c r="AU726" s="7">
        <v>39526</v>
      </c>
      <c r="BB726" t="s">
        <v>912</v>
      </c>
    </row>
    <row r="727" spans="1:54">
      <c r="A727">
        <v>27178379</v>
      </c>
      <c r="B727" s="2" t="str">
        <f>HYPERLINK("http://www.windermere.com/index.cfm?fuseaction=Listing.ListingDetail&amp;ListingID=18740238","Active")</f>
        <v>Active</v>
      </c>
      <c r="D727" t="s">
        <v>63</v>
      </c>
      <c r="E727" t="s">
        <v>1990</v>
      </c>
      <c r="F727" s="10">
        <v>499950</v>
      </c>
      <c r="G727" t="s">
        <v>147</v>
      </c>
      <c r="H727" s="1">
        <v>2100</v>
      </c>
      <c r="J727">
        <v>3</v>
      </c>
      <c r="K727">
        <v>3.5</v>
      </c>
      <c r="M727" s="2" t="str">
        <f>HYPERLINK("http://www.windermere.com/index.cfm?fuseaction=Listing.MapPropertyInteractive&amp;ListingID=18740238&amp;resize=true&amp;windowWidth=800&amp;windowHeight=600","Map")</f>
        <v>Map</v>
      </c>
      <c r="O727" s="2" t="str">
        <f>HYPERLINK("http://www.windermere.com/index.cfm?fuseaction=Listing.MultiImageViewer&amp;ListingID=18740238&amp;ln=27178379&amp;pub_mls=1","More")</f>
        <v>More</v>
      </c>
      <c r="P727" t="s">
        <v>44</v>
      </c>
      <c r="AI727" t="s">
        <v>66</v>
      </c>
      <c r="AJ727">
        <v>98107</v>
      </c>
      <c r="AS727" t="s">
        <v>1991</v>
      </c>
      <c r="AT727">
        <v>18740238</v>
      </c>
      <c r="AU727" s="7">
        <v>39526</v>
      </c>
      <c r="BB727" t="s">
        <v>912</v>
      </c>
    </row>
    <row r="728" spans="1:54">
      <c r="A728">
        <v>28047430</v>
      </c>
      <c r="B728" s="2" t="str">
        <f>HYPERLINK("http://www.windermere.com/index.cfm?fuseaction=Listing.ListingDetail&amp;ListingID=19571085","Active")</f>
        <v>Active</v>
      </c>
      <c r="D728" t="s">
        <v>63</v>
      </c>
      <c r="E728" t="s">
        <v>1992</v>
      </c>
      <c r="F728" s="10">
        <v>510000</v>
      </c>
      <c r="G728" t="s">
        <v>126</v>
      </c>
      <c r="H728" s="1">
        <v>1300</v>
      </c>
      <c r="I728">
        <v>4500</v>
      </c>
      <c r="J728">
        <v>3</v>
      </c>
      <c r="K728">
        <v>2</v>
      </c>
      <c r="M728" s="2" t="str">
        <f>HYPERLINK("http://www.windermere.com/index.cfm?fuseaction=Listing.MapPropertyInteractive&amp;ListingID=19571085&amp;resize=true&amp;windowWidth=800&amp;windowHeight=600","Map")</f>
        <v>Map</v>
      </c>
      <c r="O728" s="2" t="str">
        <f>HYPERLINK("http://www.windermere.com/index.cfm?fuseaction=Listing.MultiImageViewer&amp;ListingID=19571085&amp;ln=28047430&amp;pub_mls=1","More")</f>
        <v>More</v>
      </c>
      <c r="AI728" t="s">
        <v>66</v>
      </c>
      <c r="AJ728">
        <v>98117</v>
      </c>
      <c r="AS728" t="s">
        <v>1993</v>
      </c>
      <c r="AT728">
        <v>19571085</v>
      </c>
      <c r="AU728" s="7">
        <v>39526</v>
      </c>
      <c r="BB728" t="s">
        <v>912</v>
      </c>
    </row>
    <row r="729" spans="1:54">
      <c r="A729">
        <v>28047125</v>
      </c>
      <c r="B729" s="2" t="str">
        <f>HYPERLINK("http://www.windermere.com/index.cfm?fuseaction=Listing.ListingDetail&amp;ListingID=19568602","Active")</f>
        <v>Active</v>
      </c>
      <c r="D729" t="s">
        <v>63</v>
      </c>
      <c r="E729" t="s">
        <v>1994</v>
      </c>
      <c r="F729" s="10">
        <v>625000</v>
      </c>
      <c r="G729" t="s">
        <v>134</v>
      </c>
      <c r="H729" s="1">
        <v>2260</v>
      </c>
      <c r="I729">
        <v>2800</v>
      </c>
      <c r="J729">
        <v>3</v>
      </c>
      <c r="K729">
        <v>1.75</v>
      </c>
      <c r="M729" s="2" t="str">
        <f>HYPERLINK("http://www.windermere.com/index.cfm?fuseaction=Listing.MapPropertyInteractive&amp;ListingID=19568602&amp;resize=true&amp;windowWidth=800&amp;windowHeight=600","Map")</f>
        <v>Map</v>
      </c>
      <c r="O729" s="2" t="str">
        <f>HYPERLINK("http://www.windermere.com/index.cfm?fuseaction=Listing.MultiImageViewer&amp;ListingID=19568602&amp;ln=28047125&amp;pub_mls=1","More")</f>
        <v>More</v>
      </c>
      <c r="AI729" t="s">
        <v>66</v>
      </c>
      <c r="AJ729">
        <v>98117</v>
      </c>
      <c r="AS729" t="s">
        <v>1995</v>
      </c>
      <c r="AT729">
        <v>19568602</v>
      </c>
      <c r="AU729" s="7">
        <v>39526</v>
      </c>
      <c r="BB729" t="s">
        <v>912</v>
      </c>
    </row>
    <row r="730" spans="1:54">
      <c r="A730">
        <v>28047151</v>
      </c>
      <c r="B730" s="2" t="str">
        <f>HYPERLINK("http://www.windermere.com/index.cfm?fuseaction=Listing.ListingDetail&amp;ListingID=19569643","Active")</f>
        <v>Active</v>
      </c>
      <c r="D730" t="s">
        <v>78</v>
      </c>
      <c r="E730" t="s">
        <v>1996</v>
      </c>
      <c r="F730" s="10">
        <v>899950</v>
      </c>
      <c r="G730" t="s">
        <v>599</v>
      </c>
      <c r="H730" s="1">
        <v>2530</v>
      </c>
      <c r="I730">
        <v>11560</v>
      </c>
      <c r="J730">
        <v>3</v>
      </c>
      <c r="K730">
        <v>2.5</v>
      </c>
      <c r="M730" s="2" t="str">
        <f>HYPERLINK("http://www.windermere.com/index.cfm?fuseaction=Listing.MapPropertyInteractive&amp;ListingID=19569643&amp;resize=true&amp;windowWidth=800&amp;windowHeight=600","Map")</f>
        <v>Map</v>
      </c>
      <c r="O730" s="2" t="str">
        <f>HYPERLINK("http://www.windermere.com/index.cfm?fuseaction=Listing.MultiImageViewer&amp;ListingID=19569643&amp;ln=28047151&amp;pub_mls=1","More")</f>
        <v>More</v>
      </c>
      <c r="AI730" t="s">
        <v>66</v>
      </c>
      <c r="AJ730">
        <v>98117</v>
      </c>
      <c r="AS730" t="s">
        <v>1997</v>
      </c>
      <c r="AT730">
        <v>19569643</v>
      </c>
      <c r="AU730" s="7">
        <v>39526</v>
      </c>
      <c r="BB730" t="s">
        <v>912</v>
      </c>
    </row>
    <row r="731" spans="1:54">
      <c r="G731" t="s">
        <v>1998</v>
      </c>
    </row>
    <row r="732" spans="1:54">
      <c r="G732" t="s">
        <v>1998</v>
      </c>
    </row>
    <row r="733" spans="1:54">
      <c r="G733" t="s">
        <v>1998</v>
      </c>
    </row>
    <row r="734" spans="1:54">
      <c r="G734" t="s">
        <v>1998</v>
      </c>
    </row>
    <row r="735" spans="1:54">
      <c r="G735" t="s">
        <v>1998</v>
      </c>
    </row>
    <row r="736" spans="1:54">
      <c r="G736" t="s">
        <v>1998</v>
      </c>
    </row>
    <row r="737" spans="7:7">
      <c r="G737" t="s">
        <v>1998</v>
      </c>
    </row>
    <row r="738" spans="7:7">
      <c r="G738" t="s">
        <v>1998</v>
      </c>
    </row>
    <row r="739" spans="7:7">
      <c r="G739" t="s">
        <v>1998</v>
      </c>
    </row>
    <row r="740" spans="7:7">
      <c r="G740" t="s">
        <v>1998</v>
      </c>
    </row>
  </sheetData>
  <autoFilter ref="A1:BK548">
    <filterColumn colId="55">
      <filters>
        <filter val="Green"/>
        <filter val="Red"/>
        <filter val="Yellow"/>
      </filters>
    </filterColumn>
  </autoFilter>
  <sortState ref="A2:BH442">
    <sortCondition ref="F2:F442"/>
  </sortState>
  <conditionalFormatting sqref="A1:A721">
    <cfRule type="expression" dxfId="1" priority="1">
      <formula>ISBLANK($BD1048078)</formula>
    </cfRule>
  </conditionalFormatting>
  <hyperlinks>
    <hyperlink ref="AS500" r:id="rId1"/>
  </hyperlinks>
  <pageMargins left="0.7" right="0.7" top="0.75" bottom="0.75" header="0.3" footer="0.3"/>
  <pageSetup orientation="portrait" r:id="rId2"/>
  <legacyDrawing r:id="rId3"/>
</worksheet>
</file>

<file path=xl/worksheets/sheet2.xml><?xml version="1.0" encoding="utf-8"?>
<worksheet xmlns="http://schemas.openxmlformats.org/spreadsheetml/2006/main" xmlns:r="http://schemas.openxmlformats.org/officeDocument/2006/relationships">
  <sheetPr codeName="Sheet1"/>
  <dimension ref="A1:P52"/>
  <sheetViews>
    <sheetView tabSelected="1" workbookViewId="0">
      <selection activeCell="B18" sqref="B18"/>
    </sheetView>
  </sheetViews>
  <sheetFormatPr defaultRowHeight="12.75"/>
  <cols>
    <col min="1" max="1" width="23.140625" customWidth="1"/>
    <col min="2" max="2" width="88" customWidth="1"/>
    <col min="6" max="6" width="16.5703125" customWidth="1"/>
  </cols>
  <sheetData>
    <row r="1" spans="1:10">
      <c r="A1" t="s">
        <v>1</v>
      </c>
      <c r="B1" t="s">
        <v>302</v>
      </c>
      <c r="E1" s="5" t="s">
        <v>228</v>
      </c>
      <c r="F1" s="5" t="s">
        <v>229</v>
      </c>
      <c r="G1" s="5" t="s">
        <v>230</v>
      </c>
      <c r="H1" s="5" t="s">
        <v>307</v>
      </c>
      <c r="I1" s="5" t="s">
        <v>1564</v>
      </c>
      <c r="J1" s="5" t="s">
        <v>1565</v>
      </c>
    </row>
    <row r="2" spans="1:10">
      <c r="A2" t="s">
        <v>0</v>
      </c>
      <c r="B2" s="6" t="s">
        <v>231</v>
      </c>
      <c r="E2" s="6" t="s">
        <v>1027</v>
      </c>
      <c r="F2" s="11" t="s">
        <v>1074</v>
      </c>
      <c r="G2" s="6" t="s">
        <v>1075</v>
      </c>
      <c r="H2" s="6" t="s">
        <v>241</v>
      </c>
      <c r="I2" s="6" t="s">
        <v>44</v>
      </c>
      <c r="J2" s="6" t="s">
        <v>1630</v>
      </c>
    </row>
    <row r="3" spans="1:10">
      <c r="E3" s="6" t="s">
        <v>1022</v>
      </c>
      <c r="F3" s="11" t="s">
        <v>1072</v>
      </c>
      <c r="G3" s="6" t="s">
        <v>1026</v>
      </c>
      <c r="H3" s="6" t="s">
        <v>241</v>
      </c>
      <c r="I3" s="6" t="s">
        <v>44</v>
      </c>
      <c r="J3" s="6" t="s">
        <v>1630</v>
      </c>
    </row>
    <row r="4" spans="1:10">
      <c r="B4" t="s">
        <v>233</v>
      </c>
      <c r="E4" s="6" t="s">
        <v>1076</v>
      </c>
      <c r="F4" s="11" t="s">
        <v>1079</v>
      </c>
      <c r="G4" s="6" t="s">
        <v>1077</v>
      </c>
      <c r="H4" s="6" t="s">
        <v>241</v>
      </c>
      <c r="I4" s="6" t="s">
        <v>1630</v>
      </c>
      <c r="J4" s="6" t="s">
        <v>1630</v>
      </c>
    </row>
    <row r="5" spans="1:10">
      <c r="B5" t="s">
        <v>302</v>
      </c>
      <c r="E5" s="6" t="s">
        <v>1078</v>
      </c>
      <c r="F5" s="11" t="s">
        <v>1080</v>
      </c>
      <c r="G5" s="6" t="s">
        <v>1078</v>
      </c>
      <c r="H5" s="6" t="s">
        <v>241</v>
      </c>
      <c r="I5" s="6" t="s">
        <v>1630</v>
      </c>
      <c r="J5" s="6" t="s">
        <v>1630</v>
      </c>
    </row>
    <row r="6" spans="1:10">
      <c r="E6" s="6" t="s">
        <v>1631</v>
      </c>
      <c r="F6" s="9" t="s">
        <v>1633</v>
      </c>
      <c r="G6" s="6" t="s">
        <v>1632</v>
      </c>
      <c r="H6" s="6" t="s">
        <v>1652</v>
      </c>
      <c r="I6" s="6" t="s">
        <v>1630</v>
      </c>
      <c r="J6" s="6" t="s">
        <v>44</v>
      </c>
    </row>
    <row r="7" spans="1:10">
      <c r="E7" s="6" t="s">
        <v>1659</v>
      </c>
      <c r="F7" s="9" t="s">
        <v>1658</v>
      </c>
      <c r="G7" s="6" t="s">
        <v>1632</v>
      </c>
      <c r="H7" s="6" t="s">
        <v>1652</v>
      </c>
      <c r="I7" s="6" t="s">
        <v>1630</v>
      </c>
      <c r="J7" s="6" t="s">
        <v>44</v>
      </c>
    </row>
    <row r="8" spans="1:10">
      <c r="E8" s="5"/>
      <c r="F8" s="20"/>
      <c r="G8" s="5"/>
      <c r="H8" s="5"/>
      <c r="I8" s="5"/>
    </row>
    <row r="9" spans="1:10">
      <c r="E9" s="5"/>
      <c r="F9" s="20"/>
      <c r="G9" s="5"/>
      <c r="H9" s="5"/>
      <c r="I9" s="5"/>
    </row>
    <row r="10" spans="1:10">
      <c r="E10" s="5"/>
      <c r="F10" s="20"/>
      <c r="G10" s="5"/>
      <c r="H10" s="5"/>
      <c r="I10" s="5"/>
    </row>
    <row r="11" spans="1:10">
      <c r="E11" s="6" t="s">
        <v>1027</v>
      </c>
      <c r="F11" s="11" t="s">
        <v>1074</v>
      </c>
      <c r="G11" s="6" t="s">
        <v>1070</v>
      </c>
      <c r="H11" s="6" t="s">
        <v>241</v>
      </c>
      <c r="I11" s="6" t="s">
        <v>44</v>
      </c>
    </row>
    <row r="12" spans="1:10">
      <c r="E12" s="6" t="s">
        <v>1022</v>
      </c>
      <c r="F12" s="11" t="s">
        <v>1072</v>
      </c>
      <c r="G12" s="6" t="s">
        <v>1026</v>
      </c>
      <c r="H12" s="6" t="s">
        <v>241</v>
      </c>
      <c r="I12" s="6" t="s">
        <v>44</v>
      </c>
    </row>
    <row r="13" spans="1:10">
      <c r="E13" s="6" t="s">
        <v>234</v>
      </c>
      <c r="F13" t="s">
        <v>913</v>
      </c>
      <c r="G13" s="6" t="s">
        <v>1025</v>
      </c>
      <c r="H13" s="6" t="s">
        <v>914</v>
      </c>
      <c r="I13" s="6" t="s">
        <v>44</v>
      </c>
    </row>
    <row r="14" spans="1:10" ht="14.25">
      <c r="B14" s="8"/>
    </row>
    <row r="15" spans="1:10">
      <c r="E15" s="5" t="s">
        <v>241</v>
      </c>
    </row>
    <row r="16" spans="1:10">
      <c r="E16" s="6" t="s">
        <v>1027</v>
      </c>
      <c r="F16" s="11" t="s">
        <v>1074</v>
      </c>
      <c r="G16" s="6" t="s">
        <v>1075</v>
      </c>
      <c r="H16" s="6" t="s">
        <v>241</v>
      </c>
    </row>
    <row r="17" spans="5:12">
      <c r="E17" s="6" t="s">
        <v>1022</v>
      </c>
      <c r="F17" s="11" t="s">
        <v>1072</v>
      </c>
      <c r="G17" s="6" t="s">
        <v>1026</v>
      </c>
      <c r="H17" s="6" t="s">
        <v>241</v>
      </c>
      <c r="K17" s="6" t="s">
        <v>1028</v>
      </c>
      <c r="L17" s="6" t="s">
        <v>1030</v>
      </c>
    </row>
    <row r="18" spans="5:12">
      <c r="E18" s="6" t="s">
        <v>1071</v>
      </c>
      <c r="F18" s="11" t="s">
        <v>1073</v>
      </c>
      <c r="G18" s="6" t="s">
        <v>1071</v>
      </c>
      <c r="H18" s="6" t="s">
        <v>241</v>
      </c>
      <c r="K18" s="6" t="s">
        <v>1029</v>
      </c>
      <c r="L18" s="6" t="s">
        <v>1042</v>
      </c>
    </row>
    <row r="19" spans="5:12">
      <c r="E19" s="6" t="s">
        <v>1076</v>
      </c>
      <c r="F19" s="11" t="s">
        <v>1079</v>
      </c>
      <c r="G19" s="6" t="s">
        <v>1077</v>
      </c>
      <c r="H19" s="6" t="s">
        <v>241</v>
      </c>
      <c r="K19" s="6"/>
      <c r="L19" s="6" t="s">
        <v>1043</v>
      </c>
    </row>
    <row r="20" spans="5:12">
      <c r="E20" s="6" t="s">
        <v>1078</v>
      </c>
      <c r="F20" s="11" t="s">
        <v>1080</v>
      </c>
      <c r="G20" s="6" t="s">
        <v>1078</v>
      </c>
      <c r="H20" s="6" t="s">
        <v>241</v>
      </c>
      <c r="K20" s="6"/>
      <c r="L20" s="6" t="s">
        <v>1044</v>
      </c>
    </row>
    <row r="21" spans="5:12">
      <c r="F21" s="9"/>
      <c r="K21" s="6"/>
      <c r="L21" s="6" t="s">
        <v>1046</v>
      </c>
    </row>
    <row r="22" spans="5:12">
      <c r="K22" s="6"/>
      <c r="L22" s="6" t="s">
        <v>1045</v>
      </c>
    </row>
    <row r="23" spans="5:12">
      <c r="E23" s="6" t="s">
        <v>1631</v>
      </c>
      <c r="F23" s="9" t="s">
        <v>1633</v>
      </c>
      <c r="G23" s="6" t="s">
        <v>1632</v>
      </c>
      <c r="H23" s="6" t="s">
        <v>241</v>
      </c>
      <c r="I23" s="6" t="s">
        <v>1630</v>
      </c>
      <c r="J23" s="6" t="s">
        <v>1630</v>
      </c>
      <c r="K23" s="6"/>
      <c r="L23" s="6" t="s">
        <v>1032</v>
      </c>
    </row>
    <row r="24" spans="5:12">
      <c r="K24" s="6" t="s">
        <v>1031</v>
      </c>
      <c r="L24" s="6" t="s">
        <v>1033</v>
      </c>
    </row>
    <row r="25" spans="5:12">
      <c r="L25" s="6" t="s">
        <v>1034</v>
      </c>
    </row>
    <row r="26" spans="5:12">
      <c r="L26" s="6" t="s">
        <v>1035</v>
      </c>
    </row>
    <row r="27" spans="5:12">
      <c r="L27" s="6" t="s">
        <v>1037</v>
      </c>
    </row>
    <row r="28" spans="5:12">
      <c r="K28" s="6" t="s">
        <v>1036</v>
      </c>
      <c r="L28" s="6" t="s">
        <v>1038</v>
      </c>
    </row>
    <row r="29" spans="5:12">
      <c r="L29" s="6" t="s">
        <v>1040</v>
      </c>
    </row>
    <row r="30" spans="5:12">
      <c r="K30" s="6" t="s">
        <v>1039</v>
      </c>
      <c r="L30" s="6" t="s">
        <v>1041</v>
      </c>
    </row>
    <row r="31" spans="5:12">
      <c r="F31" s="9"/>
      <c r="L31" s="6" t="s">
        <v>1048</v>
      </c>
    </row>
    <row r="32" spans="5:12">
      <c r="K32" s="6" t="s">
        <v>1047</v>
      </c>
      <c r="L32" s="6" t="s">
        <v>1049</v>
      </c>
    </row>
    <row r="33" spans="11:16">
      <c r="L33" s="6" t="s">
        <v>1050</v>
      </c>
    </row>
    <row r="34" spans="11:16">
      <c r="L34" s="6" t="s">
        <v>119</v>
      </c>
    </row>
    <row r="35" spans="11:16">
      <c r="K35" s="6" t="s">
        <v>1051</v>
      </c>
      <c r="L35" s="6" t="s">
        <v>66</v>
      </c>
    </row>
    <row r="36" spans="11:16">
      <c r="L36" s="6" t="s">
        <v>370</v>
      </c>
      <c r="N36" s="9"/>
      <c r="O36" s="9"/>
      <c r="P36" s="9"/>
    </row>
    <row r="37" spans="11:16">
      <c r="L37" s="6" t="s">
        <v>1059</v>
      </c>
    </row>
    <row r="38" spans="11:16">
      <c r="L38" s="9" t="s">
        <v>1069</v>
      </c>
    </row>
    <row r="39" spans="11:16">
      <c r="K39" s="9" t="s">
        <v>1068</v>
      </c>
      <c r="L39" s="6" t="s">
        <v>1057</v>
      </c>
    </row>
    <row r="40" spans="11:16">
      <c r="K40" s="6" t="s">
        <v>1052</v>
      </c>
      <c r="L40" s="6" t="s">
        <v>1058</v>
      </c>
      <c r="M40" s="9"/>
    </row>
    <row r="41" spans="11:16">
      <c r="K41" s="6" t="s">
        <v>1053</v>
      </c>
    </row>
    <row r="42" spans="11:16">
      <c r="K42" s="6" t="s">
        <v>1054</v>
      </c>
    </row>
    <row r="43" spans="11:16">
      <c r="K43" s="6" t="s">
        <v>1055</v>
      </c>
    </row>
    <row r="44" spans="11:16">
      <c r="K44" s="6" t="s">
        <v>1056</v>
      </c>
    </row>
    <row r="45" spans="11:16">
      <c r="K45" s="6" t="s">
        <v>1060</v>
      </c>
    </row>
    <row r="46" spans="11:16">
      <c r="K46" s="6" t="s">
        <v>1061</v>
      </c>
    </row>
    <row r="47" spans="11:16">
      <c r="K47" s="6" t="s">
        <v>1062</v>
      </c>
      <c r="L47" s="6" t="s">
        <v>1064</v>
      </c>
    </row>
    <row r="48" spans="11:16">
      <c r="K48" s="6" t="s">
        <v>1063</v>
      </c>
    </row>
    <row r="50" spans="11:11">
      <c r="K50" s="6" t="s">
        <v>1065</v>
      </c>
    </row>
    <row r="51" spans="11:11">
      <c r="K51" s="6" t="s">
        <v>1066</v>
      </c>
    </row>
    <row r="52" spans="11:11">
      <c r="K52" s="6" t="s">
        <v>1067</v>
      </c>
    </row>
  </sheetData>
  <phoneticPr fontId="1" type="noConversion"/>
  <hyperlinks>
    <hyperlink ref="F18" display="http://www.windermere.com/index.cfm?fuseaction=Listing.PropertySearchResults&amp;searchString=ptyp=1|st=|premier=|sss=|ar=|cou=|cit=|minPrice=|maxPrice=|br=|bth=|minSqft=|maxSqft=|water=|ybtMin=|ybtMax=|hsn=|stor=|vew=|daysback=|NC=|ls=|address=|ln=|sub=|zip="/>
    <hyperlink ref="F11" display="http://www.windermere.com/index.cfm?fuseaction=Listing.PropertySearchResults&amp;searchString=ptyp=1|st=|premier=|sss=|ar=705,710|cou=|cit=|minPrice=300000|maxPrice=500000|br=2|bth=|minSqft=|maxSqft=|water=|ybtMin=|ybtMax=|hsn=|stor=|vew=|daysback=|NC=|ls=|ad"/>
    <hyperlink ref="F12" display="http://www.windermere.com/index.cfm?fuseaction=Listing.PropertySearchResults&amp;searchString=ptyp=1|st=|premier=|sss=|ar=|cou=|cit=|minPrice=|maxPrice=|br=|bth=|minSqft=|maxSqft=|water=|ybtMin=|ybtMax=|hsn=|stor=|vew=|daysback=|NC=|ls=|address=|ln=|sub=|zip="/>
    <hyperlink ref="F16" display="http://www.windermere.com/index.cfm?fuseaction=Listing.PropertySearchResults&amp;searchString=ptyp=1|st=|premier=|sss=|ar=705,710|cou=|cit=|minPrice=300000|maxPrice=500000|br=2|bth=|minSqft=|maxSqft=|water=|ybtMin=|ybtMax=|hsn=|stor=|vew=|daysback=|NC=|ls=|ad"/>
    <hyperlink ref="F17" display="http://www.windermere.com/index.cfm?fuseaction=Listing.PropertySearchResults&amp;searchString=ptyp=1|st=|premier=|sss=|ar=|cou=|cit=|minPrice=|maxPrice=|br=|bth=|minSqft=|maxSqft=|water=|ybtMin=|ybtMax=|hsn=|stor=|vew=|daysback=|NC=|ls=|address=|ln=|sub=|zip="/>
    <hyperlink ref="F19" display="http://www.windermere.com/index.cfm?fuseaction=Listing.PropertySearchResults&amp;searchString=ptyp=1|st=wa|premier=|sss=|ar=|cou=|cit=Bellevue,Redmond,Kirkland|minPrice=200000|maxPrice=500000|br=2|bth=|minSqft=|maxSqft=|water=|ybtMin=|ybtMax=|hsn=|stor=|vew=|"/>
    <hyperlink ref="F20" display="http://www.windermere.com/index.cfm?fuseaction=Listing.PropertySearchResults&amp;searchString=ptyp=1|st=wa|premier=|sss=|ar=|cou=|cit=Renton|minPrice=200000|maxPrice=500000|br=2|bth=|minSqft=|maxSqft=|water=|ybtMin=|ybtMax=|hsn=|stor=|vew=|daysback=|NC=|ls=|a"/>
    <hyperlink ref="F2" display="http://www.windermere.com/index.cfm?fuseaction=Listing.PropertySearchResults&amp;searchString=ptyp=1|st=|premier=|sss=|ar=705,710|cou=|cit=|minPrice=300000|maxPrice=500000|br=2|bth=|minSqft=|maxSqft=|water=|ybtMin=|ybtMax=|hsn=|stor=|vew=|daysback=|NC=|ls=|ad"/>
    <hyperlink ref="F3" display="http://www.windermere.com/index.cfm?fuseaction=Listing.PropertySearchResults&amp;searchString=ptyp=1|st=|premier=|sss=|ar=|cou=|cit=|minPrice=|maxPrice=|br=|bth=|minSqft=|maxSqft=|water=|ybtMin=|ybtMax=|hsn=|stor=|vew=|daysback=|NC=|ls=|address=|ln=|sub=|zip="/>
    <hyperlink ref="F4" display="http://www.windermere.com/index.cfm?fuseaction=Listing.PropertySearchResults&amp;searchString=ptyp=1|st=wa|premier=|sss=|ar=|cou=|cit=Bellevue,Redmond,Kirkland|minPrice=200000|maxPrice=500000|br=2|bth=|minSqft=|maxSqft=|water=|ybtMin=|ybtMax=|hsn=|stor=|vew=|"/>
    <hyperlink ref="F5" display="http://www.windermere.com/index.cfm?fuseaction=Listing.PropertySearchResults&amp;searchString=ptyp=1|st=wa|premier=|sss=|ar=|cou=|cit=Renton|minPrice=200000|maxPrice=500000|br=2|bth=|minSqft=|maxSqft=|water=|ybtMin=|ybtMax=|hsn=|stor=|vew=|daysback=|NC=|ls=|a"/>
  </hyperlinks>
  <pageMargins left="0.75" right="0.75" top="1" bottom="1" header="0.5" footer="0.5"/>
  <pageSetup orientation="portrait" horizontalDpi="1200" r:id="rId1"/>
  <headerFooter alignWithMargins="0"/>
  <drawing r:id="rId2"/>
</worksheet>
</file>

<file path=xl/worksheets/sheet3.xml><?xml version="1.0" encoding="utf-8"?>
<worksheet xmlns="http://schemas.openxmlformats.org/spreadsheetml/2006/main" xmlns:r="http://schemas.openxmlformats.org/officeDocument/2006/relationships">
  <sheetPr codeName="Sheet7"/>
  <dimension ref="A1:C48"/>
  <sheetViews>
    <sheetView workbookViewId="0"/>
  </sheetViews>
  <sheetFormatPr defaultRowHeight="12.75"/>
  <cols>
    <col min="1" max="1" width="18.85546875" customWidth="1"/>
  </cols>
  <sheetData>
    <row r="1" spans="1:3">
      <c r="A1" t="s">
        <v>122</v>
      </c>
      <c r="B1">
        <v>1</v>
      </c>
      <c r="C1" s="2" t="s">
        <v>243</v>
      </c>
    </row>
    <row r="2" spans="1:3">
      <c r="A2" s="6" t="s">
        <v>242</v>
      </c>
      <c r="B2">
        <v>1</v>
      </c>
    </row>
    <row r="3" spans="1:3">
      <c r="A3" s="6" t="s">
        <v>244</v>
      </c>
      <c r="B3">
        <v>1</v>
      </c>
    </row>
    <row r="4" spans="1:3">
      <c r="A4" t="s">
        <v>8</v>
      </c>
      <c r="B4">
        <v>2</v>
      </c>
    </row>
    <row r="5" spans="1:3">
      <c r="A5" s="6" t="s">
        <v>6</v>
      </c>
      <c r="B5">
        <v>12</v>
      </c>
    </row>
    <row r="6" spans="1:3">
      <c r="A6" t="s">
        <v>4</v>
      </c>
      <c r="B6">
        <v>12</v>
      </c>
    </row>
    <row r="7" spans="1:3">
      <c r="A7" t="s">
        <v>19</v>
      </c>
      <c r="B7">
        <v>12</v>
      </c>
    </row>
    <row r="8" spans="1:3">
      <c r="A8" t="s">
        <v>32</v>
      </c>
      <c r="B8">
        <v>12</v>
      </c>
    </row>
    <row r="9" spans="1:3">
      <c r="A9" t="s">
        <v>5</v>
      </c>
      <c r="B9">
        <v>13</v>
      </c>
    </row>
    <row r="10" spans="1:3">
      <c r="A10" t="s">
        <v>13</v>
      </c>
      <c r="B10">
        <v>13</v>
      </c>
    </row>
    <row r="11" spans="1:3">
      <c r="A11" t="s">
        <v>15</v>
      </c>
      <c r="B11">
        <v>13</v>
      </c>
    </row>
    <row r="12" spans="1:3">
      <c r="A12" t="s">
        <v>10</v>
      </c>
      <c r="B12">
        <v>13</v>
      </c>
    </row>
    <row r="13" spans="1:3">
      <c r="A13" t="s">
        <v>11</v>
      </c>
      <c r="B13">
        <v>13</v>
      </c>
    </row>
    <row r="14" spans="1:3">
      <c r="A14" t="s">
        <v>17</v>
      </c>
      <c r="B14">
        <v>15</v>
      </c>
    </row>
    <row r="15" spans="1:3">
      <c r="A15" s="6" t="s">
        <v>245</v>
      </c>
      <c r="B15">
        <v>17</v>
      </c>
    </row>
    <row r="16" spans="1:3">
      <c r="A16" t="s">
        <v>20</v>
      </c>
    </row>
    <row r="17" spans="1:1">
      <c r="A17" t="s">
        <v>21</v>
      </c>
    </row>
    <row r="18" spans="1:1">
      <c r="A18" t="s">
        <v>12</v>
      </c>
    </row>
    <row r="19" spans="1:1">
      <c r="A19" t="s">
        <v>16</v>
      </c>
    </row>
    <row r="20" spans="1:1">
      <c r="A20" t="s">
        <v>116</v>
      </c>
    </row>
    <row r="21" spans="1:1">
      <c r="A21" t="s">
        <v>26</v>
      </c>
    </row>
    <row r="22" spans="1:1">
      <c r="A22" t="s">
        <v>27</v>
      </c>
    </row>
    <row r="23" spans="1:1">
      <c r="A23" t="s">
        <v>31</v>
      </c>
    </row>
    <row r="24" spans="1:1">
      <c r="A24" t="s">
        <v>33</v>
      </c>
    </row>
    <row r="25" spans="1:1">
      <c r="A25" t="s">
        <v>2</v>
      </c>
    </row>
    <row r="26" spans="1:1">
      <c r="A26" t="s">
        <v>25</v>
      </c>
    </row>
    <row r="27" spans="1:1">
      <c r="A27" t="s">
        <v>24</v>
      </c>
    </row>
    <row r="28" spans="1:1">
      <c r="A28" t="s">
        <v>28</v>
      </c>
    </row>
    <row r="29" spans="1:1">
      <c r="A29" t="s">
        <v>29</v>
      </c>
    </row>
    <row r="30" spans="1:1">
      <c r="A30" t="s">
        <v>30</v>
      </c>
    </row>
    <row r="31" spans="1:1">
      <c r="A31" t="s">
        <v>34</v>
      </c>
    </row>
    <row r="32" spans="1:1">
      <c r="A32" t="s">
        <v>35</v>
      </c>
    </row>
    <row r="33" spans="1:1">
      <c r="A33" t="s">
        <v>36</v>
      </c>
    </row>
    <row r="34" spans="1:1">
      <c r="A34" t="s">
        <v>37</v>
      </c>
    </row>
    <row r="35" spans="1:1">
      <c r="A35" t="s">
        <v>38</v>
      </c>
    </row>
    <row r="36" spans="1:1">
      <c r="A36" t="s">
        <v>39</v>
      </c>
    </row>
    <row r="37" spans="1:1">
      <c r="A37" t="s">
        <v>117</v>
      </c>
    </row>
    <row r="38" spans="1:1">
      <c r="A38" t="s">
        <v>118</v>
      </c>
    </row>
    <row r="39" spans="1:1">
      <c r="A39" t="s">
        <v>119</v>
      </c>
    </row>
    <row r="40" spans="1:1">
      <c r="A40" t="s">
        <v>120</v>
      </c>
    </row>
    <row r="41" spans="1:1">
      <c r="A41" t="s">
        <v>7</v>
      </c>
    </row>
    <row r="42" spans="1:1">
      <c r="A42" t="s">
        <v>121</v>
      </c>
    </row>
    <row r="43" spans="1:1">
      <c r="A43" t="s">
        <v>3</v>
      </c>
    </row>
    <row r="44" spans="1:1">
      <c r="A44" t="s">
        <v>9</v>
      </c>
    </row>
    <row r="45" spans="1:1">
      <c r="A45" t="s">
        <v>14</v>
      </c>
    </row>
    <row r="46" spans="1:1">
      <c r="A46" t="s">
        <v>18</v>
      </c>
    </row>
    <row r="47" spans="1:1">
      <c r="A47" t="s">
        <v>22</v>
      </c>
    </row>
    <row r="48" spans="1:1">
      <c r="A48" t="s">
        <v>23</v>
      </c>
    </row>
  </sheetData>
  <sortState ref="A1:C48">
    <sortCondition ref="B1:B48"/>
  </sortState>
  <hyperlinks>
    <hyperlink ref="C1" r:id="rId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
  <sheetViews>
    <sheetView workbookViewId="0">
      <selection activeCell="I4" sqref="I4"/>
    </sheetView>
  </sheetViews>
  <sheetFormatPr defaultRowHeight="12.75"/>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33" filterMode="1"/>
  <dimension ref="A1:BK548"/>
  <sheetViews>
    <sheetView workbookViewId="0">
      <pane xSplit="5580" ySplit="510" topLeftCell="G1" activePane="bottomRight"/>
      <selection activeCell="I4" sqref="I4"/>
      <selection pane="topRight" activeCell="I4" sqref="I4"/>
      <selection pane="bottomLeft" activeCell="I4" sqref="I4"/>
      <selection pane="bottomRight" activeCell="I4" sqref="I4"/>
    </sheetView>
  </sheetViews>
  <sheetFormatPr defaultRowHeight="12.75"/>
  <cols>
    <col min="2" max="3" width="9.140625" customWidth="1"/>
    <col min="5" max="5" width="12.85546875" customWidth="1"/>
    <col min="6" max="6" width="11.7109375" customWidth="1"/>
    <col min="7" max="54" width="9.140625" customWidth="1"/>
    <col min="55" max="55" width="10.42578125" customWidth="1"/>
    <col min="56" max="56" width="9.140625" customWidth="1"/>
  </cols>
  <sheetData>
    <row r="1" spans="1:63">
      <c r="A1" t="s">
        <v>6</v>
      </c>
      <c r="B1" t="s">
        <v>5</v>
      </c>
      <c r="C1" t="s">
        <v>20</v>
      </c>
      <c r="D1" t="s">
        <v>21</v>
      </c>
      <c r="E1" t="s">
        <v>4</v>
      </c>
      <c r="F1" t="s">
        <v>8</v>
      </c>
      <c r="G1" t="s">
        <v>19</v>
      </c>
      <c r="H1" t="s">
        <v>13</v>
      </c>
      <c r="I1" t="s">
        <v>15</v>
      </c>
      <c r="J1" t="s">
        <v>10</v>
      </c>
      <c r="K1" t="s">
        <v>11</v>
      </c>
      <c r="L1" t="s">
        <v>12</v>
      </c>
      <c r="M1" t="s">
        <v>16</v>
      </c>
      <c r="N1" t="s">
        <v>116</v>
      </c>
      <c r="O1" t="s">
        <v>17</v>
      </c>
      <c r="P1" t="s">
        <v>32</v>
      </c>
      <c r="Q1" t="s">
        <v>26</v>
      </c>
      <c r="R1" t="s">
        <v>27</v>
      </c>
      <c r="S1" t="s">
        <v>31</v>
      </c>
      <c r="T1" t="s">
        <v>33</v>
      </c>
      <c r="U1" t="s">
        <v>2</v>
      </c>
      <c r="V1" t="s">
        <v>25</v>
      </c>
      <c r="W1" t="s">
        <v>24</v>
      </c>
      <c r="X1" t="s">
        <v>28</v>
      </c>
      <c r="Y1" t="s">
        <v>29</v>
      </c>
      <c r="Z1" t="s">
        <v>30</v>
      </c>
      <c r="AA1" t="s">
        <v>34</v>
      </c>
      <c r="AB1" t="s">
        <v>35</v>
      </c>
      <c r="AC1" t="s">
        <v>36</v>
      </c>
      <c r="AD1" t="s">
        <v>37</v>
      </c>
      <c r="AE1" t="s">
        <v>38</v>
      </c>
      <c r="AF1" t="s">
        <v>39</v>
      </c>
      <c r="AG1" t="s">
        <v>117</v>
      </c>
      <c r="AH1" t="s">
        <v>118</v>
      </c>
      <c r="AI1" t="s">
        <v>119</v>
      </c>
      <c r="AJ1" t="s">
        <v>120</v>
      </c>
      <c r="AK1" t="s">
        <v>7</v>
      </c>
      <c r="AL1" t="s">
        <v>121</v>
      </c>
      <c r="AM1" t="s">
        <v>3</v>
      </c>
      <c r="AN1" t="s">
        <v>9</v>
      </c>
      <c r="AO1" t="s">
        <v>14</v>
      </c>
      <c r="AP1" t="s">
        <v>18</v>
      </c>
      <c r="AQ1" t="s">
        <v>22</v>
      </c>
      <c r="AR1" t="s">
        <v>23</v>
      </c>
      <c r="AS1" t="s">
        <v>122</v>
      </c>
      <c r="AT1" t="s">
        <v>246</v>
      </c>
      <c r="AU1" t="s">
        <v>301</v>
      </c>
      <c r="AV1" t="s">
        <v>303</v>
      </c>
      <c r="AW1" t="s">
        <v>304</v>
      </c>
      <c r="AX1" t="s">
        <v>305</v>
      </c>
      <c r="AY1" t="s">
        <v>306</v>
      </c>
      <c r="AZ1" t="s">
        <v>915</v>
      </c>
      <c r="BA1" t="s">
        <v>916</v>
      </c>
      <c r="BB1" t="s">
        <v>911</v>
      </c>
      <c r="BC1" s="6" t="s">
        <v>1310</v>
      </c>
      <c r="BD1" t="s">
        <v>183</v>
      </c>
      <c r="BE1" t="s">
        <v>230</v>
      </c>
      <c r="BF1" t="s">
        <v>232</v>
      </c>
      <c r="BG1" s="6" t="s">
        <v>1311</v>
      </c>
      <c r="BH1" s="6" t="s">
        <v>1350</v>
      </c>
      <c r="BI1" s="6" t="s">
        <v>1482</v>
      </c>
      <c r="BJ1" s="6" t="s">
        <v>1483</v>
      </c>
      <c r="BK1" s="6" t="s">
        <v>1340</v>
      </c>
    </row>
    <row r="2" spans="1:63" hidden="1">
      <c r="A2">
        <v>28016323</v>
      </c>
      <c r="B2" s="2" t="str">
        <f>HYPERLINK("http://www.windermere.com/index.cfm?fuseaction=Listing.ListingDetail&amp;ListingID=19287429","Active")</f>
        <v>Active</v>
      </c>
      <c r="D2" t="s">
        <v>99</v>
      </c>
      <c r="E2" t="s">
        <v>1161</v>
      </c>
      <c r="F2" s="13">
        <v>269950</v>
      </c>
      <c r="G2" t="s">
        <v>146</v>
      </c>
      <c r="H2">
        <v>540</v>
      </c>
      <c r="I2">
        <v>2325</v>
      </c>
      <c r="J2">
        <v>1</v>
      </c>
      <c r="K2">
        <v>1</v>
      </c>
      <c r="M2" s="2" t="str">
        <f>HYPERLINK("http://www.windermere.com/index.cfm?fuseaction=Listing.MapPropertyInteractive&amp;ListingID=19287429&amp;resize=true&amp;windowWidth=800&amp;windowHeight=600","Map")</f>
        <v>Map</v>
      </c>
      <c r="O2" s="2" t="str">
        <f>HYPERLINK("http://www.windermere.com/index.cfm?fuseaction=viewGallery.Home&amp;customTourID=205873&amp;wvt=0","More")</f>
        <v>More</v>
      </c>
      <c r="AI2" t="s">
        <v>66</v>
      </c>
      <c r="AJ2">
        <v>98117</v>
      </c>
      <c r="AS2" t="s">
        <v>1162</v>
      </c>
      <c r="AT2">
        <v>19287429</v>
      </c>
      <c r="AU2" s="12">
        <v>39495</v>
      </c>
      <c r="BB2" t="s">
        <v>912</v>
      </c>
      <c r="BC2" s="7">
        <v>39475</v>
      </c>
      <c r="BD2">
        <v>2</v>
      </c>
      <c r="BE2" s="6" t="s">
        <v>1351</v>
      </c>
      <c r="BG2">
        <v>20</v>
      </c>
      <c r="BH2" s="17">
        <f ca="1">TODAY()-BC2</f>
        <v>52</v>
      </c>
      <c r="BI2" s="17"/>
      <c r="BJ2" s="17"/>
    </row>
    <row r="3" spans="1:63" hidden="1">
      <c r="A3">
        <v>27216181</v>
      </c>
      <c r="B3" s="2" t="str">
        <f>HYPERLINK("http://www.windermere.com/index.cfm?fuseaction=Listing.ListingDetail&amp;ListingID=19134351","Active")</f>
        <v>Active</v>
      </c>
      <c r="D3" t="s">
        <v>42</v>
      </c>
      <c r="E3" t="s">
        <v>371</v>
      </c>
      <c r="F3" s="10">
        <v>304950</v>
      </c>
      <c r="G3" t="s">
        <v>124</v>
      </c>
      <c r="H3">
        <v>900</v>
      </c>
      <c r="I3">
        <v>4792</v>
      </c>
      <c r="J3">
        <v>2</v>
      </c>
      <c r="K3">
        <v>1</v>
      </c>
      <c r="M3" s="2" t="str">
        <f>HYPERLINK("http://www.windermere.com/index.cfm?fuseaction=Listing.MapPropertyInteractive&amp;ListingID=19134351&amp;resize=true&amp;windowWidth=800&amp;windowHeight=600","Map")</f>
        <v>Map</v>
      </c>
      <c r="O3" s="2" t="str">
        <f>HYPERLINK("http://www.windermere.com/index.cfm?fuseaction=Listing.MultiImageViewer&amp;ListingID=19134351&amp;ln=27216181&amp;pub_mls=1","More")</f>
        <v>More</v>
      </c>
      <c r="AI3" t="s">
        <v>66</v>
      </c>
      <c r="AJ3">
        <v>98133</v>
      </c>
      <c r="AS3" t="s">
        <v>372</v>
      </c>
      <c r="AT3">
        <v>19134351</v>
      </c>
      <c r="AU3" s="12">
        <v>39495</v>
      </c>
      <c r="BB3" t="s">
        <v>912</v>
      </c>
      <c r="BC3" s="7">
        <v>39444</v>
      </c>
      <c r="BG3">
        <v>51</v>
      </c>
      <c r="BH3" s="17">
        <f t="shared" ref="BH3:BH66" ca="1" si="0">TODAY()-BC3</f>
        <v>83</v>
      </c>
      <c r="BI3" s="17"/>
      <c r="BJ3" s="17"/>
    </row>
    <row r="4" spans="1:63" hidden="1">
      <c r="A4">
        <v>28014336</v>
      </c>
      <c r="B4" s="2" t="str">
        <f>HYPERLINK("http://www.windermere.com/index.cfm?fuseaction=Listing.ListingDetail&amp;ListingID=19267034","Active")</f>
        <v>Active</v>
      </c>
      <c r="D4" t="s">
        <v>968</v>
      </c>
      <c r="E4" t="s">
        <v>1081</v>
      </c>
      <c r="F4" s="10">
        <v>307500</v>
      </c>
      <c r="G4" t="s">
        <v>147</v>
      </c>
      <c r="H4" s="1">
        <v>1375</v>
      </c>
      <c r="J4">
        <v>3</v>
      </c>
      <c r="K4">
        <v>2.5</v>
      </c>
      <c r="M4" s="2" t="str">
        <f>HYPERLINK("http://www.windermere.com/index.cfm?fuseaction=Listing.MapPropertyInteractive&amp;ListingID=19267034&amp;resize=true&amp;windowWidth=800&amp;windowHeight=600","Map")</f>
        <v>Map</v>
      </c>
      <c r="O4" s="2" t="str">
        <f>HYPERLINK("http://www.windermere.com/index.cfm?fuseaction=Listing.MultiImageViewer&amp;ListingID=19267034&amp;ln=28014336&amp;pub_mls=1","More")</f>
        <v>More</v>
      </c>
      <c r="AI4" t="s">
        <v>66</v>
      </c>
      <c r="AJ4">
        <v>98125</v>
      </c>
      <c r="AS4" t="s">
        <v>1082</v>
      </c>
      <c r="AT4">
        <v>19267034</v>
      </c>
      <c r="AU4" s="12">
        <v>39495</v>
      </c>
      <c r="BB4" t="s">
        <v>912</v>
      </c>
      <c r="BC4" s="7">
        <v>39470</v>
      </c>
      <c r="BG4">
        <v>25</v>
      </c>
      <c r="BH4" s="17">
        <f t="shared" ca="1" si="0"/>
        <v>57</v>
      </c>
      <c r="BI4" s="17"/>
      <c r="BJ4" s="17"/>
    </row>
    <row r="5" spans="1:63" hidden="1">
      <c r="A5">
        <v>28000620</v>
      </c>
      <c r="B5" s="2" t="str">
        <f>HYPERLINK("http://www.windermere.com/index.cfm?fuseaction=Listing.ListingDetail&amp;ListingID=19161972","Active")</f>
        <v>Active</v>
      </c>
      <c r="D5" t="s">
        <v>194</v>
      </c>
      <c r="E5" t="s">
        <v>373</v>
      </c>
      <c r="F5" s="10">
        <v>308000</v>
      </c>
      <c r="G5" t="s">
        <v>374</v>
      </c>
      <c r="H5">
        <v>750</v>
      </c>
      <c r="J5">
        <v>2</v>
      </c>
      <c r="K5">
        <v>1.5</v>
      </c>
      <c r="M5" s="2" t="str">
        <f>HYPERLINK("http://www.windermere.com/index.cfm?fuseaction=Listing.MapPropertyInteractive&amp;ListingID=19161972&amp;resize=true&amp;windowWidth=800&amp;windowHeight=600","Map")</f>
        <v>Map</v>
      </c>
      <c r="O5" s="2" t="str">
        <f>HYPERLINK("http://www.windermere.com/index.cfm?fuseaction=Listing.MultiImageViewer&amp;ListingID=19161972&amp;ln=28000620&amp;pub_mls=1","More")</f>
        <v>More</v>
      </c>
      <c r="P5" t="s">
        <v>44</v>
      </c>
      <c r="AI5" t="s">
        <v>66</v>
      </c>
      <c r="AJ5">
        <v>98115</v>
      </c>
      <c r="AS5" t="s">
        <v>375</v>
      </c>
      <c r="AT5">
        <v>19161972</v>
      </c>
      <c r="AU5" s="12">
        <v>39495</v>
      </c>
      <c r="BB5" t="s">
        <v>912</v>
      </c>
      <c r="BC5" s="7">
        <v>39451</v>
      </c>
      <c r="BG5">
        <v>44</v>
      </c>
      <c r="BH5" s="17">
        <f t="shared" ca="1" si="0"/>
        <v>76</v>
      </c>
      <c r="BI5" s="17"/>
      <c r="BJ5" s="17"/>
    </row>
    <row r="6" spans="1:63" hidden="1">
      <c r="A6">
        <v>28026998</v>
      </c>
      <c r="B6" s="15" t="str">
        <f>HYPERLINK("http://www.windermere.com/index.cfm?fuseaction=Listing.ListingDetail&amp;ListingID=19370194","Subject To Inspection")</f>
        <v>Subject To Inspection</v>
      </c>
      <c r="D6" t="s">
        <v>70</v>
      </c>
      <c r="E6" t="s">
        <v>376</v>
      </c>
      <c r="F6" s="10">
        <v>309000</v>
      </c>
      <c r="G6" t="s">
        <v>137</v>
      </c>
      <c r="H6">
        <v>880</v>
      </c>
      <c r="I6">
        <v>6561</v>
      </c>
      <c r="J6">
        <v>2</v>
      </c>
      <c r="K6">
        <v>1</v>
      </c>
      <c r="M6" s="2" t="str">
        <f>HYPERLINK("http://www.windermere.com/index.cfm?fuseaction=Listing.MapPropertyInteractive&amp;ListingID=19370194&amp;resize=true&amp;windowWidth=800&amp;windowHeight=600","Map")</f>
        <v>Map</v>
      </c>
      <c r="O6" s="2" t="str">
        <f>HYPERLINK("http://www.windermere.com/index.cfm?fuseaction=Listing.MultiImageViewer&amp;ListingID=19370194&amp;ln=28026998&amp;pub_mls=1","More")</f>
        <v>More</v>
      </c>
      <c r="AI6" t="s">
        <v>66</v>
      </c>
      <c r="AJ6">
        <v>98133</v>
      </c>
      <c r="AS6" t="s">
        <v>377</v>
      </c>
      <c r="AT6">
        <v>19370194</v>
      </c>
      <c r="AU6" s="12">
        <v>39495</v>
      </c>
      <c r="BB6" t="s">
        <v>912</v>
      </c>
      <c r="BC6" s="7">
        <v>39492</v>
      </c>
      <c r="BG6">
        <v>3</v>
      </c>
      <c r="BH6" s="17">
        <f t="shared" ca="1" si="0"/>
        <v>35</v>
      </c>
      <c r="BI6" s="17"/>
      <c r="BJ6" s="17"/>
    </row>
    <row r="7" spans="1:63" hidden="1">
      <c r="A7">
        <v>27172819</v>
      </c>
      <c r="B7" s="15" t="str">
        <f>HYPERLINK("http://www.windermere.com/index.cfm?fuseaction=Listing.ListingDetail&amp;ListingID=18673522","Subject To Inspection")</f>
        <v>Subject To Inspection</v>
      </c>
      <c r="D7" t="s">
        <v>66</v>
      </c>
      <c r="E7" t="s">
        <v>403</v>
      </c>
      <c r="F7" s="10">
        <v>309950</v>
      </c>
      <c r="G7" t="s">
        <v>404</v>
      </c>
      <c r="I7">
        <v>1200</v>
      </c>
      <c r="J7">
        <v>3</v>
      </c>
      <c r="K7">
        <v>2.5</v>
      </c>
      <c r="M7" s="2" t="str">
        <f>HYPERLINK("http://www.windermere.com/index.cfm?fuseaction=Listing.MapPropertyInteractive&amp;ListingID=18673522&amp;resize=true&amp;windowWidth=800&amp;windowHeight=600","Map")</f>
        <v>Map</v>
      </c>
      <c r="O7" s="2" t="str">
        <f>HYPERLINK("http://www.windermere.com/index.cfm?fuseaction=Listing.MultiImageViewer&amp;ListingID=18673522&amp;ln=27172819&amp;pub_mls=1","More")</f>
        <v>More</v>
      </c>
      <c r="AI7" t="s">
        <v>66</v>
      </c>
      <c r="AJ7">
        <v>98133</v>
      </c>
      <c r="AS7" t="s">
        <v>405</v>
      </c>
      <c r="AT7">
        <v>18673522</v>
      </c>
      <c r="AU7" s="12">
        <v>39495</v>
      </c>
      <c r="BB7" t="s">
        <v>912</v>
      </c>
      <c r="BC7" s="7">
        <v>39346</v>
      </c>
      <c r="BG7">
        <v>149</v>
      </c>
      <c r="BH7" s="17">
        <f t="shared" ca="1" si="0"/>
        <v>181</v>
      </c>
      <c r="BI7" s="17"/>
      <c r="BJ7" s="17"/>
    </row>
    <row r="8" spans="1:63" hidden="1">
      <c r="A8">
        <v>27193955</v>
      </c>
      <c r="B8" s="2" t="str">
        <f>HYPERLINK("http://www.windermere.com/index.cfm?fuseaction=Listing.ListingDetail&amp;ListingID=18883912","Active")</f>
        <v>Active</v>
      </c>
      <c r="D8" t="s">
        <v>66</v>
      </c>
      <c r="E8" t="s">
        <v>378</v>
      </c>
      <c r="F8" s="10">
        <v>309950</v>
      </c>
      <c r="G8" t="s">
        <v>379</v>
      </c>
      <c r="H8">
        <v>760</v>
      </c>
      <c r="I8">
        <v>5163</v>
      </c>
      <c r="J8">
        <v>2</v>
      </c>
      <c r="K8">
        <v>1</v>
      </c>
      <c r="M8" s="2" t="str">
        <f>HYPERLINK("http://www.windermere.com/index.cfm?fuseaction=Listing.MapPropertyInteractive&amp;ListingID=18883912&amp;resize=true&amp;windowWidth=800&amp;windowHeight=600","Map")</f>
        <v>Map</v>
      </c>
      <c r="O8" s="2" t="str">
        <f>HYPERLINK("http://www.windermere.com/index.cfm?fuseaction=Listing.MultiImageViewer&amp;ListingID=18883912&amp;ln=27193955&amp;pub_mls=1","More")</f>
        <v>More</v>
      </c>
      <c r="P8" t="s">
        <v>44</v>
      </c>
      <c r="AI8" t="s">
        <v>66</v>
      </c>
      <c r="AJ8">
        <v>98133</v>
      </c>
      <c r="AS8" t="s">
        <v>380</v>
      </c>
      <c r="AT8">
        <v>18883912</v>
      </c>
      <c r="AU8" s="12">
        <v>39495</v>
      </c>
      <c r="BB8" t="s">
        <v>912</v>
      </c>
      <c r="BC8" s="7">
        <v>39385</v>
      </c>
      <c r="BG8">
        <v>110</v>
      </c>
      <c r="BH8" s="17">
        <f t="shared" ca="1" si="0"/>
        <v>142</v>
      </c>
      <c r="BI8" s="17"/>
      <c r="BJ8" s="17"/>
    </row>
    <row r="9" spans="1:63" hidden="1">
      <c r="A9">
        <v>27196449</v>
      </c>
      <c r="B9" s="15" t="str">
        <f>HYPERLINK("http://www.windermere.com/index.cfm?fuseaction=Listing.ListingDetail&amp;ListingID=18906882","Subject To Inspection")</f>
        <v>Subject To Inspection</v>
      </c>
      <c r="D9" t="s">
        <v>99</v>
      </c>
      <c r="E9" t="s">
        <v>313</v>
      </c>
      <c r="F9" s="10">
        <v>309950</v>
      </c>
      <c r="G9" t="s">
        <v>147</v>
      </c>
      <c r="J9">
        <v>3</v>
      </c>
      <c r="K9">
        <v>1.5</v>
      </c>
      <c r="M9" s="2" t="str">
        <f>HYPERLINK("http://www.windermere.com/index.cfm?fuseaction=Listing.MapPropertyInteractive&amp;ListingID=18906882&amp;resize=true&amp;windowWidth=800&amp;windowHeight=600","Map")</f>
        <v>Map</v>
      </c>
      <c r="O9" s="2" t="str">
        <f>HYPERLINK("http://www.windermere.com/index.cfm?fuseaction=Listing.MultiImageViewer&amp;ListingID=18906882&amp;ln=27196449&amp;pub_mls=1","More")</f>
        <v>More</v>
      </c>
      <c r="P9" t="s">
        <v>44</v>
      </c>
      <c r="AI9" t="s">
        <v>66</v>
      </c>
      <c r="AJ9">
        <v>98117</v>
      </c>
      <c r="AS9" t="s">
        <v>314</v>
      </c>
      <c r="AT9">
        <v>18906882</v>
      </c>
      <c r="AU9" s="12">
        <v>39495</v>
      </c>
      <c r="BB9" t="s">
        <v>912</v>
      </c>
      <c r="BC9" s="7">
        <v>39388</v>
      </c>
      <c r="BG9">
        <v>107</v>
      </c>
      <c r="BH9" s="17">
        <f t="shared" ca="1" si="0"/>
        <v>139</v>
      </c>
      <c r="BI9" s="17"/>
      <c r="BJ9" s="17"/>
    </row>
    <row r="10" spans="1:63" hidden="1">
      <c r="A10">
        <v>28020736</v>
      </c>
      <c r="B10" s="4" t="str">
        <f>HYPERLINK("http://www.windermere.com/index.cfm?fuseaction=Listing.ListingDetail&amp;ListingID=19320510","Subject To Inspection")</f>
        <v>Subject To Inspection</v>
      </c>
      <c r="D10" t="s">
        <v>968</v>
      </c>
      <c r="E10" t="s">
        <v>1083</v>
      </c>
      <c r="F10" s="10">
        <v>309950</v>
      </c>
      <c r="G10" t="s">
        <v>147</v>
      </c>
      <c r="H10" s="1">
        <v>1220</v>
      </c>
      <c r="J10">
        <v>3</v>
      </c>
      <c r="K10">
        <v>2.5</v>
      </c>
      <c r="M10" s="2" t="str">
        <f>HYPERLINK("http://www.windermere.com/index.cfm?fuseaction=Listing.MapPropertyInteractive&amp;ListingID=19320510&amp;resize=true&amp;windowWidth=800&amp;windowHeight=600","Map")</f>
        <v>Map</v>
      </c>
      <c r="O10" s="2" t="str">
        <f>HYPERLINK("http://www.windermere.com/index.cfm?fuseaction=Listing.MultiImageViewer&amp;ListingID=19320510&amp;ln=28020736&amp;pub_mls=1","More")</f>
        <v>More</v>
      </c>
      <c r="P10" t="s">
        <v>44</v>
      </c>
      <c r="AI10" t="s">
        <v>66</v>
      </c>
      <c r="AJ10">
        <v>98125</v>
      </c>
      <c r="AS10" t="s">
        <v>1084</v>
      </c>
      <c r="AT10">
        <v>19320510</v>
      </c>
      <c r="AU10" s="12">
        <v>39495</v>
      </c>
      <c r="BB10" t="s">
        <v>912</v>
      </c>
      <c r="BC10" s="7">
        <v>39482</v>
      </c>
      <c r="BG10">
        <v>13</v>
      </c>
      <c r="BH10" s="17">
        <f t="shared" ca="1" si="0"/>
        <v>45</v>
      </c>
      <c r="BI10" s="17"/>
      <c r="BJ10" s="17"/>
    </row>
    <row r="11" spans="1:63" hidden="1">
      <c r="A11">
        <v>28022589</v>
      </c>
      <c r="B11" s="2" t="str">
        <f>HYPERLINK("http://www.windermere.com/index.cfm?fuseaction=Listing.ListingDetail&amp;ListingID=19341859","Active")</f>
        <v>Active</v>
      </c>
      <c r="D11" t="s">
        <v>968</v>
      </c>
      <c r="E11" t="s">
        <v>1085</v>
      </c>
      <c r="F11" s="10">
        <v>309950</v>
      </c>
      <c r="G11" t="s">
        <v>256</v>
      </c>
      <c r="H11" s="14">
        <v>1420</v>
      </c>
      <c r="I11">
        <v>1716</v>
      </c>
      <c r="J11">
        <v>3</v>
      </c>
      <c r="K11">
        <v>2</v>
      </c>
      <c r="M11" s="2" t="str">
        <f>HYPERLINK("http://www.windermere.com/index.cfm?fuseaction=Listing.MapPropertyInteractive&amp;ListingID=19341859&amp;resize=true&amp;windowWidth=800&amp;windowHeight=600","Map")</f>
        <v>Map</v>
      </c>
      <c r="O11" s="2" t="str">
        <f>HYPERLINK("http://www.windermere.com/index.cfm?fuseaction=viewGallery.Home&amp;customTourID=206948&amp;wvt=0","More")</f>
        <v>More</v>
      </c>
      <c r="AI11" t="s">
        <v>396</v>
      </c>
      <c r="AJ11">
        <v>98155</v>
      </c>
      <c r="AS11" t="s">
        <v>1086</v>
      </c>
      <c r="AT11">
        <v>19341859</v>
      </c>
      <c r="AU11" s="12">
        <v>39495</v>
      </c>
      <c r="BB11" t="s">
        <v>912</v>
      </c>
      <c r="BC11" s="7">
        <v>39486</v>
      </c>
      <c r="BG11">
        <v>9</v>
      </c>
      <c r="BH11" s="17">
        <f t="shared" ca="1" si="0"/>
        <v>41</v>
      </c>
      <c r="BI11" s="17"/>
      <c r="BJ11" s="17"/>
    </row>
    <row r="12" spans="1:63" hidden="1">
      <c r="A12">
        <v>28015944</v>
      </c>
      <c r="B12" s="2" t="str">
        <f>HYPERLINK("http://www.windermere.com/index.cfm?fuseaction=Listing.ListingDetail&amp;ListingID=19281164","Subject To Inspection")</f>
        <v>Subject To Inspection</v>
      </c>
      <c r="D12" t="s">
        <v>1087</v>
      </c>
      <c r="E12" t="s">
        <v>381</v>
      </c>
      <c r="F12" s="10">
        <v>309999</v>
      </c>
      <c r="G12" t="s">
        <v>157</v>
      </c>
      <c r="H12">
        <v>770</v>
      </c>
      <c r="I12">
        <v>14469</v>
      </c>
      <c r="J12">
        <v>2</v>
      </c>
      <c r="K12">
        <v>1</v>
      </c>
      <c r="M12" s="2" t="str">
        <f>HYPERLINK("http://www.windermere.com/index.cfm?fuseaction=Listing.MapPropertyInteractive&amp;ListingID=19281164&amp;resize=true&amp;windowWidth=800&amp;windowHeight=600","Map")</f>
        <v>Map</v>
      </c>
      <c r="O12" s="2" t="str">
        <f>HYPERLINK("http://www.windermere.com/index.cfm?fuseaction=Listing.MultiImageViewer&amp;ListingID=19281164&amp;ln=28015944&amp;pub_mls=1","More")</f>
        <v>More</v>
      </c>
      <c r="AI12" t="s">
        <v>66</v>
      </c>
      <c r="AJ12">
        <v>98133</v>
      </c>
      <c r="AS12" t="s">
        <v>382</v>
      </c>
      <c r="AT12">
        <v>19281164</v>
      </c>
      <c r="AU12" s="12">
        <v>39495</v>
      </c>
      <c r="BB12" t="s">
        <v>912</v>
      </c>
      <c r="BC12" s="7">
        <v>39472</v>
      </c>
      <c r="BG12">
        <v>23</v>
      </c>
      <c r="BH12" s="17">
        <f t="shared" ca="1" si="0"/>
        <v>55</v>
      </c>
      <c r="BI12" s="17"/>
      <c r="BJ12" s="17"/>
      <c r="BK12" t="str">
        <f>B12</f>
        <v>Subject To Inspection</v>
      </c>
    </row>
    <row r="13" spans="1:63" hidden="1">
      <c r="A13">
        <v>28016237</v>
      </c>
      <c r="B13" s="15" t="str">
        <f>HYPERLINK("http://www.windermere.com/index.cfm?fuseaction=Listing.ListingDetail&amp;ListingID=19291014","Subject To Inspection")</f>
        <v>Subject To Inspection</v>
      </c>
      <c r="D13" t="s">
        <v>42</v>
      </c>
      <c r="E13" t="s">
        <v>383</v>
      </c>
      <c r="F13" s="10">
        <v>314000</v>
      </c>
      <c r="G13" t="s">
        <v>147</v>
      </c>
      <c r="H13" s="1">
        <v>1432</v>
      </c>
      <c r="J13">
        <v>3</v>
      </c>
      <c r="K13">
        <v>2.5</v>
      </c>
      <c r="M13" s="2" t="str">
        <f>HYPERLINK("http://www.windermere.com/index.cfm?fuseaction=Listing.MapPropertyInteractive&amp;ListingID=19291014&amp;resize=true&amp;windowWidth=800&amp;windowHeight=600","Map")</f>
        <v>Map</v>
      </c>
      <c r="O13" s="2" t="str">
        <f>HYPERLINK("http://www.windermere.com/index.cfm?fuseaction=Listing.MultiImageViewer&amp;ListingID=19291014&amp;ln=28016237&amp;pub_mls=1","More")</f>
        <v>More</v>
      </c>
      <c r="AI13" t="s">
        <v>66</v>
      </c>
      <c r="AJ13">
        <v>98133</v>
      </c>
      <c r="AS13" t="s">
        <v>384</v>
      </c>
      <c r="AT13">
        <v>19291014</v>
      </c>
      <c r="AU13" s="12">
        <v>39495</v>
      </c>
      <c r="BB13" t="s">
        <v>912</v>
      </c>
      <c r="BC13" s="7">
        <v>39475</v>
      </c>
      <c r="BG13">
        <v>20</v>
      </c>
      <c r="BH13" s="17">
        <f t="shared" ca="1" si="0"/>
        <v>52</v>
      </c>
      <c r="BI13" s="17"/>
      <c r="BJ13" s="17"/>
    </row>
    <row r="14" spans="1:63" hidden="1">
      <c r="A14">
        <v>28011739</v>
      </c>
      <c r="B14" s="2" t="str">
        <f>HYPERLINK("http://www.windermere.com/index.cfm?fuseaction=Listing.ListingDetail&amp;ListingID=19249638","Active")</f>
        <v>Active</v>
      </c>
      <c r="D14" t="s">
        <v>968</v>
      </c>
      <c r="E14" t="s">
        <v>1088</v>
      </c>
      <c r="F14" s="10">
        <v>314900</v>
      </c>
      <c r="G14" t="s">
        <v>128</v>
      </c>
      <c r="H14" s="1">
        <v>1275</v>
      </c>
      <c r="J14">
        <v>3</v>
      </c>
      <c r="K14">
        <v>1.75</v>
      </c>
      <c r="M14" s="2" t="str">
        <f>HYPERLINK("http://www.windermere.com/index.cfm?fuseaction=Listing.MapPropertyInteractive&amp;ListingID=19249638&amp;resize=true&amp;windowWidth=800&amp;windowHeight=600","Map")</f>
        <v>Map</v>
      </c>
      <c r="O14" s="2" t="str">
        <f>HYPERLINK("http://www.windermere.com/index.cfm?fuseaction=Listing.MultiImageViewer&amp;ListingID=19249638&amp;ln=28011739&amp;pub_mls=1","More")</f>
        <v>More</v>
      </c>
      <c r="P14" t="s">
        <v>44</v>
      </c>
      <c r="AI14" t="s">
        <v>66</v>
      </c>
      <c r="AJ14">
        <v>98125</v>
      </c>
      <c r="AS14" t="s">
        <v>1089</v>
      </c>
      <c r="AT14">
        <v>19249638</v>
      </c>
      <c r="AU14" s="12">
        <v>39495</v>
      </c>
      <c r="BB14" t="s">
        <v>912</v>
      </c>
      <c r="BC14" s="7">
        <v>39466</v>
      </c>
      <c r="BG14">
        <v>29</v>
      </c>
      <c r="BH14" s="17">
        <f t="shared" ca="1" si="0"/>
        <v>61</v>
      </c>
      <c r="BI14" s="17"/>
      <c r="BJ14" s="17"/>
    </row>
    <row r="15" spans="1:63" hidden="1">
      <c r="A15">
        <v>28014342</v>
      </c>
      <c r="B15" s="2" t="str">
        <f>HYPERLINK("http://www.windermere.com/index.cfm?fuseaction=Listing.ListingDetail&amp;ListingID=19267024","Subject To Inspection")</f>
        <v>Subject To Inspection</v>
      </c>
      <c r="D15" t="s">
        <v>968</v>
      </c>
      <c r="E15" t="s">
        <v>1090</v>
      </c>
      <c r="F15" s="10">
        <v>315000</v>
      </c>
      <c r="G15" t="s">
        <v>147</v>
      </c>
      <c r="H15" s="1">
        <v>1499</v>
      </c>
      <c r="J15">
        <v>3</v>
      </c>
      <c r="K15">
        <v>2</v>
      </c>
      <c r="M15" s="2" t="str">
        <f>HYPERLINK("http://www.windermere.com/index.cfm?fuseaction=Listing.MapPropertyInteractive&amp;ListingID=19267024&amp;resize=true&amp;windowWidth=800&amp;windowHeight=600","Map")</f>
        <v>Map</v>
      </c>
      <c r="O15" s="2" t="str">
        <f>HYPERLINK("http://www.windermere.com/index.cfm?fuseaction=Listing.MultiImageViewer&amp;ListingID=19267024&amp;ln=28014342&amp;pub_mls=1","More")</f>
        <v>More</v>
      </c>
      <c r="AI15" t="s">
        <v>66</v>
      </c>
      <c r="AJ15">
        <v>98125</v>
      </c>
      <c r="AS15" t="s">
        <v>1091</v>
      </c>
      <c r="AT15">
        <v>19267024</v>
      </c>
      <c r="AU15" s="12">
        <v>39495</v>
      </c>
      <c r="BB15" t="s">
        <v>912</v>
      </c>
      <c r="BC15" s="7">
        <v>39470</v>
      </c>
      <c r="BG15">
        <v>25</v>
      </c>
      <c r="BH15" s="17">
        <f t="shared" ca="1" si="0"/>
        <v>57</v>
      </c>
      <c r="BI15" s="17"/>
      <c r="BJ15" s="17"/>
      <c r="BK15" t="str">
        <f>B15</f>
        <v>Subject To Inspection</v>
      </c>
    </row>
    <row r="16" spans="1:63" hidden="1">
      <c r="A16">
        <v>28027761</v>
      </c>
      <c r="B16" s="2" t="str">
        <f>HYPERLINK("http://www.windermere.com/index.cfm?fuseaction=Listing.ListingDetail&amp;ListingID=19381850","Active")</f>
        <v>Active</v>
      </c>
      <c r="D16" t="s">
        <v>60</v>
      </c>
      <c r="E16" t="s">
        <v>385</v>
      </c>
      <c r="F16" s="10">
        <v>315000</v>
      </c>
      <c r="G16" t="s">
        <v>256</v>
      </c>
      <c r="H16">
        <v>800</v>
      </c>
      <c r="I16">
        <v>1196</v>
      </c>
      <c r="J16">
        <v>2</v>
      </c>
      <c r="K16">
        <v>1.5</v>
      </c>
      <c r="M16" s="2" t="str">
        <f>HYPERLINK("http://www.windermere.com/index.cfm?fuseaction=Listing.MapPropertyInteractive&amp;ListingID=19381850&amp;resize=true&amp;windowWidth=800&amp;windowHeight=600","Map")</f>
        <v>Map</v>
      </c>
      <c r="O16" s="2" t="str">
        <f>HYPERLINK("http://www.windermere.com/index.cfm?fuseaction=Listing.MultiImageViewer&amp;ListingID=19381850&amp;ln=28027761&amp;pub_mls=1","More")</f>
        <v>More</v>
      </c>
      <c r="AI16" t="s">
        <v>66</v>
      </c>
      <c r="AJ16">
        <v>98103</v>
      </c>
      <c r="AS16" t="s">
        <v>386</v>
      </c>
      <c r="AT16">
        <v>19381850</v>
      </c>
      <c r="AU16" s="12">
        <v>39495</v>
      </c>
      <c r="BB16" t="s">
        <v>912</v>
      </c>
      <c r="BC16" s="7">
        <v>39494</v>
      </c>
      <c r="BG16">
        <v>1</v>
      </c>
      <c r="BH16" s="17">
        <f t="shared" ca="1" si="0"/>
        <v>33</v>
      </c>
      <c r="BI16" s="17"/>
      <c r="BJ16" s="17"/>
    </row>
    <row r="17" spans="1:63" hidden="1">
      <c r="A17">
        <v>28000911</v>
      </c>
      <c r="B17" s="15" t="str">
        <f>HYPERLINK("http://www.windermere.com/index.cfm?fuseaction=Listing.ListingDetail&amp;ListingID=19148568","Active")</f>
        <v>Active</v>
      </c>
      <c r="D17" t="s">
        <v>968</v>
      </c>
      <c r="E17" t="s">
        <v>1094</v>
      </c>
      <c r="F17" s="13">
        <v>309888</v>
      </c>
      <c r="G17" t="s">
        <v>147</v>
      </c>
      <c r="H17" s="1">
        <v>1482</v>
      </c>
      <c r="J17">
        <v>3</v>
      </c>
      <c r="K17">
        <v>2.5</v>
      </c>
      <c r="M17" s="2" t="str">
        <f>HYPERLINK("http://www.windermere.com/index.cfm?fuseaction=Listing.MapPropertyInteractive&amp;ListingID=19148568&amp;resize=true&amp;windowWidth=800&amp;windowHeight=600","Map")</f>
        <v>Map</v>
      </c>
      <c r="O17" s="2" t="str">
        <f>HYPERLINK("http://www.windermere.com/index.cfm?fuseaction=Listing.MultiImageViewer&amp;ListingID=19148568&amp;ln=28000911&amp;pub_mls=1","More")</f>
        <v>More</v>
      </c>
      <c r="AI17" t="s">
        <v>66</v>
      </c>
      <c r="AJ17">
        <v>98125</v>
      </c>
      <c r="AS17" t="s">
        <v>1095</v>
      </c>
      <c r="AT17">
        <v>19148568</v>
      </c>
      <c r="AU17" s="12">
        <v>39495</v>
      </c>
      <c r="BB17" t="s">
        <v>912</v>
      </c>
      <c r="BC17" s="7">
        <v>39449</v>
      </c>
      <c r="BG17">
        <v>46</v>
      </c>
      <c r="BH17" s="17">
        <f t="shared" ca="1" si="0"/>
        <v>78</v>
      </c>
      <c r="BI17" s="17"/>
      <c r="BJ17" s="17"/>
      <c r="BK17" t="str">
        <f>B17</f>
        <v>Active</v>
      </c>
    </row>
    <row r="18" spans="1:63" hidden="1">
      <c r="A18">
        <v>28000982</v>
      </c>
      <c r="B18" s="2" t="str">
        <f>HYPERLINK("http://www.windermere.com/index.cfm?fuseaction=Listing.ListingDetail&amp;ListingID=19148569","Active")</f>
        <v>Active</v>
      </c>
      <c r="D18" t="s">
        <v>968</v>
      </c>
      <c r="E18" t="s">
        <v>1092</v>
      </c>
      <c r="F18" s="13">
        <v>309888</v>
      </c>
      <c r="G18" t="s">
        <v>147</v>
      </c>
      <c r="H18" s="1">
        <v>1380</v>
      </c>
      <c r="J18">
        <v>3</v>
      </c>
      <c r="K18">
        <v>2.25</v>
      </c>
      <c r="M18" s="2" t="str">
        <f>HYPERLINK("http://www.windermere.com/index.cfm?fuseaction=Listing.MapPropertyInteractive&amp;ListingID=19148569&amp;resize=true&amp;windowWidth=800&amp;windowHeight=600","Map")</f>
        <v>Map</v>
      </c>
      <c r="O18" s="2" t="str">
        <f>HYPERLINK("http://www.windermere.com/index.cfm?fuseaction=Listing.MultiImageViewer&amp;ListingID=19148569&amp;ln=28000982&amp;pub_mls=1","More")</f>
        <v>More</v>
      </c>
      <c r="AI18" t="s">
        <v>66</v>
      </c>
      <c r="AJ18">
        <v>98125</v>
      </c>
      <c r="AS18" t="s">
        <v>1093</v>
      </c>
      <c r="AT18">
        <v>19148569</v>
      </c>
      <c r="AU18" s="12">
        <v>39495</v>
      </c>
      <c r="BB18" t="s">
        <v>912</v>
      </c>
      <c r="BC18" s="7">
        <v>39494</v>
      </c>
      <c r="BG18">
        <v>1</v>
      </c>
      <c r="BH18" s="17">
        <f t="shared" ca="1" si="0"/>
        <v>33</v>
      </c>
      <c r="BI18" s="17"/>
      <c r="BJ18" s="17"/>
    </row>
    <row r="19" spans="1:63" hidden="1">
      <c r="A19">
        <v>27186400</v>
      </c>
      <c r="B19" s="2" t="str">
        <f>HYPERLINK("http://www.windermere.com/index.cfm?fuseaction=Listing.ListingDetail&amp;ListingID=18812719","Active")</f>
        <v>Active</v>
      </c>
      <c r="D19" t="s">
        <v>99</v>
      </c>
      <c r="E19" t="s">
        <v>321</v>
      </c>
      <c r="F19" s="10">
        <v>319950</v>
      </c>
      <c r="G19" t="s">
        <v>147</v>
      </c>
      <c r="J19">
        <v>3</v>
      </c>
      <c r="K19">
        <v>1.5</v>
      </c>
      <c r="M19" s="2" t="str">
        <f>HYPERLINK("http://www.windermere.com/index.cfm?fuseaction=Listing.MapPropertyInteractive&amp;ListingID=18812719&amp;resize=true&amp;windowWidth=800&amp;windowHeight=600","Map")</f>
        <v>Map</v>
      </c>
      <c r="O19" s="2" t="str">
        <f>HYPERLINK("http://www.windermere.com/index.cfm?fuseaction=Listing.MultiImageViewer&amp;ListingID=18812719&amp;ln=27186400&amp;pub_mls=1","More")</f>
        <v>More</v>
      </c>
      <c r="P19" t="s">
        <v>44</v>
      </c>
      <c r="AI19" t="s">
        <v>66</v>
      </c>
      <c r="AJ19">
        <v>98117</v>
      </c>
      <c r="AS19" t="s">
        <v>322</v>
      </c>
      <c r="AT19">
        <v>18812719</v>
      </c>
      <c r="AU19" s="12">
        <v>39495</v>
      </c>
      <c r="BB19" t="s">
        <v>912</v>
      </c>
      <c r="BC19" s="7">
        <v>39370</v>
      </c>
      <c r="BG19">
        <v>125</v>
      </c>
      <c r="BH19" s="17">
        <f t="shared" ca="1" si="0"/>
        <v>157</v>
      </c>
      <c r="BI19" s="17"/>
      <c r="BJ19" s="17"/>
    </row>
    <row r="20" spans="1:63" hidden="1">
      <c r="A20">
        <v>27189098</v>
      </c>
      <c r="B20" s="2" t="str">
        <f>HYPERLINK("http://www.windermere.com/index.cfm?fuseaction=Listing.ListingDetail&amp;ListingID=18838362","Subject To Inspection")</f>
        <v>Subject To Inspection</v>
      </c>
      <c r="D20" t="s">
        <v>99</v>
      </c>
      <c r="E20" t="s">
        <v>317</v>
      </c>
      <c r="F20" s="10">
        <v>319950</v>
      </c>
      <c r="G20" t="s">
        <v>147</v>
      </c>
      <c r="J20">
        <v>3</v>
      </c>
      <c r="K20">
        <v>1.5</v>
      </c>
      <c r="M20" s="2" t="str">
        <f>HYPERLINK("http://www.windermere.com/index.cfm?fuseaction=Listing.MapPropertyInteractive&amp;ListingID=18838362&amp;resize=true&amp;windowWidth=800&amp;windowHeight=600","Map")</f>
        <v>Map</v>
      </c>
      <c r="O20" s="2" t="str">
        <f>HYPERLINK("http://www.windermere.com/index.cfm?fuseaction=Listing.MultiImageViewer&amp;ListingID=18838362&amp;ln=27189098&amp;pub_mls=1","More")</f>
        <v>More</v>
      </c>
      <c r="P20" t="s">
        <v>44</v>
      </c>
      <c r="AI20" t="s">
        <v>66</v>
      </c>
      <c r="AJ20">
        <v>98117</v>
      </c>
      <c r="AS20" t="s">
        <v>318</v>
      </c>
      <c r="AT20">
        <v>18838362</v>
      </c>
      <c r="AU20" s="12">
        <v>39495</v>
      </c>
      <c r="BB20" t="s">
        <v>912</v>
      </c>
      <c r="BC20" s="7">
        <v>39374</v>
      </c>
      <c r="BG20">
        <v>121</v>
      </c>
      <c r="BH20" s="17">
        <f t="shared" ca="1" si="0"/>
        <v>153</v>
      </c>
      <c r="BI20" s="17"/>
      <c r="BJ20" s="17"/>
      <c r="BK20" t="str">
        <f>B20</f>
        <v>Subject To Inspection</v>
      </c>
    </row>
    <row r="21" spans="1:63" hidden="1">
      <c r="A21">
        <v>27192612</v>
      </c>
      <c r="B21" s="2" t="str">
        <f>HYPERLINK("http://www.windermere.com/index.cfm?fuseaction=Listing.ListingDetail&amp;ListingID=18870272","Subject To Inspection")</f>
        <v>Subject To Inspection</v>
      </c>
      <c r="D21" t="s">
        <v>99</v>
      </c>
      <c r="E21" t="s">
        <v>319</v>
      </c>
      <c r="F21" s="10">
        <v>319950</v>
      </c>
      <c r="G21" t="s">
        <v>147</v>
      </c>
      <c r="J21">
        <v>3</v>
      </c>
      <c r="K21">
        <v>1.5</v>
      </c>
      <c r="M21" s="2" t="str">
        <f>HYPERLINK("http://www.windermere.com/index.cfm?fuseaction=Listing.MapPropertyInteractive&amp;ListingID=18870272&amp;resize=true&amp;windowWidth=800&amp;windowHeight=600","Map")</f>
        <v>Map</v>
      </c>
      <c r="O21" s="2" t="str">
        <f>HYPERLINK("http://www.windermere.com/index.cfm?fuseaction=Listing.MultiImageViewer&amp;ListingID=18870272&amp;ln=27192612&amp;pub_mls=1","More")</f>
        <v>More</v>
      </c>
      <c r="P21" t="s">
        <v>44</v>
      </c>
      <c r="AI21" t="s">
        <v>66</v>
      </c>
      <c r="AJ21">
        <v>98117</v>
      </c>
      <c r="AS21" t="s">
        <v>320</v>
      </c>
      <c r="AT21">
        <v>18870272</v>
      </c>
      <c r="AU21" s="12">
        <v>39495</v>
      </c>
      <c r="BB21" t="s">
        <v>912</v>
      </c>
      <c r="BC21" s="7">
        <v>39381</v>
      </c>
      <c r="BG21">
        <v>114</v>
      </c>
      <c r="BH21" s="17">
        <f t="shared" ca="1" si="0"/>
        <v>146</v>
      </c>
      <c r="BI21" s="17"/>
      <c r="BJ21" s="17"/>
      <c r="BK21" t="str">
        <f>B21</f>
        <v>Subject To Inspection</v>
      </c>
    </row>
    <row r="22" spans="1:63" hidden="1">
      <c r="A22">
        <v>27199386</v>
      </c>
      <c r="B22" s="2" t="str">
        <f>HYPERLINK("http://www.windermere.com/index.cfm?fuseaction=Listing.ListingDetail&amp;ListingID=18936713","Active")</f>
        <v>Active</v>
      </c>
      <c r="D22" t="s">
        <v>99</v>
      </c>
      <c r="E22" t="s">
        <v>323</v>
      </c>
      <c r="F22" s="10">
        <v>319950</v>
      </c>
      <c r="G22" t="s">
        <v>147</v>
      </c>
      <c r="J22">
        <v>3</v>
      </c>
      <c r="K22">
        <v>1.5</v>
      </c>
      <c r="M22" s="2" t="str">
        <f>HYPERLINK("http://www.windermere.com/index.cfm?fuseaction=Listing.MapPropertyInteractive&amp;ListingID=18936713&amp;resize=true&amp;windowWidth=800&amp;windowHeight=600","Map")</f>
        <v>Map</v>
      </c>
      <c r="O22" s="2" t="str">
        <f>HYPERLINK("http://www.windermere.com/index.cfm?fuseaction=Listing.MultiImageViewer&amp;ListingID=18936713&amp;ln=27199386&amp;pub_mls=1","More")</f>
        <v>More</v>
      </c>
      <c r="P22" t="s">
        <v>44</v>
      </c>
      <c r="AI22" t="s">
        <v>66</v>
      </c>
      <c r="AJ22">
        <v>98117</v>
      </c>
      <c r="AS22" t="s">
        <v>324</v>
      </c>
      <c r="AT22">
        <v>18936713</v>
      </c>
      <c r="AU22" s="12">
        <v>39495</v>
      </c>
      <c r="BB22" t="s">
        <v>912</v>
      </c>
      <c r="BC22" s="7">
        <v>39394</v>
      </c>
      <c r="BG22">
        <v>101</v>
      </c>
      <c r="BH22" s="17">
        <f t="shared" ca="1" si="0"/>
        <v>133</v>
      </c>
      <c r="BI22" s="17"/>
      <c r="BJ22" s="17"/>
    </row>
    <row r="23" spans="1:63" hidden="1">
      <c r="A23">
        <v>27206338</v>
      </c>
      <c r="B23" s="2" t="str">
        <f>HYPERLINK("http://www.windermere.com/index.cfm?fuseaction=Listing.ListingDetail&amp;ListingID=19018885","Active")</f>
        <v>Active</v>
      </c>
      <c r="D23" t="s">
        <v>99</v>
      </c>
      <c r="E23" t="s">
        <v>315</v>
      </c>
      <c r="F23" s="10">
        <v>319950</v>
      </c>
      <c r="G23" t="s">
        <v>147</v>
      </c>
      <c r="J23">
        <v>3</v>
      </c>
      <c r="K23">
        <v>1.5</v>
      </c>
      <c r="M23" s="2" t="str">
        <f>HYPERLINK("http://www.windermere.com/index.cfm?fuseaction=Listing.MapPropertyInteractive&amp;ListingID=19018885&amp;resize=true&amp;windowWidth=800&amp;windowHeight=600","Map")</f>
        <v>Map</v>
      </c>
      <c r="O23" s="2" t="str">
        <f>HYPERLINK("http://www.windermere.com/index.cfm?fuseaction=Listing.MultiImageViewer&amp;ListingID=19018885&amp;ln=27206338&amp;pub_mls=1","More")</f>
        <v>More</v>
      </c>
      <c r="P23" t="s">
        <v>44</v>
      </c>
      <c r="AI23" t="s">
        <v>66</v>
      </c>
      <c r="AJ23">
        <v>98117</v>
      </c>
      <c r="AS23" t="s">
        <v>316</v>
      </c>
      <c r="AT23">
        <v>19018885</v>
      </c>
      <c r="AU23" s="12">
        <v>39495</v>
      </c>
      <c r="BB23" t="s">
        <v>912</v>
      </c>
      <c r="BC23" s="7">
        <v>39413</v>
      </c>
      <c r="BG23">
        <v>82</v>
      </c>
      <c r="BH23" s="17">
        <f t="shared" ca="1" si="0"/>
        <v>114</v>
      </c>
      <c r="BI23" s="17"/>
      <c r="BJ23" s="17"/>
    </row>
    <row r="24" spans="1:63" hidden="1">
      <c r="A24">
        <v>27215594</v>
      </c>
      <c r="B24" s="15" t="str">
        <f>HYPERLINK("http://www.windermere.com/index.cfm?fuseaction=Listing.ListingDetail&amp;ListingID=19127481","Subject To Inspection")</f>
        <v>Subject To Inspection</v>
      </c>
      <c r="D24" t="s">
        <v>60</v>
      </c>
      <c r="E24" t="s">
        <v>389</v>
      </c>
      <c r="F24" s="10">
        <v>319950</v>
      </c>
      <c r="G24" t="s">
        <v>147</v>
      </c>
      <c r="H24" s="1">
        <v>1088</v>
      </c>
      <c r="J24">
        <v>2</v>
      </c>
      <c r="K24">
        <v>2.5</v>
      </c>
      <c r="M24" s="2" t="str">
        <f>HYPERLINK("http://www.windermere.com/index.cfm?fuseaction=Listing.MapPropertyInteractive&amp;ListingID=19127481&amp;resize=true&amp;windowWidth=800&amp;windowHeight=600","Map")</f>
        <v>Map</v>
      </c>
      <c r="O24" s="2" t="str">
        <f>HYPERLINK("http://www.windermere.com/index.cfm?fuseaction=viewGallery.Home&amp;customTourID=203089&amp;wvt=0","More")</f>
        <v>More</v>
      </c>
      <c r="AI24" t="s">
        <v>66</v>
      </c>
      <c r="AJ24">
        <v>98103</v>
      </c>
      <c r="AS24" t="s">
        <v>390</v>
      </c>
      <c r="AT24">
        <v>19127481</v>
      </c>
      <c r="AU24" s="12">
        <v>39495</v>
      </c>
      <c r="BB24" t="s">
        <v>912</v>
      </c>
      <c r="BC24" s="7">
        <v>39442</v>
      </c>
      <c r="BG24">
        <v>53</v>
      </c>
      <c r="BH24" s="17">
        <f t="shared" ca="1" si="0"/>
        <v>85</v>
      </c>
      <c r="BI24" s="17"/>
      <c r="BJ24" s="17"/>
    </row>
    <row r="25" spans="1:63" hidden="1">
      <c r="A25">
        <v>28024017</v>
      </c>
      <c r="B25" s="2" t="str">
        <f>HYPERLINK("http://www.windermere.com/index.cfm?fuseaction=Listing.ListingDetail&amp;ListingID=19343180","Active")</f>
        <v>Active</v>
      </c>
      <c r="D25" t="s">
        <v>99</v>
      </c>
      <c r="E25" t="s">
        <v>387</v>
      </c>
      <c r="F25" s="10">
        <v>319950</v>
      </c>
      <c r="G25" t="s">
        <v>156</v>
      </c>
      <c r="H25">
        <v>840</v>
      </c>
      <c r="I25">
        <v>8407</v>
      </c>
      <c r="J25">
        <v>2</v>
      </c>
      <c r="K25">
        <v>1</v>
      </c>
      <c r="M25" s="2" t="str">
        <f>HYPERLINK("http://www.windermere.com/index.cfm?fuseaction=Listing.MapPropertyInteractive&amp;ListingID=19343180&amp;resize=true&amp;windowWidth=800&amp;windowHeight=600","Map")</f>
        <v>Map</v>
      </c>
      <c r="O25" s="2" t="str">
        <f>HYPERLINK("http://www.windermere.com/index.cfm?fuseaction=Listing.MultiImageViewer&amp;ListingID=19343180&amp;ln=28024017&amp;pub_mls=1","More")</f>
        <v>More</v>
      </c>
      <c r="AI25" t="s">
        <v>66</v>
      </c>
      <c r="AJ25">
        <v>98177</v>
      </c>
      <c r="AS25" t="s">
        <v>388</v>
      </c>
      <c r="AT25">
        <v>19343180</v>
      </c>
      <c r="AU25" s="12">
        <v>39495</v>
      </c>
      <c r="BB25" t="s">
        <v>912</v>
      </c>
      <c r="BC25" s="7">
        <v>39486</v>
      </c>
      <c r="BG25">
        <v>9</v>
      </c>
      <c r="BH25" s="17">
        <f t="shared" ca="1" si="0"/>
        <v>41</v>
      </c>
      <c r="BI25" s="17"/>
      <c r="BJ25" s="17"/>
    </row>
    <row r="26" spans="1:63" hidden="1">
      <c r="A26">
        <v>28027404</v>
      </c>
      <c r="B26" s="2" t="str">
        <f>HYPERLINK("http://www.windermere.com/index.cfm?fuseaction=Listing.ListingDetail&amp;ListingID=19372503","Subject To Inspection")</f>
        <v>Subject To Inspection</v>
      </c>
      <c r="D26" t="s">
        <v>60</v>
      </c>
      <c r="E26" t="s">
        <v>391</v>
      </c>
      <c r="F26" s="10">
        <v>319950</v>
      </c>
      <c r="G26" t="s">
        <v>147</v>
      </c>
      <c r="H26" s="1">
        <v>1088</v>
      </c>
      <c r="J26">
        <v>2</v>
      </c>
      <c r="K26">
        <v>2.5</v>
      </c>
      <c r="M26" s="2" t="str">
        <f>HYPERLINK("http://www.windermere.com/index.cfm?fuseaction=Listing.MapPropertyInteractive&amp;ListingID=19372503&amp;resize=true&amp;windowWidth=800&amp;windowHeight=600","Map")</f>
        <v>Map</v>
      </c>
      <c r="AI26" t="s">
        <v>66</v>
      </c>
      <c r="AJ26">
        <v>98103</v>
      </c>
      <c r="AS26" t="s">
        <v>392</v>
      </c>
      <c r="AT26">
        <v>19372503</v>
      </c>
      <c r="AU26" s="12">
        <v>39495</v>
      </c>
      <c r="BB26" t="s">
        <v>912</v>
      </c>
      <c r="BC26" s="7">
        <v>39492</v>
      </c>
      <c r="BG26">
        <v>3</v>
      </c>
      <c r="BH26" s="17">
        <f t="shared" ca="1" si="0"/>
        <v>35</v>
      </c>
      <c r="BI26" s="17"/>
      <c r="BJ26" s="17"/>
      <c r="BK26" t="str">
        <f>B26</f>
        <v>Subject To Inspection</v>
      </c>
    </row>
    <row r="27" spans="1:63" hidden="1">
      <c r="A27">
        <v>27213367</v>
      </c>
      <c r="B27" s="2" t="str">
        <f>HYPERLINK("http://www.windermere.com/index.cfm?fuseaction=Listing.ListingDetail&amp;ListingID=19100576","Active")</f>
        <v>Active</v>
      </c>
      <c r="D27" t="s">
        <v>968</v>
      </c>
      <c r="E27" t="s">
        <v>1096</v>
      </c>
      <c r="F27" s="10">
        <v>320000</v>
      </c>
      <c r="G27" t="s">
        <v>146</v>
      </c>
      <c r="H27">
        <v>700</v>
      </c>
      <c r="I27">
        <v>5753</v>
      </c>
      <c r="J27">
        <v>2</v>
      </c>
      <c r="K27">
        <v>1</v>
      </c>
      <c r="M27" s="2" t="str">
        <f>HYPERLINK("http://www.windermere.com/index.cfm?fuseaction=Listing.MapPropertyInteractive&amp;ListingID=19100576&amp;resize=true&amp;windowWidth=800&amp;windowHeight=600","Map")</f>
        <v>Map</v>
      </c>
      <c r="O27" s="2" t="str">
        <f>HYPERLINK("http://www.windermere.com/index.cfm?fuseaction=Listing.MultiImageViewer&amp;ListingID=19100576&amp;ln=27213367&amp;pub_mls=1","More")</f>
        <v>More</v>
      </c>
      <c r="P27" t="s">
        <v>44</v>
      </c>
      <c r="AI27" t="s">
        <v>66</v>
      </c>
      <c r="AJ27">
        <v>98125</v>
      </c>
      <c r="AS27" t="s">
        <v>1097</v>
      </c>
      <c r="AT27">
        <v>19100576</v>
      </c>
      <c r="AU27" s="12">
        <v>39495</v>
      </c>
      <c r="BB27" t="s">
        <v>912</v>
      </c>
      <c r="BC27" s="7">
        <v>39431</v>
      </c>
      <c r="BG27">
        <v>64</v>
      </c>
      <c r="BH27" s="17">
        <f t="shared" ca="1" si="0"/>
        <v>96</v>
      </c>
      <c r="BI27" s="17"/>
      <c r="BJ27" s="17"/>
    </row>
    <row r="28" spans="1:63" hidden="1">
      <c r="A28">
        <v>28000989</v>
      </c>
      <c r="B28" s="2" t="str">
        <f>HYPERLINK("http://www.windermere.com/index.cfm?fuseaction=Listing.ListingDetail&amp;ListingID=19148570","Active")</f>
        <v>Active</v>
      </c>
      <c r="D28" t="s">
        <v>968</v>
      </c>
      <c r="E28" t="s">
        <v>1098</v>
      </c>
      <c r="F28" s="13">
        <v>315888</v>
      </c>
      <c r="G28" t="s">
        <v>147</v>
      </c>
      <c r="H28" s="1">
        <v>1335</v>
      </c>
      <c r="J28">
        <v>3</v>
      </c>
      <c r="K28">
        <v>3</v>
      </c>
      <c r="M28" s="2" t="str">
        <f>HYPERLINK("http://www.windermere.com/index.cfm?fuseaction=Listing.MapPropertyInteractive&amp;ListingID=19148570&amp;resize=true&amp;windowWidth=800&amp;windowHeight=600","Map")</f>
        <v>Map</v>
      </c>
      <c r="O28" s="2" t="str">
        <f>HYPERLINK("http://www.windermere.com/index.cfm?fuseaction=Listing.MultiImageViewer&amp;ListingID=19148570&amp;ln=28000989&amp;pub_mls=1","More")</f>
        <v>More</v>
      </c>
      <c r="AI28" t="s">
        <v>66</v>
      </c>
      <c r="AJ28">
        <v>98125</v>
      </c>
      <c r="AS28" t="s">
        <v>1099</v>
      </c>
      <c r="AT28">
        <v>19148570</v>
      </c>
      <c r="AU28" s="12">
        <v>39495</v>
      </c>
      <c r="BB28" t="s">
        <v>912</v>
      </c>
      <c r="BC28" s="7">
        <v>39449</v>
      </c>
      <c r="BG28">
        <v>46</v>
      </c>
      <c r="BH28" s="17">
        <f t="shared" ca="1" si="0"/>
        <v>78</v>
      </c>
      <c r="BI28" s="17"/>
      <c r="BJ28" s="17"/>
    </row>
    <row r="29" spans="1:63" hidden="1">
      <c r="A29">
        <v>27186819</v>
      </c>
      <c r="B29" s="2" t="str">
        <f>HYPERLINK("http://www.windermere.com/index.cfm?fuseaction=Listing.ListingDetail&amp;ListingID=18814919","Active")</f>
        <v>Active</v>
      </c>
      <c r="D29" t="s">
        <v>55</v>
      </c>
      <c r="E29" t="s">
        <v>393</v>
      </c>
      <c r="F29" s="10">
        <v>324950</v>
      </c>
      <c r="G29" t="s">
        <v>394</v>
      </c>
      <c r="H29">
        <v>840</v>
      </c>
      <c r="I29">
        <v>3844</v>
      </c>
      <c r="J29">
        <v>2</v>
      </c>
      <c r="K29">
        <v>1</v>
      </c>
      <c r="M29" s="2" t="str">
        <f>HYPERLINK("http://www.windermere.com/index.cfm?fuseaction=Listing.MapPropertyInteractive&amp;ListingID=18814919&amp;resize=true&amp;windowWidth=800&amp;windowHeight=600","Map")</f>
        <v>Map</v>
      </c>
      <c r="O29" s="2" t="str">
        <f>HYPERLINK("http://www.windermere.com/index.cfm?fuseaction=Listing.MultiImageViewer&amp;ListingID=18814919&amp;ln=27186819&amp;pub_mls=1","More")</f>
        <v>More</v>
      </c>
      <c r="AI29" t="s">
        <v>66</v>
      </c>
      <c r="AJ29">
        <v>98133</v>
      </c>
      <c r="AS29" t="s">
        <v>395</v>
      </c>
      <c r="AT29">
        <v>18814919</v>
      </c>
      <c r="AU29" s="12">
        <v>39495</v>
      </c>
      <c r="BB29" t="s">
        <v>912</v>
      </c>
      <c r="BC29" s="7">
        <v>39371</v>
      </c>
      <c r="BG29">
        <v>124</v>
      </c>
      <c r="BH29" s="17">
        <f t="shared" ca="1" si="0"/>
        <v>156</v>
      </c>
      <c r="BI29" s="17"/>
      <c r="BJ29" s="17"/>
    </row>
    <row r="30" spans="1:63" hidden="1">
      <c r="A30">
        <v>28007094</v>
      </c>
      <c r="B30" s="2" t="str">
        <f>HYPERLINK("http://www.windermere.com/index.cfm?fuseaction=Listing.ListingDetail&amp;ListingID=19216145","Active")</f>
        <v>Active</v>
      </c>
      <c r="D30" t="s">
        <v>199</v>
      </c>
      <c r="E30" t="s">
        <v>397</v>
      </c>
      <c r="F30" s="10">
        <v>325000</v>
      </c>
      <c r="G30" t="s">
        <v>132</v>
      </c>
      <c r="H30">
        <v>890</v>
      </c>
      <c r="I30">
        <v>5000</v>
      </c>
      <c r="J30">
        <v>2</v>
      </c>
      <c r="K30">
        <v>1</v>
      </c>
      <c r="M30" s="2" t="str">
        <f>HYPERLINK("http://www.windermere.com/index.cfm?fuseaction=Listing.MapPropertyInteractive&amp;ListingID=19216145&amp;resize=true&amp;windowWidth=800&amp;windowHeight=600","Map")</f>
        <v>Map</v>
      </c>
      <c r="O30" s="2" t="str">
        <f>HYPERLINK("http://www.windermere.com/index.cfm?fuseaction=Listing.MultiImageViewer&amp;ListingID=19216145&amp;ln=28007094&amp;pub_mls=1","More")</f>
        <v>More</v>
      </c>
      <c r="AI30" t="s">
        <v>66</v>
      </c>
      <c r="AJ30">
        <v>98125</v>
      </c>
      <c r="AS30" t="s">
        <v>398</v>
      </c>
      <c r="AT30">
        <v>19216145</v>
      </c>
      <c r="AU30" s="12">
        <v>39495</v>
      </c>
      <c r="BB30" t="s">
        <v>912</v>
      </c>
      <c r="BC30" s="7">
        <v>39459</v>
      </c>
      <c r="BG30">
        <v>36</v>
      </c>
      <c r="BH30" s="17">
        <f t="shared" ca="1" si="0"/>
        <v>68</v>
      </c>
      <c r="BI30" s="17"/>
      <c r="BJ30" s="17"/>
    </row>
    <row r="31" spans="1:63" hidden="1">
      <c r="A31">
        <v>28007357</v>
      </c>
      <c r="B31" s="2" t="str">
        <f>HYPERLINK("http://www.windermere.com/index.cfm?fuseaction=Listing.ListingDetail&amp;ListingID=19206462","Active")</f>
        <v>Active</v>
      </c>
      <c r="D31" t="s">
        <v>42</v>
      </c>
      <c r="E31" t="s">
        <v>399</v>
      </c>
      <c r="F31" s="13">
        <v>300000</v>
      </c>
      <c r="G31" t="s">
        <v>156</v>
      </c>
      <c r="H31">
        <v>850</v>
      </c>
      <c r="I31">
        <v>6800</v>
      </c>
      <c r="J31">
        <v>2</v>
      </c>
      <c r="K31">
        <v>1</v>
      </c>
      <c r="M31" s="2" t="str">
        <f>HYPERLINK("http://www.windermere.com/index.cfm?fuseaction=Listing.MapPropertyInteractive&amp;ListingID=19206462&amp;resize=true&amp;windowWidth=800&amp;windowHeight=600","Map")</f>
        <v>Map</v>
      </c>
      <c r="O31" s="2" t="str">
        <f>HYPERLINK("http://www.windermere.com/index.cfm?fuseaction=Listing.MultiImageViewer&amp;ListingID=19206462&amp;ln=28007357&amp;pub_mls=1","More")</f>
        <v>More</v>
      </c>
      <c r="AI31" t="s">
        <v>66</v>
      </c>
      <c r="AJ31">
        <v>98133</v>
      </c>
      <c r="AS31" t="s">
        <v>400</v>
      </c>
      <c r="AT31">
        <v>19206462</v>
      </c>
      <c r="AU31" s="12">
        <v>39495</v>
      </c>
      <c r="BB31" t="s">
        <v>912</v>
      </c>
      <c r="BC31" s="7">
        <v>39458</v>
      </c>
      <c r="BG31">
        <v>37</v>
      </c>
      <c r="BH31" s="17">
        <f t="shared" ca="1" si="0"/>
        <v>69</v>
      </c>
      <c r="BI31" s="17"/>
      <c r="BJ31" s="17"/>
    </row>
    <row r="32" spans="1:63" hidden="1">
      <c r="A32">
        <v>28025036</v>
      </c>
      <c r="B32" s="15" t="str">
        <f>HYPERLINK("http://www.windermere.com/index.cfm?fuseaction=Listing.ListingDetail&amp;ListingID=19356881","Subject To Inspection")</f>
        <v>Subject To Inspection</v>
      </c>
      <c r="D32" t="s">
        <v>55</v>
      </c>
      <c r="E32" t="s">
        <v>401</v>
      </c>
      <c r="F32" s="10">
        <v>325000</v>
      </c>
      <c r="G32" t="s">
        <v>379</v>
      </c>
      <c r="H32" s="1">
        <v>1150</v>
      </c>
      <c r="I32">
        <v>7650</v>
      </c>
      <c r="J32">
        <v>2</v>
      </c>
      <c r="K32">
        <v>1</v>
      </c>
      <c r="M32" s="2" t="str">
        <f>HYPERLINK("http://www.windermere.com/index.cfm?fuseaction=Listing.MapPropertyInteractive&amp;ListingID=19356881&amp;resize=true&amp;windowWidth=800&amp;windowHeight=600","Map")</f>
        <v>Map</v>
      </c>
      <c r="O32" s="2" t="str">
        <f>HYPERLINK("http://www.windermere.com/index.cfm?fuseaction=viewGallery.Home&amp;customTourID=207418&amp;wvt=0","More")</f>
        <v>More</v>
      </c>
      <c r="AI32" t="s">
        <v>66</v>
      </c>
      <c r="AJ32">
        <v>98133</v>
      </c>
      <c r="AS32" t="s">
        <v>402</v>
      </c>
      <c r="AT32">
        <v>19356881</v>
      </c>
      <c r="AU32" s="12">
        <v>39495</v>
      </c>
      <c r="BB32" t="s">
        <v>912</v>
      </c>
      <c r="BC32" s="7">
        <v>39490</v>
      </c>
      <c r="BG32">
        <v>5</v>
      </c>
      <c r="BH32" s="17">
        <f t="shared" ca="1" si="0"/>
        <v>37</v>
      </c>
      <c r="BI32" s="17"/>
      <c r="BJ32" s="17"/>
    </row>
    <row r="33" spans="1:63" hidden="1">
      <c r="A33">
        <v>27154939</v>
      </c>
      <c r="B33" s="2" t="str">
        <f>HYPERLINK("http://www.windermere.com/index.cfm?fuseaction=Listing.ListingDetail&amp;ListingID=18521282","Active")</f>
        <v>Active</v>
      </c>
      <c r="D33" t="s">
        <v>60</v>
      </c>
      <c r="E33" t="s">
        <v>412</v>
      </c>
      <c r="F33" s="10">
        <v>329000</v>
      </c>
      <c r="G33" t="s">
        <v>147</v>
      </c>
      <c r="J33">
        <v>2</v>
      </c>
      <c r="K33">
        <v>1.5</v>
      </c>
      <c r="M33" s="2" t="str">
        <f>HYPERLINK("http://www.windermere.com/index.cfm?fuseaction=Listing.MapPropertyInteractive&amp;ListingID=18521282&amp;resize=true&amp;windowWidth=800&amp;windowHeight=600","Map")</f>
        <v>Map</v>
      </c>
      <c r="O33" s="2" t="str">
        <f>HYPERLINK("http://www.windermere.com/index.cfm?fuseaction=Listing.MultiImageViewer&amp;ListingID=18521282&amp;ln=27154939&amp;pub_mls=1","More")</f>
        <v>More</v>
      </c>
      <c r="AI33" t="s">
        <v>66</v>
      </c>
      <c r="AJ33">
        <v>98103</v>
      </c>
      <c r="AS33" t="s">
        <v>413</v>
      </c>
      <c r="AT33">
        <v>18521282</v>
      </c>
      <c r="AU33" s="12">
        <v>39495</v>
      </c>
      <c r="BB33" t="s">
        <v>912</v>
      </c>
      <c r="BC33" s="7">
        <v>39319</v>
      </c>
      <c r="BD33">
        <v>3</v>
      </c>
      <c r="BE33" s="6" t="s">
        <v>1323</v>
      </c>
      <c r="BG33">
        <v>176</v>
      </c>
      <c r="BH33" s="17">
        <f t="shared" ca="1" si="0"/>
        <v>208</v>
      </c>
      <c r="BI33" s="17"/>
      <c r="BJ33" s="17"/>
    </row>
    <row r="34" spans="1:63" hidden="1">
      <c r="A34">
        <v>27169639</v>
      </c>
      <c r="B34" s="2" t="str">
        <f>HYPERLINK("http://www.windermere.com/index.cfm?fuseaction=Listing.ListingDetail&amp;ListingID=18645969","Active")</f>
        <v>Active</v>
      </c>
      <c r="D34" t="s">
        <v>60</v>
      </c>
      <c r="E34" t="s">
        <v>408</v>
      </c>
      <c r="F34" s="10">
        <v>329000</v>
      </c>
      <c r="G34" t="s">
        <v>147</v>
      </c>
      <c r="J34">
        <v>2</v>
      </c>
      <c r="K34">
        <v>1.5</v>
      </c>
      <c r="M34" s="2" t="str">
        <f>HYPERLINK("http://www.windermere.com/index.cfm?fuseaction=Listing.MapPropertyInteractive&amp;ListingID=18645969&amp;resize=true&amp;windowWidth=800&amp;windowHeight=600","Map")</f>
        <v>Map</v>
      </c>
      <c r="O34" s="2" t="str">
        <f>HYPERLINK("http://www.windermere.com/index.cfm?fuseaction=Listing.MultiImageViewer&amp;ListingID=18645969&amp;ln=27169639&amp;pub_mls=1","More")</f>
        <v>More</v>
      </c>
      <c r="AI34" t="s">
        <v>66</v>
      </c>
      <c r="AJ34">
        <v>98103</v>
      </c>
      <c r="AS34" t="s">
        <v>409</v>
      </c>
      <c r="AT34">
        <v>18645969</v>
      </c>
      <c r="AU34" s="12">
        <v>39495</v>
      </c>
      <c r="BB34" t="s">
        <v>912</v>
      </c>
      <c r="BC34" s="7">
        <v>39340</v>
      </c>
      <c r="BG34">
        <v>155</v>
      </c>
      <c r="BH34" s="17">
        <f t="shared" ca="1" si="0"/>
        <v>187</v>
      </c>
      <c r="BI34" s="17"/>
      <c r="BJ34" s="17"/>
    </row>
    <row r="35" spans="1:63" hidden="1">
      <c r="A35">
        <v>27169642</v>
      </c>
      <c r="B35" s="2" t="str">
        <f>HYPERLINK("http://www.windermere.com/index.cfm?fuseaction=Listing.ListingDetail&amp;ListingID=18645976","Active")</f>
        <v>Active</v>
      </c>
      <c r="D35" t="s">
        <v>60</v>
      </c>
      <c r="E35" t="s">
        <v>406</v>
      </c>
      <c r="F35" s="10">
        <v>329000</v>
      </c>
      <c r="G35" t="s">
        <v>147</v>
      </c>
      <c r="J35">
        <v>2</v>
      </c>
      <c r="K35">
        <v>1.5</v>
      </c>
      <c r="M35" s="2" t="str">
        <f>HYPERLINK("http://www.windermere.com/index.cfm?fuseaction=Listing.MapPropertyInteractive&amp;ListingID=18645976&amp;resize=true&amp;windowWidth=800&amp;windowHeight=600","Map")</f>
        <v>Map</v>
      </c>
      <c r="O35" s="2" t="str">
        <f>HYPERLINK("http://www.windermere.com/index.cfm?fuseaction=Listing.MultiImageViewer&amp;ListingID=18645976&amp;ln=27169642&amp;pub_mls=1","More")</f>
        <v>More</v>
      </c>
      <c r="AI35" t="s">
        <v>66</v>
      </c>
      <c r="AJ35">
        <v>98103</v>
      </c>
      <c r="AS35" t="s">
        <v>407</v>
      </c>
      <c r="AT35">
        <v>18645976</v>
      </c>
      <c r="AU35" s="12">
        <v>39495</v>
      </c>
      <c r="BB35" t="s">
        <v>912</v>
      </c>
      <c r="BC35" s="7">
        <v>39340</v>
      </c>
      <c r="BG35">
        <v>155</v>
      </c>
      <c r="BH35" s="17">
        <f t="shared" ca="1" si="0"/>
        <v>187</v>
      </c>
      <c r="BI35" s="17"/>
      <c r="BJ35" s="17"/>
    </row>
    <row r="36" spans="1:63" hidden="1">
      <c r="A36">
        <v>27190986</v>
      </c>
      <c r="B36" s="2" t="str">
        <f>HYPERLINK("http://www.windermere.com/index.cfm?fuseaction=Listing.ListingDetail&amp;ListingID=18854105","Active")</f>
        <v>Active</v>
      </c>
      <c r="D36" t="s">
        <v>60</v>
      </c>
      <c r="E36" t="s">
        <v>410</v>
      </c>
      <c r="F36" s="10">
        <v>329000</v>
      </c>
      <c r="G36" t="s">
        <v>147</v>
      </c>
      <c r="J36">
        <v>2</v>
      </c>
      <c r="K36">
        <v>1.5</v>
      </c>
      <c r="M36" s="2" t="str">
        <f>HYPERLINK("http://www.windermere.com/index.cfm?fuseaction=Listing.MapPropertyInteractive&amp;ListingID=18854105&amp;resize=true&amp;windowWidth=800&amp;windowHeight=600","Map")</f>
        <v>Map</v>
      </c>
      <c r="O36" s="2" t="str">
        <f>HYPERLINK("http://www.windermere.com/index.cfm?fuseaction=Listing.MultiImageViewer&amp;ListingID=18854105&amp;ln=27190986&amp;pub_mls=1","More")</f>
        <v>More</v>
      </c>
      <c r="AI36" t="s">
        <v>66</v>
      </c>
      <c r="AJ36">
        <v>98103</v>
      </c>
      <c r="AS36" t="s">
        <v>411</v>
      </c>
      <c r="AT36">
        <v>18854105</v>
      </c>
      <c r="AU36" s="12">
        <v>39495</v>
      </c>
      <c r="BB36" t="s">
        <v>912</v>
      </c>
      <c r="BC36" s="7">
        <v>39378</v>
      </c>
      <c r="BG36">
        <v>117</v>
      </c>
      <c r="BH36" s="17">
        <f t="shared" ca="1" si="0"/>
        <v>149</v>
      </c>
      <c r="BI36" s="17"/>
      <c r="BJ36" s="17"/>
    </row>
    <row r="37" spans="1:63" hidden="1">
      <c r="A37">
        <v>28014016</v>
      </c>
      <c r="B37" s="2" t="str">
        <f>HYPERLINK("http://www.windermere.com/index.cfm?fuseaction=Listing.ListingDetail&amp;ListingID=19265907","Active")</f>
        <v>Active</v>
      </c>
      <c r="D37" t="s">
        <v>63</v>
      </c>
      <c r="E37" t="s">
        <v>325</v>
      </c>
      <c r="F37" s="10">
        <v>329000</v>
      </c>
      <c r="G37" t="s">
        <v>147</v>
      </c>
      <c r="H37" s="1">
        <v>1200</v>
      </c>
      <c r="J37">
        <v>2</v>
      </c>
      <c r="K37">
        <v>2.5</v>
      </c>
      <c r="M37" s="2" t="str">
        <f>HYPERLINK("http://www.windermere.com/index.cfm?fuseaction=Listing.MapPropertyInteractive&amp;ListingID=19265907&amp;resize=true&amp;windowWidth=800&amp;windowHeight=600","Map")</f>
        <v>Map</v>
      </c>
      <c r="O37" s="2" t="str">
        <f>HYPERLINK("http://www.windermere.com/index.cfm?fuseaction=Listing.MultiImageViewer&amp;ListingID=19265907&amp;ln=28014016&amp;pub_mls=1","More")</f>
        <v>More</v>
      </c>
      <c r="P37" t="s">
        <v>44</v>
      </c>
      <c r="AI37" t="s">
        <v>66</v>
      </c>
      <c r="AJ37">
        <v>98117</v>
      </c>
      <c r="AS37" t="s">
        <v>326</v>
      </c>
      <c r="AT37">
        <v>19265907</v>
      </c>
      <c r="AU37" s="12">
        <v>39495</v>
      </c>
      <c r="BB37" t="s">
        <v>912</v>
      </c>
      <c r="BC37" s="7">
        <v>39470</v>
      </c>
      <c r="BG37">
        <v>25</v>
      </c>
      <c r="BH37" s="17">
        <f t="shared" ca="1" si="0"/>
        <v>57</v>
      </c>
      <c r="BI37" s="17"/>
      <c r="BJ37" s="17"/>
    </row>
    <row r="38" spans="1:63" hidden="1">
      <c r="A38">
        <v>28006018</v>
      </c>
      <c r="B38" s="2" t="str">
        <f>HYPERLINK("http://www.windermere.com/index.cfm?fuseaction=Listing.ListingDetail&amp;ListingID=19192648","Active")</f>
        <v>Active</v>
      </c>
      <c r="D38" t="s">
        <v>184</v>
      </c>
      <c r="E38" t="s">
        <v>414</v>
      </c>
      <c r="F38" s="13">
        <v>309950</v>
      </c>
      <c r="G38" t="s">
        <v>168</v>
      </c>
      <c r="I38">
        <v>6604</v>
      </c>
      <c r="J38">
        <v>3</v>
      </c>
      <c r="K38">
        <v>1.5</v>
      </c>
      <c r="M38" s="2" t="str">
        <f>HYPERLINK("http://www.windermere.com/index.cfm?fuseaction=Listing.MapPropertyInteractive&amp;ListingID=19192648&amp;resize=true&amp;windowWidth=800&amp;windowHeight=600","Map")</f>
        <v>Map</v>
      </c>
      <c r="O38" s="2" t="str">
        <f>HYPERLINK("http://www.windermere.com/index.cfm?fuseaction=viewGallery.Home&amp;customTourID=193819&amp;wvt=0","More")</f>
        <v>More</v>
      </c>
      <c r="AI38" t="s">
        <v>66</v>
      </c>
      <c r="AJ38">
        <v>98125</v>
      </c>
      <c r="AS38" t="s">
        <v>415</v>
      </c>
      <c r="AT38">
        <v>19192648</v>
      </c>
      <c r="AU38" s="12">
        <v>39495</v>
      </c>
      <c r="BB38" t="s">
        <v>912</v>
      </c>
      <c r="BC38" s="7">
        <v>39457</v>
      </c>
      <c r="BG38">
        <v>38</v>
      </c>
      <c r="BH38" s="17">
        <f t="shared" ca="1" si="0"/>
        <v>70</v>
      </c>
      <c r="BI38" s="17"/>
      <c r="BJ38" s="17"/>
    </row>
    <row r="39" spans="1:63" hidden="1">
      <c r="A39">
        <v>28016250</v>
      </c>
      <c r="B39" s="2" t="str">
        <f>HYPERLINK("http://www.windermere.com/index.cfm?fuseaction=Listing.ListingDetail&amp;ListingID=19291015","Active")</f>
        <v>Active</v>
      </c>
      <c r="D39" t="s">
        <v>42</v>
      </c>
      <c r="E39" t="s">
        <v>416</v>
      </c>
      <c r="F39" s="10">
        <v>332000</v>
      </c>
      <c r="G39" t="s">
        <v>147</v>
      </c>
      <c r="H39" s="1">
        <v>1471</v>
      </c>
      <c r="J39">
        <v>3</v>
      </c>
      <c r="K39">
        <v>2.5</v>
      </c>
      <c r="M39" s="2" t="str">
        <f>HYPERLINK("http://www.windermere.com/index.cfm?fuseaction=Listing.MapPropertyInteractive&amp;ListingID=19291015&amp;resize=true&amp;windowWidth=800&amp;windowHeight=600","Map")</f>
        <v>Map</v>
      </c>
      <c r="O39" s="2" t="str">
        <f>HYPERLINK("http://www.windermere.com/index.cfm?fuseaction=Listing.MultiImageViewer&amp;ListingID=19291015&amp;ln=28016250&amp;pub_mls=1","More")</f>
        <v>More</v>
      </c>
      <c r="AI39" t="s">
        <v>66</v>
      </c>
      <c r="AJ39">
        <v>98296</v>
      </c>
      <c r="AS39" t="s">
        <v>417</v>
      </c>
      <c r="AT39">
        <v>19291015</v>
      </c>
      <c r="AU39" s="12">
        <v>39495</v>
      </c>
      <c r="BB39" t="s">
        <v>912</v>
      </c>
      <c r="BC39" s="7">
        <v>39475</v>
      </c>
      <c r="BG39">
        <v>20</v>
      </c>
      <c r="BH39" s="17">
        <f t="shared" ca="1" si="0"/>
        <v>52</v>
      </c>
      <c r="BI39" s="17"/>
      <c r="BJ39" s="17"/>
    </row>
    <row r="40" spans="1:63" hidden="1">
      <c r="A40">
        <v>28024275</v>
      </c>
      <c r="B40" s="2" t="str">
        <f>HYPERLINK("http://www.windermere.com/index.cfm?fuseaction=Listing.ListingDetail&amp;ListingID=19349709","Active")</f>
        <v>Active</v>
      </c>
      <c r="D40" t="s">
        <v>66</v>
      </c>
      <c r="E40" t="s">
        <v>418</v>
      </c>
      <c r="F40" s="13">
        <v>324900</v>
      </c>
      <c r="G40" t="s">
        <v>419</v>
      </c>
      <c r="H40">
        <v>960</v>
      </c>
      <c r="J40">
        <v>3</v>
      </c>
      <c r="K40">
        <v>1</v>
      </c>
      <c r="M40" s="2" t="str">
        <f>HYPERLINK("http://www.windermere.com/index.cfm?fuseaction=Listing.MapPropertyInteractive&amp;ListingID=19349709&amp;resize=true&amp;windowWidth=800&amp;windowHeight=600","Map")</f>
        <v>Map</v>
      </c>
      <c r="O40" s="2" t="str">
        <f>HYPERLINK("http://www.windermere.com/index.cfm?fuseaction=Listing.MultiImageViewer&amp;ListingID=19349709&amp;ln=28024275&amp;pub_mls=1","More")</f>
        <v>More</v>
      </c>
      <c r="AI40" t="s">
        <v>396</v>
      </c>
      <c r="AJ40">
        <v>98133</v>
      </c>
      <c r="AS40" t="s">
        <v>420</v>
      </c>
      <c r="AT40">
        <v>19349709</v>
      </c>
      <c r="AU40" s="12">
        <v>39495</v>
      </c>
      <c r="BB40" t="s">
        <v>912</v>
      </c>
      <c r="BC40" s="7">
        <v>39488</v>
      </c>
      <c r="BD40">
        <v>4</v>
      </c>
      <c r="BE40" t="s">
        <v>1436</v>
      </c>
      <c r="BF40" t="s">
        <v>1345</v>
      </c>
      <c r="BG40">
        <v>7</v>
      </c>
      <c r="BH40" s="17">
        <f t="shared" ca="1" si="0"/>
        <v>39</v>
      </c>
      <c r="BI40" s="17"/>
      <c r="BJ40" s="17"/>
    </row>
    <row r="41" spans="1:63" hidden="1">
      <c r="A41">
        <v>27202509</v>
      </c>
      <c r="B41" s="2" t="str">
        <f>HYPERLINK("http://www.windermere.com/index.cfm?fuseaction=Listing.ListingDetail&amp;ListingID=18979832","Active")</f>
        <v>Active</v>
      </c>
      <c r="D41" t="s">
        <v>60</v>
      </c>
      <c r="E41" t="s">
        <v>423</v>
      </c>
      <c r="F41" s="10">
        <v>335000</v>
      </c>
      <c r="G41" t="s">
        <v>424</v>
      </c>
      <c r="H41" s="1">
        <v>1260</v>
      </c>
      <c r="J41">
        <v>2</v>
      </c>
      <c r="K41">
        <v>1.5</v>
      </c>
      <c r="M41" s="2" t="str">
        <f>HYPERLINK("http://www.windermere.com/index.cfm?fuseaction=Listing.MapPropertyInteractive&amp;ListingID=18979832&amp;resize=true&amp;windowWidth=800&amp;windowHeight=600","Map")</f>
        <v>Map</v>
      </c>
      <c r="O41" s="2" t="str">
        <f>HYPERLINK("http://www.windermere.com/index.cfm?fuseaction=Listing.MultiImageViewer&amp;ListingID=18979832&amp;ln=27202509&amp;pub_mls=1","More")</f>
        <v>More</v>
      </c>
      <c r="P41" t="s">
        <v>44</v>
      </c>
      <c r="AI41" t="s">
        <v>66</v>
      </c>
      <c r="AJ41">
        <v>98103</v>
      </c>
      <c r="AS41" t="s">
        <v>425</v>
      </c>
      <c r="AT41">
        <v>18979832</v>
      </c>
      <c r="AU41" s="12">
        <v>39495</v>
      </c>
      <c r="BB41" t="s">
        <v>912</v>
      </c>
      <c r="BC41" s="7">
        <v>39401</v>
      </c>
      <c r="BG41">
        <v>94</v>
      </c>
      <c r="BH41" s="17">
        <f t="shared" ca="1" si="0"/>
        <v>126</v>
      </c>
      <c r="BI41" s="17"/>
      <c r="BJ41" s="17"/>
    </row>
    <row r="42" spans="1:63" hidden="1">
      <c r="A42">
        <v>28010709</v>
      </c>
      <c r="B42" s="15" t="str">
        <f>HYPERLINK("http://www.windermere.com/index.cfm?fuseaction=Listing.ListingDetail&amp;ListingID=19246527","Active")</f>
        <v>Active</v>
      </c>
      <c r="D42" t="s">
        <v>42</v>
      </c>
      <c r="E42" t="s">
        <v>421</v>
      </c>
      <c r="F42" s="13">
        <v>330000</v>
      </c>
      <c r="G42" t="s">
        <v>161</v>
      </c>
      <c r="H42" s="1">
        <v>1020</v>
      </c>
      <c r="I42">
        <v>7863</v>
      </c>
      <c r="J42">
        <v>2</v>
      </c>
      <c r="K42">
        <v>1</v>
      </c>
      <c r="M42" s="2" t="str">
        <f>HYPERLINK("http://www.windermere.com/index.cfm?fuseaction=Listing.MapPropertyInteractive&amp;ListingID=19246527&amp;resize=true&amp;windowWidth=800&amp;windowHeight=600","Map")</f>
        <v>Map</v>
      </c>
      <c r="O42" s="2" t="str">
        <f>HYPERLINK("http://www.windermere.com/index.cfm?fuseaction=Listing.MultiImageViewer&amp;ListingID=19246527&amp;ln=28010709&amp;pub_mls=1","More")</f>
        <v>More</v>
      </c>
      <c r="P42" t="s">
        <v>44</v>
      </c>
      <c r="AI42" t="s">
        <v>66</v>
      </c>
      <c r="AJ42">
        <v>98133</v>
      </c>
      <c r="AS42" t="s">
        <v>422</v>
      </c>
      <c r="AT42">
        <v>19246527</v>
      </c>
      <c r="AU42" s="12">
        <v>39495</v>
      </c>
      <c r="BB42" t="s">
        <v>912</v>
      </c>
      <c r="BC42" s="7">
        <v>39465</v>
      </c>
      <c r="BG42">
        <v>30</v>
      </c>
      <c r="BH42" s="17">
        <f t="shared" ca="1" si="0"/>
        <v>62</v>
      </c>
      <c r="BI42" s="17"/>
      <c r="BJ42" s="17"/>
      <c r="BK42" t="str">
        <f>B42</f>
        <v>Active</v>
      </c>
    </row>
    <row r="43" spans="1:63" hidden="1">
      <c r="A43">
        <v>28005412</v>
      </c>
      <c r="B43" s="15" t="str">
        <f>HYPERLINK("http://www.windermere.com/index.cfm?fuseaction=Listing.ListingDetail&amp;ListingID=19183393","Subject To Inspection")</f>
        <v>Subject To Inspection</v>
      </c>
      <c r="D43" t="s">
        <v>202</v>
      </c>
      <c r="E43" t="s">
        <v>426</v>
      </c>
      <c r="F43" s="10">
        <v>336000</v>
      </c>
      <c r="G43" t="s">
        <v>162</v>
      </c>
      <c r="I43">
        <v>6525</v>
      </c>
      <c r="J43">
        <v>2</v>
      </c>
      <c r="K43">
        <v>1</v>
      </c>
      <c r="M43" s="2" t="str">
        <f>HYPERLINK("http://www.windermere.com/index.cfm?fuseaction=Listing.MapPropertyInteractive&amp;ListingID=19183393&amp;resize=true&amp;windowWidth=800&amp;windowHeight=600","Map")</f>
        <v>Map</v>
      </c>
      <c r="O43" s="2" t="str">
        <f>HYPERLINK("http://www.windermere.com/index.cfm?fuseaction=viewGallery.Home&amp;customTourID=203879&amp;wvt=0","More")</f>
        <v>More</v>
      </c>
      <c r="AI43" t="s">
        <v>66</v>
      </c>
      <c r="AJ43">
        <v>98125</v>
      </c>
      <c r="AS43" t="s">
        <v>427</v>
      </c>
      <c r="AT43">
        <v>19183393</v>
      </c>
      <c r="AU43" s="12">
        <v>39495</v>
      </c>
      <c r="BB43" t="s">
        <v>912</v>
      </c>
      <c r="BC43" s="7">
        <v>39456</v>
      </c>
      <c r="BE43" t="s">
        <v>1349</v>
      </c>
      <c r="BG43">
        <v>39</v>
      </c>
      <c r="BH43" s="17">
        <f t="shared" ca="1" si="0"/>
        <v>71</v>
      </c>
      <c r="BI43" s="17"/>
      <c r="BJ43" s="17"/>
      <c r="BK43" s="16" t="str">
        <f>B43</f>
        <v>Subject To Inspection</v>
      </c>
    </row>
    <row r="44" spans="1:63" hidden="1">
      <c r="A44">
        <v>27205518</v>
      </c>
      <c r="B44" s="2" t="str">
        <f>HYPERLINK("http://www.windermere.com/index.cfm?fuseaction=Listing.ListingDetail&amp;ListingID=19408389","Active")</f>
        <v>Active</v>
      </c>
      <c r="D44" t="s">
        <v>60</v>
      </c>
      <c r="E44" t="s">
        <v>428</v>
      </c>
      <c r="F44" s="10">
        <v>338900</v>
      </c>
      <c r="G44" t="s">
        <v>128</v>
      </c>
      <c r="H44" s="1">
        <v>1200</v>
      </c>
      <c r="J44">
        <v>2</v>
      </c>
      <c r="K44">
        <v>1.5</v>
      </c>
      <c r="M44" s="2" t="str">
        <f>HYPERLINK("http://www.windermere.com/index.cfm?fuseaction=Listing.MapPropertyInteractive&amp;ListingID=19408389&amp;resize=true&amp;windowWidth=800&amp;windowHeight=600","Map")</f>
        <v>Map</v>
      </c>
      <c r="O44" s="2" t="str">
        <f>HYPERLINK("http://www.windermere.com/index.cfm?fuseaction=Listing.MultiImageViewer&amp;ListingID=19408389&amp;ln=27205518&amp;pub_mls=1","More")</f>
        <v>More</v>
      </c>
      <c r="AI44" t="s">
        <v>66</v>
      </c>
      <c r="AJ44">
        <v>98103</v>
      </c>
      <c r="AS44" s="19" t="s">
        <v>1456</v>
      </c>
      <c r="AT44" s="19">
        <v>19408389</v>
      </c>
      <c r="AU44" s="12">
        <v>39495</v>
      </c>
      <c r="BB44" t="s">
        <v>912</v>
      </c>
      <c r="BC44" s="7">
        <v>39410</v>
      </c>
      <c r="BG44">
        <v>85</v>
      </c>
      <c r="BH44" s="17">
        <f t="shared" ca="1" si="0"/>
        <v>117</v>
      </c>
      <c r="BI44" s="17"/>
      <c r="BJ44" s="17"/>
    </row>
    <row r="45" spans="1:63" hidden="1">
      <c r="A45">
        <v>27154929</v>
      </c>
      <c r="B45" s="2" t="str">
        <f>HYPERLINK("http://www.windermere.com/index.cfm?fuseaction=Listing.ListingDetail&amp;ListingID=18521283","Subject To Inspection")</f>
        <v>Subject To Inspection</v>
      </c>
      <c r="D45" t="s">
        <v>60</v>
      </c>
      <c r="E45" t="s">
        <v>431</v>
      </c>
      <c r="F45" s="10">
        <v>339000</v>
      </c>
      <c r="G45" t="s">
        <v>147</v>
      </c>
      <c r="J45">
        <v>2</v>
      </c>
      <c r="K45">
        <v>1.5</v>
      </c>
      <c r="M45" s="2" t="str">
        <f>HYPERLINK("http://www.windermere.com/index.cfm?fuseaction=Listing.MapPropertyInteractive&amp;ListingID=18521283&amp;resize=true&amp;windowWidth=800&amp;windowHeight=600","Map")</f>
        <v>Map</v>
      </c>
      <c r="O45" s="2" t="str">
        <f>HYPERLINK("http://www.windermere.com/index.cfm?fuseaction=Listing.MultiImageViewer&amp;ListingID=18521283&amp;ln=27154929&amp;pub_mls=1","More")</f>
        <v>More</v>
      </c>
      <c r="AI45" t="s">
        <v>66</v>
      </c>
      <c r="AJ45">
        <v>98103</v>
      </c>
      <c r="AS45" t="s">
        <v>432</v>
      </c>
      <c r="AT45">
        <v>18521283</v>
      </c>
      <c r="AU45" s="12">
        <v>39495</v>
      </c>
      <c r="BB45" t="s">
        <v>912</v>
      </c>
      <c r="BC45" s="7">
        <v>39319</v>
      </c>
      <c r="BD45">
        <v>3</v>
      </c>
      <c r="BE45" s="6" t="s">
        <v>1323</v>
      </c>
      <c r="BG45">
        <v>176</v>
      </c>
      <c r="BH45" s="17">
        <f t="shared" ca="1" si="0"/>
        <v>208</v>
      </c>
      <c r="BI45" s="17"/>
      <c r="BJ45" s="17"/>
      <c r="BK45" t="str">
        <f>B45</f>
        <v>Subject To Inspection</v>
      </c>
    </row>
    <row r="46" spans="1:63" hidden="1">
      <c r="A46">
        <v>27184903</v>
      </c>
      <c r="B46" s="2" t="str">
        <f>HYPERLINK("http://www.windermere.com/index.cfm?fuseaction=Listing.ListingDetail&amp;ListingID=18799513","Active")</f>
        <v>Active</v>
      </c>
      <c r="D46" t="s">
        <v>55</v>
      </c>
      <c r="E46" t="s">
        <v>429</v>
      </c>
      <c r="F46" s="10">
        <v>339000</v>
      </c>
      <c r="G46" t="s">
        <v>147</v>
      </c>
      <c r="J46">
        <v>3</v>
      </c>
      <c r="K46">
        <v>1.5</v>
      </c>
      <c r="M46" s="2" t="str">
        <f>HYPERLINK("http://www.windermere.com/index.cfm?fuseaction=Listing.MapPropertyInteractive&amp;ListingID=18799513&amp;resize=true&amp;windowWidth=800&amp;windowHeight=600","Map")</f>
        <v>Map</v>
      </c>
      <c r="O46" s="2" t="str">
        <f>HYPERLINK("http://www.windermere.com/index.cfm?fuseaction=Listing.MultiImageViewer&amp;ListingID=18799513&amp;ln=27184903&amp;pub_mls=1","More")</f>
        <v>More</v>
      </c>
      <c r="AI46" t="s">
        <v>66</v>
      </c>
      <c r="AJ46">
        <v>98133</v>
      </c>
      <c r="AS46" t="s">
        <v>430</v>
      </c>
      <c r="AT46">
        <v>18799513</v>
      </c>
      <c r="AU46" s="12">
        <v>39495</v>
      </c>
      <c r="BB46" t="s">
        <v>912</v>
      </c>
      <c r="BC46" s="7">
        <v>39367</v>
      </c>
      <c r="BG46">
        <v>128</v>
      </c>
      <c r="BH46" s="17">
        <f t="shared" ca="1" si="0"/>
        <v>160</v>
      </c>
      <c r="BI46" s="17"/>
      <c r="BJ46" s="17"/>
    </row>
    <row r="47" spans="1:63" hidden="1">
      <c r="A47">
        <v>28012906</v>
      </c>
      <c r="B47" s="2" t="str">
        <f>HYPERLINK("http://www.windermere.com/index.cfm?fuseaction=Listing.ListingDetail&amp;ListingID=19261837","Active")</f>
        <v>Active</v>
      </c>
      <c r="D47" t="s">
        <v>55</v>
      </c>
      <c r="E47" t="s">
        <v>433</v>
      </c>
      <c r="F47" s="10">
        <v>339000</v>
      </c>
      <c r="G47" t="s">
        <v>147</v>
      </c>
      <c r="J47">
        <v>3</v>
      </c>
      <c r="K47">
        <v>1.5</v>
      </c>
      <c r="M47" s="2" t="str">
        <f>HYPERLINK("http://www.windermere.com/index.cfm?fuseaction=Listing.MapPropertyInteractive&amp;ListingID=19261837&amp;resize=true&amp;windowWidth=800&amp;windowHeight=600","Map")</f>
        <v>Map</v>
      </c>
      <c r="O47" s="2" t="str">
        <f>HYPERLINK("http://www.windermere.com/index.cfm?fuseaction=Listing.MultiImageViewer&amp;ListingID=19261837&amp;ln=28012906&amp;pub_mls=1","More")</f>
        <v>More</v>
      </c>
      <c r="P47" t="s">
        <v>44</v>
      </c>
      <c r="AI47" t="s">
        <v>66</v>
      </c>
      <c r="AJ47">
        <v>98103</v>
      </c>
      <c r="AS47" t="s">
        <v>434</v>
      </c>
      <c r="AT47">
        <v>19261837</v>
      </c>
      <c r="AU47" s="12">
        <v>39495</v>
      </c>
      <c r="BB47" t="s">
        <v>912</v>
      </c>
      <c r="BC47" s="7">
        <v>39469</v>
      </c>
      <c r="BG47">
        <v>26</v>
      </c>
      <c r="BH47" s="17">
        <f t="shared" ca="1" si="0"/>
        <v>58</v>
      </c>
      <c r="BI47" s="17"/>
      <c r="BJ47" s="17"/>
    </row>
    <row r="48" spans="1:63" hidden="1">
      <c r="A48">
        <v>28016234</v>
      </c>
      <c r="B48" s="2" t="str">
        <f>HYPERLINK("http://www.windermere.com/index.cfm?fuseaction=Listing.ListingDetail&amp;ListingID=19293598","Active")</f>
        <v>Active</v>
      </c>
      <c r="D48" t="s">
        <v>42</v>
      </c>
      <c r="E48" t="s">
        <v>435</v>
      </c>
      <c r="F48" s="10">
        <v>339000</v>
      </c>
      <c r="G48" t="s">
        <v>147</v>
      </c>
      <c r="H48" s="1">
        <v>1471</v>
      </c>
      <c r="J48">
        <v>3</v>
      </c>
      <c r="K48">
        <v>2.5</v>
      </c>
      <c r="M48" s="2" t="str">
        <f>HYPERLINK("http://www.windermere.com/index.cfm?fuseaction=Listing.MapPropertyInteractive&amp;ListingID=19293598&amp;resize=true&amp;windowWidth=800&amp;windowHeight=600","Map")</f>
        <v>Map</v>
      </c>
      <c r="O48" s="2" t="str">
        <f>HYPERLINK("http://www.windermere.com/index.cfm?fuseaction=Listing.MultiImageViewer&amp;ListingID=19293598&amp;ln=28016234&amp;pub_mls=1","More")</f>
        <v>More</v>
      </c>
      <c r="AI48" t="s">
        <v>66</v>
      </c>
      <c r="AJ48">
        <v>98133</v>
      </c>
      <c r="AS48" t="s">
        <v>436</v>
      </c>
      <c r="AT48">
        <v>19293598</v>
      </c>
      <c r="AU48" s="12">
        <v>39495</v>
      </c>
      <c r="BB48" t="s">
        <v>912</v>
      </c>
      <c r="BC48" s="7">
        <v>39476</v>
      </c>
      <c r="BG48">
        <v>19</v>
      </c>
      <c r="BH48" s="17">
        <f t="shared" ca="1" si="0"/>
        <v>51</v>
      </c>
      <c r="BI48" s="17"/>
      <c r="BJ48" s="17"/>
    </row>
    <row r="49" spans="1:63" hidden="1">
      <c r="A49">
        <v>27202070</v>
      </c>
      <c r="B49" s="2" t="str">
        <f>HYPERLINK("http://www.windermere.com/index.cfm?fuseaction=Listing.ListingDetail&amp;ListingID=18978903","Active")</f>
        <v>Active</v>
      </c>
      <c r="D49" t="s">
        <v>920</v>
      </c>
      <c r="E49" t="s">
        <v>445</v>
      </c>
      <c r="F49" s="10">
        <v>339950</v>
      </c>
      <c r="G49" t="s">
        <v>137</v>
      </c>
      <c r="H49">
        <v>880</v>
      </c>
      <c r="I49">
        <v>6024</v>
      </c>
      <c r="J49">
        <v>2</v>
      </c>
      <c r="K49">
        <v>1</v>
      </c>
      <c r="M49" s="2" t="str">
        <f>HYPERLINK("http://www.windermere.com/index.cfm?fuseaction=Listing.MapPropertyInteractive&amp;ListingID=18978903&amp;resize=true&amp;windowWidth=800&amp;windowHeight=600","Map")</f>
        <v>Map</v>
      </c>
      <c r="O49" s="2" t="str">
        <f>HYPERLINK("http://www.windermere.com/index.cfm?fuseaction=viewGallery.Home&amp;customTourID=199286&amp;wvt=0","More")</f>
        <v>More</v>
      </c>
      <c r="P49" t="s">
        <v>44</v>
      </c>
      <c r="AI49" t="s">
        <v>66</v>
      </c>
      <c r="AJ49">
        <v>98133</v>
      </c>
      <c r="AS49" t="s">
        <v>446</v>
      </c>
      <c r="AT49">
        <v>18978903</v>
      </c>
      <c r="AU49" s="12">
        <v>39495</v>
      </c>
      <c r="BB49" t="s">
        <v>912</v>
      </c>
      <c r="BC49" s="7">
        <v>39401</v>
      </c>
      <c r="BG49">
        <v>94</v>
      </c>
      <c r="BH49" s="17">
        <f t="shared" ca="1" si="0"/>
        <v>126</v>
      </c>
      <c r="BI49" s="17"/>
      <c r="BJ49" s="17"/>
    </row>
    <row r="50" spans="1:63" hidden="1">
      <c r="A50">
        <v>27204669</v>
      </c>
      <c r="B50" s="2" t="str">
        <f>HYPERLINK("http://www.windermere.com/index.cfm?fuseaction=Listing.ListingDetail&amp;ListingID=19000289","Active")</f>
        <v>Active</v>
      </c>
      <c r="D50" t="s">
        <v>100</v>
      </c>
      <c r="E50" t="s">
        <v>439</v>
      </c>
      <c r="F50" s="13">
        <v>319950</v>
      </c>
      <c r="G50" t="s">
        <v>440</v>
      </c>
      <c r="H50">
        <v>820</v>
      </c>
      <c r="I50">
        <v>2500</v>
      </c>
      <c r="J50">
        <v>2</v>
      </c>
      <c r="K50">
        <v>1</v>
      </c>
      <c r="M50" s="2" t="str">
        <f>HYPERLINK("http://www.windermere.com/index.cfm?fuseaction=Listing.MapPropertyInteractive&amp;ListingID=19000289&amp;resize=true&amp;windowWidth=800&amp;windowHeight=600","Map")</f>
        <v>Map</v>
      </c>
      <c r="P50" t="s">
        <v>44</v>
      </c>
      <c r="AI50" t="s">
        <v>66</v>
      </c>
      <c r="AJ50">
        <v>98103</v>
      </c>
      <c r="AS50" t="s">
        <v>441</v>
      </c>
      <c r="AT50">
        <v>19000289</v>
      </c>
      <c r="AU50" s="12">
        <v>39495</v>
      </c>
      <c r="BB50" t="s">
        <v>912</v>
      </c>
      <c r="BC50" s="7">
        <v>39406</v>
      </c>
      <c r="BG50">
        <v>89</v>
      </c>
      <c r="BH50" s="17">
        <f t="shared" ca="1" si="0"/>
        <v>121</v>
      </c>
      <c r="BI50" s="17"/>
      <c r="BJ50" s="17"/>
    </row>
    <row r="51" spans="1:63" hidden="1">
      <c r="A51">
        <v>28011583</v>
      </c>
      <c r="B51" s="2" t="str">
        <f>HYPERLINK("http://www.windermere.com/index.cfm?fuseaction=Listing.ListingDetail&amp;ListingID=19246531","Active")</f>
        <v>Active</v>
      </c>
      <c r="D51" t="s">
        <v>100</v>
      </c>
      <c r="E51" t="s">
        <v>442</v>
      </c>
      <c r="F51" s="10">
        <v>339950</v>
      </c>
      <c r="G51" t="s">
        <v>443</v>
      </c>
      <c r="J51">
        <v>2</v>
      </c>
      <c r="K51">
        <v>1</v>
      </c>
      <c r="M51" s="2" t="str">
        <f>HYPERLINK("http://www.windermere.com/index.cfm?fuseaction=Listing.MapPropertyInteractive&amp;ListingID=19246531&amp;resize=true&amp;windowWidth=800&amp;windowHeight=600","Map")</f>
        <v>Map</v>
      </c>
      <c r="O51" s="2" t="str">
        <f>HYPERLINK("http://www.windermere.com/index.cfm?fuseaction=Listing.MultiImageViewer&amp;ListingID=19246531&amp;ln=28011583&amp;pub_mls=1","More")</f>
        <v>More</v>
      </c>
      <c r="P51" t="s">
        <v>44</v>
      </c>
      <c r="AI51" t="s">
        <v>66</v>
      </c>
      <c r="AJ51">
        <v>98103</v>
      </c>
      <c r="AS51" t="s">
        <v>444</v>
      </c>
      <c r="AT51">
        <v>19246531</v>
      </c>
      <c r="AU51" s="12">
        <v>39495</v>
      </c>
      <c r="BB51" t="s">
        <v>912</v>
      </c>
      <c r="BC51" s="7">
        <v>39465</v>
      </c>
      <c r="BG51">
        <v>30</v>
      </c>
      <c r="BH51" s="17">
        <f t="shared" ca="1" si="0"/>
        <v>62</v>
      </c>
      <c r="BI51" s="17"/>
      <c r="BJ51" s="17"/>
    </row>
    <row r="52" spans="1:63" hidden="1">
      <c r="A52">
        <v>28022372</v>
      </c>
      <c r="B52" s="2" t="str">
        <f>HYPERLINK("http://www.windermere.com/index.cfm?fuseaction=Listing.ListingDetail&amp;ListingID=19345068","Active")</f>
        <v>Active</v>
      </c>
      <c r="D52" t="s">
        <v>42</v>
      </c>
      <c r="E52" t="s">
        <v>437</v>
      </c>
      <c r="F52" s="10">
        <v>339950</v>
      </c>
      <c r="G52" t="s">
        <v>247</v>
      </c>
      <c r="H52" s="1">
        <v>1621</v>
      </c>
      <c r="J52">
        <v>3</v>
      </c>
      <c r="K52">
        <v>3.5</v>
      </c>
      <c r="M52" s="2" t="str">
        <f>HYPERLINK("http://www.windermere.com/index.cfm?fuseaction=Listing.MapPropertyInteractive&amp;ListingID=19345068&amp;resize=true&amp;windowWidth=800&amp;windowHeight=600","Map")</f>
        <v>Map</v>
      </c>
      <c r="O52" s="2" t="str">
        <f>HYPERLINK("http://www.windermere.com/index.cfm?fuseaction=Listing.MultiImageViewer&amp;ListingID=19345068&amp;ln=28022372&amp;pub_mls=1","More")</f>
        <v>More</v>
      </c>
      <c r="AI52" t="s">
        <v>66</v>
      </c>
      <c r="AJ52">
        <v>98133</v>
      </c>
      <c r="AS52" t="s">
        <v>438</v>
      </c>
      <c r="AT52">
        <v>19345068</v>
      </c>
      <c r="AU52" s="12">
        <v>39495</v>
      </c>
      <c r="BB52" t="s">
        <v>912</v>
      </c>
      <c r="BC52" s="7">
        <v>39486</v>
      </c>
      <c r="BG52">
        <v>9</v>
      </c>
      <c r="BH52" s="17">
        <f t="shared" ca="1" si="0"/>
        <v>41</v>
      </c>
      <c r="BI52" s="17"/>
      <c r="BJ52" s="17"/>
    </row>
    <row r="53" spans="1:63" hidden="1">
      <c r="A53">
        <v>28006035</v>
      </c>
      <c r="B53" s="2" t="str">
        <f>HYPERLINK("http://www.windermere.com/index.cfm?fuseaction=Listing.ListingDetail&amp;ListingID=19386011","Active")</f>
        <v>Active</v>
      </c>
      <c r="D53" t="s">
        <v>920</v>
      </c>
      <c r="E53" t="s">
        <v>1334</v>
      </c>
      <c r="F53" s="10">
        <v>340000</v>
      </c>
      <c r="G53" t="s">
        <v>156</v>
      </c>
      <c r="H53">
        <v>810</v>
      </c>
      <c r="I53">
        <v>6272</v>
      </c>
      <c r="J53">
        <v>2</v>
      </c>
      <c r="K53">
        <v>1</v>
      </c>
      <c r="M53" s="2" t="str">
        <f>HYPERLINK("http://www.windermere.com/index.cfm?fuseaction=Listing.MapPropertyInteractive&amp;ListingID=19386011&amp;resize=true&amp;windowWidth=800&amp;windowHeight=600","Map")</f>
        <v>Map</v>
      </c>
      <c r="O53" s="2" t="str">
        <f>HYPERLINK("http://www.windermere.com/index.cfm?fuseaction=Listing.MultiImageViewer&amp;ListingID=19386011&amp;ln=28006035&amp;pub_mls=1","More")</f>
        <v>More</v>
      </c>
      <c r="AI53" t="s">
        <v>66</v>
      </c>
      <c r="AJ53">
        <v>98125</v>
      </c>
      <c r="AS53" t="s">
        <v>1335</v>
      </c>
      <c r="AT53">
        <v>19386011</v>
      </c>
      <c r="AU53" s="7">
        <v>39496</v>
      </c>
      <c r="BB53" t="s">
        <v>912</v>
      </c>
      <c r="BC53" s="7">
        <v>39457</v>
      </c>
      <c r="BD53">
        <v>2</v>
      </c>
      <c r="BE53" t="s">
        <v>1348</v>
      </c>
      <c r="BG53">
        <v>39</v>
      </c>
      <c r="BH53" s="17">
        <f t="shared" ca="1" si="0"/>
        <v>70</v>
      </c>
      <c r="BI53" s="17"/>
      <c r="BJ53" s="17"/>
    </row>
    <row r="54" spans="1:63" hidden="1">
      <c r="A54">
        <v>28018855</v>
      </c>
      <c r="B54" s="2" t="str">
        <f>HYPERLINK("http://www.windermere.com/index.cfm?fuseaction=Listing.ListingDetail&amp;ListingID=19305143","Active")</f>
        <v>Active</v>
      </c>
      <c r="D54" t="s">
        <v>55</v>
      </c>
      <c r="E54" t="s">
        <v>447</v>
      </c>
      <c r="F54" s="10">
        <v>344000</v>
      </c>
      <c r="G54" t="s">
        <v>247</v>
      </c>
      <c r="H54" s="1">
        <v>1320</v>
      </c>
      <c r="J54">
        <v>2</v>
      </c>
      <c r="K54" s="19">
        <v>2.5</v>
      </c>
      <c r="M54" s="2" t="str">
        <f>HYPERLINK("http://www.windermere.com/index.cfm?fuseaction=Listing.MapPropertyInteractive&amp;ListingID=19305143&amp;resize=true&amp;windowWidth=800&amp;windowHeight=600","Map")</f>
        <v>Map</v>
      </c>
      <c r="O54" s="2" t="str">
        <f>HYPERLINK("http://www.windermere.com/index.cfm?fuseaction=Listing.MultiImageViewer&amp;ListingID=19305143&amp;ln=28018855&amp;pub_mls=1","More")</f>
        <v>More</v>
      </c>
      <c r="AI54" t="s">
        <v>66</v>
      </c>
      <c r="AJ54">
        <v>98133</v>
      </c>
      <c r="AS54" t="s">
        <v>448</v>
      </c>
      <c r="AT54">
        <v>19305143</v>
      </c>
      <c r="AU54" s="12">
        <v>39495</v>
      </c>
      <c r="BB54" t="s">
        <v>912</v>
      </c>
      <c r="BC54" s="7">
        <v>39478</v>
      </c>
      <c r="BG54">
        <v>17</v>
      </c>
      <c r="BH54" s="17">
        <f t="shared" ca="1" si="0"/>
        <v>49</v>
      </c>
      <c r="BI54" s="17"/>
      <c r="BJ54" s="17"/>
    </row>
    <row r="55" spans="1:63" hidden="1">
      <c r="A55">
        <v>27186885</v>
      </c>
      <c r="B55" s="15" t="str">
        <f>HYPERLINK("http://www.windermere.com/index.cfm?fuseaction=Listing.ListingDetail&amp;ListingID=18817082","Subject To Inspection")</f>
        <v>Subject To Inspection</v>
      </c>
      <c r="D55" t="s">
        <v>70</v>
      </c>
      <c r="E55" t="s">
        <v>449</v>
      </c>
      <c r="F55" s="10">
        <v>344888</v>
      </c>
      <c r="G55" t="s">
        <v>147</v>
      </c>
      <c r="H55" s="1">
        <v>1515</v>
      </c>
      <c r="J55">
        <v>3</v>
      </c>
      <c r="K55">
        <v>2.25</v>
      </c>
      <c r="M55" s="2" t="str">
        <f>HYPERLINK("http://www.windermere.com/index.cfm?fuseaction=Listing.MapPropertyInteractive&amp;ListingID=18817082&amp;resize=true&amp;windowWidth=800&amp;windowHeight=600","Map")</f>
        <v>Map</v>
      </c>
      <c r="O55" s="2" t="str">
        <f>HYPERLINK("http://www.windermere.com/index.cfm?fuseaction=Listing.MultiImageViewer&amp;ListingID=18817082&amp;ln=27186885&amp;pub_mls=1","More")</f>
        <v>More</v>
      </c>
      <c r="AI55" t="s">
        <v>66</v>
      </c>
      <c r="AJ55">
        <v>98133</v>
      </c>
      <c r="AS55" t="s">
        <v>450</v>
      </c>
      <c r="AT55">
        <v>18817082</v>
      </c>
      <c r="AU55" s="12">
        <v>39495</v>
      </c>
      <c r="BB55" t="s">
        <v>912</v>
      </c>
      <c r="BC55" s="7">
        <v>39371</v>
      </c>
      <c r="BE55" t="s">
        <v>1437</v>
      </c>
      <c r="BG55">
        <v>124</v>
      </c>
      <c r="BH55" s="17">
        <f t="shared" ca="1" si="0"/>
        <v>156</v>
      </c>
      <c r="BI55" s="17"/>
      <c r="BJ55" s="17"/>
    </row>
    <row r="56" spans="1:63" hidden="1">
      <c r="A56">
        <v>27187691</v>
      </c>
      <c r="B56" s="2" t="str">
        <f>HYPERLINK("http://www.windermere.com/index.cfm?fuseaction=Listing.ListingDetail&amp;ListingID=18826288","Active")</f>
        <v>Active</v>
      </c>
      <c r="D56" t="s">
        <v>70</v>
      </c>
      <c r="E56" t="s">
        <v>457</v>
      </c>
      <c r="F56" s="10">
        <v>344888</v>
      </c>
      <c r="G56" t="s">
        <v>147</v>
      </c>
      <c r="H56" s="1">
        <v>1413</v>
      </c>
      <c r="J56">
        <v>3</v>
      </c>
      <c r="K56">
        <v>2.25</v>
      </c>
      <c r="M56" s="2" t="str">
        <f>HYPERLINK("http://www.windermere.com/index.cfm?fuseaction=Listing.MapPropertyInteractive&amp;ListingID=18826288&amp;resize=true&amp;windowWidth=800&amp;windowHeight=600","Map")</f>
        <v>Map</v>
      </c>
      <c r="O56" s="2" t="str">
        <f>HYPERLINK("http://www.windermere.com/index.cfm?fuseaction=Listing.MultiImageViewer&amp;ListingID=18826288&amp;ln=27187691&amp;pub_mls=1","More")</f>
        <v>More</v>
      </c>
      <c r="AI56" t="s">
        <v>66</v>
      </c>
      <c r="AJ56">
        <v>98133</v>
      </c>
      <c r="AS56" t="s">
        <v>458</v>
      </c>
      <c r="AT56">
        <v>18826288</v>
      </c>
      <c r="AU56" s="12">
        <v>39495</v>
      </c>
      <c r="BB56" t="s">
        <v>912</v>
      </c>
      <c r="BC56" s="7">
        <v>39372</v>
      </c>
      <c r="BG56">
        <v>123</v>
      </c>
      <c r="BH56" s="17">
        <f t="shared" ca="1" si="0"/>
        <v>155</v>
      </c>
      <c r="BI56" s="17"/>
      <c r="BJ56" s="17"/>
    </row>
    <row r="57" spans="1:63" hidden="1">
      <c r="A57">
        <v>27193940</v>
      </c>
      <c r="B57" s="2" t="str">
        <f>HYPERLINK("http://www.windermere.com/index.cfm?fuseaction=Listing.ListingDetail&amp;ListingID=18883849","Active")</f>
        <v>Active</v>
      </c>
      <c r="D57" t="s">
        <v>70</v>
      </c>
      <c r="E57" t="s">
        <v>455</v>
      </c>
      <c r="F57" s="10">
        <v>344888</v>
      </c>
      <c r="G57" t="s">
        <v>147</v>
      </c>
      <c r="H57" s="1">
        <v>1413</v>
      </c>
      <c r="J57">
        <v>3</v>
      </c>
      <c r="K57">
        <v>2.25</v>
      </c>
      <c r="M57" s="2" t="str">
        <f>HYPERLINK("http://www.windermere.com/index.cfm?fuseaction=Listing.MapPropertyInteractive&amp;ListingID=18883849&amp;resize=true&amp;windowWidth=800&amp;windowHeight=600","Map")</f>
        <v>Map</v>
      </c>
      <c r="O57" s="2" t="str">
        <f>HYPERLINK("http://www.windermere.com/index.cfm?fuseaction=Listing.MultiImageViewer&amp;ListingID=18883849&amp;ln=27193940&amp;pub_mls=1","More")</f>
        <v>More</v>
      </c>
      <c r="AI57" t="s">
        <v>66</v>
      </c>
      <c r="AJ57">
        <v>98133</v>
      </c>
      <c r="AS57" t="s">
        <v>456</v>
      </c>
      <c r="AT57">
        <v>18883849</v>
      </c>
      <c r="AU57" s="12">
        <v>39495</v>
      </c>
      <c r="BB57" t="s">
        <v>912</v>
      </c>
      <c r="BC57" s="7">
        <v>39384</v>
      </c>
      <c r="BG57">
        <v>111</v>
      </c>
      <c r="BH57" s="17">
        <f t="shared" ca="1" si="0"/>
        <v>143</v>
      </c>
      <c r="BI57" s="17"/>
      <c r="BJ57" s="17"/>
    </row>
    <row r="58" spans="1:63" hidden="1">
      <c r="A58">
        <v>27193941</v>
      </c>
      <c r="B58" s="2" t="str">
        <f>HYPERLINK("http://www.windermere.com/index.cfm?fuseaction=Listing.ListingDetail&amp;ListingID=18883850","Active")</f>
        <v>Active</v>
      </c>
      <c r="D58" t="s">
        <v>70</v>
      </c>
      <c r="E58" t="s">
        <v>453</v>
      </c>
      <c r="F58" s="10">
        <v>344888</v>
      </c>
      <c r="G58" t="s">
        <v>147</v>
      </c>
      <c r="H58" s="1">
        <v>1450</v>
      </c>
      <c r="J58">
        <v>3</v>
      </c>
      <c r="K58">
        <v>2.25</v>
      </c>
      <c r="M58" s="2" t="str">
        <f>HYPERLINK("http://www.windermere.com/index.cfm?fuseaction=Listing.MapPropertyInteractive&amp;ListingID=18883850&amp;resize=true&amp;windowWidth=800&amp;windowHeight=600","Map")</f>
        <v>Map</v>
      </c>
      <c r="O58" s="2" t="str">
        <f>HYPERLINK("http://www.windermere.com/index.cfm?fuseaction=Listing.MultiImageViewer&amp;ListingID=18883850&amp;ln=27193941&amp;pub_mls=1","More")</f>
        <v>More</v>
      </c>
      <c r="AI58" t="s">
        <v>66</v>
      </c>
      <c r="AJ58">
        <v>98133</v>
      </c>
      <c r="AS58" t="s">
        <v>454</v>
      </c>
      <c r="AT58">
        <v>18883850</v>
      </c>
      <c r="AU58" s="12">
        <v>39495</v>
      </c>
      <c r="BB58" t="s">
        <v>912</v>
      </c>
      <c r="BC58" s="7">
        <v>39384</v>
      </c>
      <c r="BG58">
        <v>111</v>
      </c>
      <c r="BH58" s="17">
        <f t="shared" ca="1" si="0"/>
        <v>143</v>
      </c>
      <c r="BI58" s="17"/>
      <c r="BJ58" s="17"/>
    </row>
    <row r="59" spans="1:63" hidden="1">
      <c r="A59">
        <v>27193943</v>
      </c>
      <c r="B59" s="2" t="str">
        <f>HYPERLINK("http://www.windermere.com/index.cfm?fuseaction=Listing.ListingDetail&amp;ListingID=18883851","Subject To Inspection")</f>
        <v>Subject To Inspection</v>
      </c>
      <c r="D59" t="s">
        <v>70</v>
      </c>
      <c r="E59" t="s">
        <v>451</v>
      </c>
      <c r="F59" s="10">
        <v>344888</v>
      </c>
      <c r="G59" t="s">
        <v>147</v>
      </c>
      <c r="H59" s="1">
        <v>1479</v>
      </c>
      <c r="J59">
        <v>3</v>
      </c>
      <c r="K59">
        <v>2.25</v>
      </c>
      <c r="M59" s="2" t="str">
        <f>HYPERLINK("http://www.windermere.com/index.cfm?fuseaction=Listing.MapPropertyInteractive&amp;ListingID=18883851&amp;resize=true&amp;windowWidth=800&amp;windowHeight=600","Map")</f>
        <v>Map</v>
      </c>
      <c r="O59" s="2" t="str">
        <f>HYPERLINK("http://www.windermere.com/index.cfm?fuseaction=Listing.MultiImageViewer&amp;ListingID=18883851&amp;ln=27193943&amp;pub_mls=1","More")</f>
        <v>More</v>
      </c>
      <c r="AI59" t="s">
        <v>66</v>
      </c>
      <c r="AJ59">
        <v>98133</v>
      </c>
      <c r="AS59" t="s">
        <v>452</v>
      </c>
      <c r="AT59">
        <v>18883851</v>
      </c>
      <c r="AU59" s="12">
        <v>39495</v>
      </c>
      <c r="BB59" t="s">
        <v>912</v>
      </c>
      <c r="BC59" s="7">
        <v>39385</v>
      </c>
      <c r="BG59">
        <v>110</v>
      </c>
      <c r="BH59" s="17">
        <f t="shared" ca="1" si="0"/>
        <v>142</v>
      </c>
      <c r="BI59" s="17"/>
      <c r="BJ59" s="17"/>
      <c r="BK59" t="str">
        <f>B59</f>
        <v>Subject To Inspection</v>
      </c>
    </row>
    <row r="60" spans="1:63" hidden="1">
      <c r="A60">
        <v>28023714</v>
      </c>
      <c r="B60" s="2" t="str">
        <f>HYPERLINK("http://www.windermere.com/index.cfm?fuseaction=Listing.ListingDetail&amp;ListingID=19344609","Active")</f>
        <v>Active</v>
      </c>
      <c r="D60" t="s">
        <v>184</v>
      </c>
      <c r="E60" t="s">
        <v>459</v>
      </c>
      <c r="F60" s="10">
        <v>344888</v>
      </c>
      <c r="G60" t="s">
        <v>247</v>
      </c>
      <c r="H60" s="1">
        <v>1400</v>
      </c>
      <c r="J60">
        <v>3</v>
      </c>
      <c r="K60">
        <v>2</v>
      </c>
      <c r="M60" s="2" t="str">
        <f>HYPERLINK("http://www.windermere.com/index.cfm?fuseaction=Listing.MapPropertyInteractive&amp;ListingID=19344609&amp;resize=true&amp;windowWidth=800&amp;windowHeight=600","Map")</f>
        <v>Map</v>
      </c>
      <c r="O60" s="2" t="str">
        <f>HYPERLINK("http://www.windermere.com/index.cfm?fuseaction=Listing.MultiImageViewer&amp;ListingID=19344609&amp;ln=28023714&amp;pub_mls=1","More")</f>
        <v>More</v>
      </c>
      <c r="P60" t="s">
        <v>44</v>
      </c>
      <c r="AI60" t="s">
        <v>66</v>
      </c>
      <c r="AJ60">
        <v>98125</v>
      </c>
      <c r="AS60" t="s">
        <v>460</v>
      </c>
      <c r="AT60">
        <v>19344609</v>
      </c>
      <c r="AU60" s="12">
        <v>39495</v>
      </c>
      <c r="BB60" t="s">
        <v>912</v>
      </c>
      <c r="BC60" s="7">
        <v>39486</v>
      </c>
      <c r="BG60">
        <v>9</v>
      </c>
      <c r="BH60" s="17">
        <f t="shared" ca="1" si="0"/>
        <v>41</v>
      </c>
      <c r="BI60" s="17"/>
      <c r="BJ60" s="17"/>
    </row>
    <row r="61" spans="1:63" hidden="1">
      <c r="A61">
        <v>28006840</v>
      </c>
      <c r="B61" s="2" t="str">
        <f>HYPERLINK("http://www.windermere.com/index.cfm?fuseaction=Listing.ListingDetail&amp;ListingID=19200062","Active")</f>
        <v>Active</v>
      </c>
      <c r="D61" t="s">
        <v>60</v>
      </c>
      <c r="E61" t="s">
        <v>463</v>
      </c>
      <c r="F61" s="10">
        <v>345000</v>
      </c>
      <c r="G61" t="s">
        <v>128</v>
      </c>
      <c r="J61">
        <v>2</v>
      </c>
      <c r="K61">
        <v>1.5</v>
      </c>
      <c r="M61" s="2" t="str">
        <f>HYPERLINK("http://www.windermere.com/index.cfm?fuseaction=Listing.MapPropertyInteractive&amp;ListingID=19200062&amp;resize=true&amp;windowWidth=800&amp;windowHeight=600","Map")</f>
        <v>Map</v>
      </c>
      <c r="O61" s="2" t="str">
        <f>HYPERLINK("http://www.windermere.com/index.cfm?fuseaction=viewGallery.Home&amp;customTourID=204019&amp;wvt=0","More")</f>
        <v>More</v>
      </c>
      <c r="P61" t="s">
        <v>44</v>
      </c>
      <c r="AI61" t="s">
        <v>66</v>
      </c>
      <c r="AJ61">
        <v>98103</v>
      </c>
      <c r="AS61" t="s">
        <v>464</v>
      </c>
      <c r="AT61">
        <v>19200062</v>
      </c>
      <c r="AU61" s="12">
        <v>39495</v>
      </c>
      <c r="BB61" t="s">
        <v>912</v>
      </c>
      <c r="BC61" s="7">
        <v>39458</v>
      </c>
      <c r="BG61">
        <v>37</v>
      </c>
      <c r="BH61" s="17">
        <f t="shared" ca="1" si="0"/>
        <v>69</v>
      </c>
      <c r="BI61" s="17"/>
      <c r="BJ61" s="17"/>
    </row>
    <row r="62" spans="1:63" hidden="1">
      <c r="A62">
        <v>28018719</v>
      </c>
      <c r="B62" s="15" t="str">
        <f>HYPERLINK("http://www.windermere.com/index.cfm?fuseaction=Listing.ListingDetail&amp;ListingID=19304377","Subject To Inspection")</f>
        <v>Subject To Inspection</v>
      </c>
      <c r="D62" t="s">
        <v>66</v>
      </c>
      <c r="E62" t="s">
        <v>461</v>
      </c>
      <c r="F62" s="10">
        <v>345000</v>
      </c>
      <c r="G62" t="s">
        <v>130</v>
      </c>
      <c r="H62" s="1">
        <v>2060</v>
      </c>
      <c r="I62">
        <v>7200</v>
      </c>
      <c r="J62">
        <v>3</v>
      </c>
      <c r="K62">
        <v>1.5</v>
      </c>
      <c r="M62" s="2" t="str">
        <f>HYPERLINK("http://www.windermere.com/index.cfm?fuseaction=Listing.MapPropertyInteractive&amp;ListingID=19304377&amp;resize=true&amp;windowWidth=800&amp;windowHeight=600","Map")</f>
        <v>Map</v>
      </c>
      <c r="O62" s="2" t="str">
        <f>HYPERLINK("http://www.windermere.com/index.cfm?fuseaction=Listing.MultiImageViewer&amp;ListingID=19304377&amp;ln=28018719&amp;pub_mls=1","More")</f>
        <v>More</v>
      </c>
      <c r="AI62" t="s">
        <v>66</v>
      </c>
      <c r="AJ62">
        <v>98133</v>
      </c>
      <c r="AS62" t="s">
        <v>462</v>
      </c>
      <c r="AT62">
        <v>19304377</v>
      </c>
      <c r="AU62" s="12">
        <v>39495</v>
      </c>
      <c r="BB62" t="s">
        <v>912</v>
      </c>
      <c r="BC62" s="7">
        <v>39478</v>
      </c>
      <c r="BD62">
        <v>3</v>
      </c>
      <c r="BE62" t="s">
        <v>1438</v>
      </c>
      <c r="BG62">
        <v>17</v>
      </c>
      <c r="BH62" s="17">
        <f t="shared" ca="1" si="0"/>
        <v>49</v>
      </c>
      <c r="BI62" s="17"/>
      <c r="BJ62" s="17"/>
    </row>
    <row r="63" spans="1:63" hidden="1">
      <c r="A63">
        <v>28028259</v>
      </c>
      <c r="B63" s="15" t="str">
        <f>HYPERLINK("http://www.windermere.com/index.cfm?fuseaction=Listing.ListingDetail&amp;ListingID=19379302","Subject To Inspection")</f>
        <v>Subject To Inspection</v>
      </c>
      <c r="D63" t="s">
        <v>184</v>
      </c>
      <c r="E63" t="s">
        <v>469</v>
      </c>
      <c r="F63" s="10">
        <v>348888</v>
      </c>
      <c r="G63" t="s">
        <v>147</v>
      </c>
      <c r="H63" s="1">
        <v>1547</v>
      </c>
      <c r="J63">
        <v>3</v>
      </c>
      <c r="K63">
        <v>2.5</v>
      </c>
      <c r="M63" s="2" t="str">
        <f>HYPERLINK("http://www.windermere.com/index.cfm?fuseaction=Listing.MapPropertyInteractive&amp;ListingID=19379302&amp;resize=true&amp;windowWidth=800&amp;windowHeight=600","Map")</f>
        <v>Map</v>
      </c>
      <c r="O63" s="2" t="str">
        <f>HYPERLINK("http://www.windermere.com/index.cfm?fuseaction=Listing.MultiImageViewer&amp;ListingID=19379302&amp;ln=28028259&amp;pub_mls=1","More")</f>
        <v>More</v>
      </c>
      <c r="AI63" t="s">
        <v>66</v>
      </c>
      <c r="AJ63">
        <v>98125</v>
      </c>
      <c r="AS63" t="s">
        <v>470</v>
      </c>
      <c r="AT63">
        <v>19379302</v>
      </c>
      <c r="AU63" s="12">
        <v>39495</v>
      </c>
      <c r="BB63" t="s">
        <v>912</v>
      </c>
      <c r="BC63" s="7">
        <v>39493</v>
      </c>
      <c r="BG63">
        <v>2</v>
      </c>
      <c r="BH63" s="17">
        <f t="shared" ca="1" si="0"/>
        <v>34</v>
      </c>
      <c r="BI63" s="17"/>
      <c r="BJ63" s="17"/>
      <c r="BK63" t="str">
        <f>B63</f>
        <v>Subject To Inspection</v>
      </c>
    </row>
    <row r="64" spans="1:63" hidden="1">
      <c r="A64">
        <v>28028260</v>
      </c>
      <c r="B64" s="2" t="str">
        <f>HYPERLINK("http://www.windermere.com/index.cfm?fuseaction=Listing.ListingDetail&amp;ListingID=19379306","Active")</f>
        <v>Active</v>
      </c>
      <c r="D64" t="s">
        <v>184</v>
      </c>
      <c r="E64" t="s">
        <v>465</v>
      </c>
      <c r="F64" s="10">
        <v>348888</v>
      </c>
      <c r="G64" t="s">
        <v>147</v>
      </c>
      <c r="H64" s="1">
        <v>1547</v>
      </c>
      <c r="J64">
        <v>3</v>
      </c>
      <c r="K64">
        <v>2.5</v>
      </c>
      <c r="M64" s="2" t="str">
        <f>HYPERLINK("http://www.windermere.com/index.cfm?fuseaction=Listing.MapPropertyInteractive&amp;ListingID=19379306&amp;resize=true&amp;windowWidth=800&amp;windowHeight=600","Map")</f>
        <v>Map</v>
      </c>
      <c r="O64" s="2" t="str">
        <f>HYPERLINK("http://www.windermere.com/index.cfm?fuseaction=Listing.MultiImageViewer&amp;ListingID=19379306&amp;ln=28028260&amp;pub_mls=1","More")</f>
        <v>More</v>
      </c>
      <c r="AI64" t="s">
        <v>66</v>
      </c>
      <c r="AJ64">
        <v>98125</v>
      </c>
      <c r="AS64" t="s">
        <v>466</v>
      </c>
      <c r="AT64">
        <v>19379306</v>
      </c>
      <c r="AU64" s="12">
        <v>39495</v>
      </c>
      <c r="BB64" t="s">
        <v>912</v>
      </c>
      <c r="BC64" s="7">
        <v>39493</v>
      </c>
      <c r="BG64">
        <v>2</v>
      </c>
      <c r="BH64" s="17">
        <f t="shared" ca="1" si="0"/>
        <v>34</v>
      </c>
      <c r="BI64" s="17"/>
      <c r="BJ64" s="17"/>
    </row>
    <row r="65" spans="1:63" hidden="1">
      <c r="A65">
        <v>28028261</v>
      </c>
      <c r="B65" s="2" t="str">
        <f>HYPERLINK("http://www.windermere.com/index.cfm?fuseaction=Listing.ListingDetail&amp;ListingID=19379299","Active")</f>
        <v>Active</v>
      </c>
      <c r="D65" t="s">
        <v>184</v>
      </c>
      <c r="E65" t="s">
        <v>467</v>
      </c>
      <c r="F65" s="10">
        <v>348888</v>
      </c>
      <c r="G65" t="s">
        <v>147</v>
      </c>
      <c r="H65" s="1">
        <v>1547</v>
      </c>
      <c r="J65">
        <v>3</v>
      </c>
      <c r="K65">
        <v>2.5</v>
      </c>
      <c r="M65" s="2" t="str">
        <f>HYPERLINK("http://www.windermere.com/index.cfm?fuseaction=Listing.MapPropertyInteractive&amp;ListingID=19379299&amp;resize=true&amp;windowWidth=800&amp;windowHeight=600","Map")</f>
        <v>Map</v>
      </c>
      <c r="O65" s="2" t="str">
        <f>HYPERLINK("http://www.windermere.com/index.cfm?fuseaction=Listing.MultiImageViewer&amp;ListingID=19379299&amp;ln=28028261&amp;pub_mls=1","More")</f>
        <v>More</v>
      </c>
      <c r="AI65" t="s">
        <v>66</v>
      </c>
      <c r="AJ65">
        <v>98125</v>
      </c>
      <c r="AS65" t="s">
        <v>468</v>
      </c>
      <c r="AT65">
        <v>19379299</v>
      </c>
      <c r="AU65" s="12">
        <v>39495</v>
      </c>
      <c r="BB65" t="s">
        <v>912</v>
      </c>
      <c r="BC65" s="7">
        <v>39493</v>
      </c>
      <c r="BG65">
        <v>2</v>
      </c>
      <c r="BH65" s="17">
        <f t="shared" ca="1" si="0"/>
        <v>34</v>
      </c>
      <c r="BI65" s="17"/>
      <c r="BJ65" s="17"/>
    </row>
    <row r="66" spans="1:63" hidden="1">
      <c r="A66">
        <v>27193580</v>
      </c>
      <c r="B66" s="2" t="str">
        <f>HYPERLINK("http://www.windermere.com/index.cfm?fuseaction=Listing.ListingDetail&amp;ListingID=18914260","Active")</f>
        <v>Active</v>
      </c>
      <c r="D66" t="s">
        <v>60</v>
      </c>
      <c r="E66" t="s">
        <v>473</v>
      </c>
      <c r="F66" s="10">
        <v>349000</v>
      </c>
      <c r="G66" t="s">
        <v>404</v>
      </c>
      <c r="H66" s="1">
        <v>1260</v>
      </c>
      <c r="I66">
        <v>981</v>
      </c>
      <c r="J66">
        <v>3</v>
      </c>
      <c r="K66">
        <v>2.5</v>
      </c>
      <c r="M66" s="2" t="str">
        <f>HYPERLINK("http://www.windermere.com/index.cfm?fuseaction=Listing.MapPropertyInteractive&amp;ListingID=18914260&amp;resize=true&amp;windowWidth=800&amp;windowHeight=600","Map")</f>
        <v>Map</v>
      </c>
      <c r="O66" s="2" t="str">
        <f>HYPERLINK("http://www.windermere.com/index.cfm?fuseaction=viewGallery.Home&amp;customTourID=198927&amp;wvt=0","More")</f>
        <v>More</v>
      </c>
      <c r="P66" t="s">
        <v>44</v>
      </c>
      <c r="AI66" t="s">
        <v>66</v>
      </c>
      <c r="AJ66">
        <v>98103</v>
      </c>
      <c r="AS66" t="s">
        <v>474</v>
      </c>
      <c r="AT66">
        <v>18914260</v>
      </c>
      <c r="AU66" s="12">
        <v>39495</v>
      </c>
      <c r="BB66" t="s">
        <v>912</v>
      </c>
      <c r="BC66" s="7">
        <v>39390</v>
      </c>
      <c r="BG66">
        <v>105</v>
      </c>
      <c r="BH66" s="17">
        <f t="shared" ca="1" si="0"/>
        <v>137</v>
      </c>
      <c r="BI66" s="17"/>
      <c r="BJ66" s="17"/>
    </row>
    <row r="67" spans="1:63" hidden="1">
      <c r="A67">
        <v>28010742</v>
      </c>
      <c r="B67" s="15" t="str">
        <f>HYPERLINK("http://www.windermere.com/index.cfm?fuseaction=Listing.ListingDetail&amp;ListingID=19245355","Subject To Inspection")</f>
        <v>Subject To Inspection</v>
      </c>
      <c r="D67" t="s">
        <v>42</v>
      </c>
      <c r="E67" t="s">
        <v>471</v>
      </c>
      <c r="F67" s="10">
        <v>349000</v>
      </c>
      <c r="G67" t="s">
        <v>157</v>
      </c>
      <c r="I67">
        <v>5250</v>
      </c>
      <c r="J67">
        <v>2</v>
      </c>
      <c r="K67">
        <v>1</v>
      </c>
      <c r="M67" s="2" t="str">
        <f>HYPERLINK("http://www.windermere.com/index.cfm?fuseaction=Listing.MapPropertyInteractive&amp;ListingID=19245355&amp;resize=true&amp;windowWidth=800&amp;windowHeight=600","Map")</f>
        <v>Map</v>
      </c>
      <c r="O67" s="2" t="str">
        <f>HYPERLINK("http://www.windermere.com/index.cfm?fuseaction=Listing.MultiImageViewer&amp;ListingID=19245355&amp;ln=28010742&amp;pub_mls=1","More")</f>
        <v>More</v>
      </c>
      <c r="P67" t="s">
        <v>44</v>
      </c>
      <c r="AI67" t="s">
        <v>66</v>
      </c>
      <c r="AJ67">
        <v>98133</v>
      </c>
      <c r="AS67" t="s">
        <v>472</v>
      </c>
      <c r="AT67">
        <v>19245355</v>
      </c>
      <c r="AU67" s="12">
        <v>39495</v>
      </c>
      <c r="BB67" t="s">
        <v>912</v>
      </c>
      <c r="BC67" s="7">
        <v>39465</v>
      </c>
      <c r="BG67">
        <v>30</v>
      </c>
      <c r="BH67" s="17">
        <f t="shared" ref="BH67:BH130" ca="1" si="1">TODAY()-BC67</f>
        <v>62</v>
      </c>
      <c r="BI67" s="17"/>
      <c r="BJ67" s="17"/>
    </row>
    <row r="68" spans="1:63" hidden="1">
      <c r="A68">
        <v>27192998</v>
      </c>
      <c r="B68" s="2" t="str">
        <f>HYPERLINK("http://www.windermere.com/index.cfm?fuseaction=Listing.ListingDetail&amp;ListingID=18876585","Active")</f>
        <v>Active</v>
      </c>
      <c r="D68" t="s">
        <v>42</v>
      </c>
      <c r="E68" t="s">
        <v>123</v>
      </c>
      <c r="F68" s="10">
        <v>349500</v>
      </c>
      <c r="G68" t="s">
        <v>124</v>
      </c>
      <c r="I68">
        <v>6408</v>
      </c>
      <c r="J68">
        <v>2</v>
      </c>
      <c r="K68">
        <v>1</v>
      </c>
      <c r="M68" s="2" t="str">
        <f>HYPERLINK("http://www.windermere.com/index.cfm?fuseaction=Listing.MapPropertyInteractive&amp;ListingID=18876585&amp;resize=true&amp;windowWidth=800&amp;windowHeight=600","Map")</f>
        <v>Map</v>
      </c>
      <c r="O68" s="2" t="str">
        <f>HYPERLINK("http://www.windermere.com/index.cfm?fuseaction=Listing.MultiImageViewer&amp;ListingID=18876585&amp;ln=27192998&amp;pub_mls=1","More")</f>
        <v>More</v>
      </c>
      <c r="AI68" t="s">
        <v>66</v>
      </c>
      <c r="AJ68">
        <v>98133</v>
      </c>
      <c r="AS68" t="s">
        <v>475</v>
      </c>
      <c r="AT68">
        <v>18876585</v>
      </c>
      <c r="AU68" s="12">
        <v>39495</v>
      </c>
      <c r="BB68" t="s">
        <v>912</v>
      </c>
      <c r="BC68" s="7">
        <v>39382</v>
      </c>
      <c r="BG68">
        <v>113</v>
      </c>
      <c r="BH68" s="17">
        <f t="shared" ca="1" si="1"/>
        <v>145</v>
      </c>
      <c r="BI68" s="17"/>
      <c r="BJ68" s="17"/>
    </row>
    <row r="69" spans="1:63" hidden="1">
      <c r="A69">
        <v>27203216</v>
      </c>
      <c r="B69" s="2" t="str">
        <f>HYPERLINK("http://www.windermere.com/index.cfm?fuseaction=Listing.ListingDetail&amp;ListingID=19239109","Active")</f>
        <v>Active</v>
      </c>
      <c r="D69" t="s">
        <v>63</v>
      </c>
      <c r="E69" t="s">
        <v>327</v>
      </c>
      <c r="F69" s="10">
        <v>349500</v>
      </c>
      <c r="G69" t="s">
        <v>177</v>
      </c>
      <c r="H69">
        <v>840</v>
      </c>
      <c r="I69">
        <v>4800</v>
      </c>
      <c r="J69">
        <v>2</v>
      </c>
      <c r="K69">
        <v>1</v>
      </c>
      <c r="M69" s="2" t="str">
        <f>HYPERLINK("http://www.windermere.com/index.cfm?fuseaction=Listing.MapPropertyInteractive&amp;ListingID=19239109&amp;resize=true&amp;windowWidth=800&amp;windowHeight=600","Map")</f>
        <v>Map</v>
      </c>
      <c r="O69" s="2" t="str">
        <f>HYPERLINK("http://www.windermere.com/index.cfm?fuseaction=Listing.MultiImageViewer&amp;ListingID=19239109&amp;ln=27203216&amp;pub_mls=1","More")</f>
        <v>More</v>
      </c>
      <c r="P69" t="s">
        <v>44</v>
      </c>
      <c r="AI69" t="s">
        <v>66</v>
      </c>
      <c r="AJ69">
        <v>98117</v>
      </c>
      <c r="AS69" t="s">
        <v>328</v>
      </c>
      <c r="AT69">
        <v>19239109</v>
      </c>
      <c r="AU69" s="12">
        <v>39495</v>
      </c>
      <c r="BB69" t="s">
        <v>912</v>
      </c>
      <c r="BC69" s="7">
        <v>39402</v>
      </c>
      <c r="BG69">
        <v>93</v>
      </c>
      <c r="BH69" s="17">
        <f t="shared" ca="1" si="1"/>
        <v>125</v>
      </c>
      <c r="BI69" s="17"/>
      <c r="BJ69" s="17"/>
    </row>
    <row r="70" spans="1:63" hidden="1">
      <c r="A70">
        <v>28019576</v>
      </c>
      <c r="B70" s="2" t="str">
        <f>HYPERLINK("http://www.windermere.com/index.cfm?fuseaction=Listing.ListingDetail&amp;ListingID=19310679","Active")</f>
        <v>Active</v>
      </c>
      <c r="D70" t="s">
        <v>70</v>
      </c>
      <c r="E70" t="s">
        <v>478</v>
      </c>
      <c r="F70" s="13">
        <v>344888</v>
      </c>
      <c r="G70" t="s">
        <v>147</v>
      </c>
      <c r="H70" s="1">
        <v>1662</v>
      </c>
      <c r="J70">
        <v>3</v>
      </c>
      <c r="K70">
        <v>2.25</v>
      </c>
      <c r="M70" s="2" t="str">
        <f>HYPERLINK("http://www.windermere.com/index.cfm?fuseaction=Listing.MapPropertyInteractive&amp;ListingID=19310679&amp;resize=true&amp;windowWidth=800&amp;windowHeight=600","Map")</f>
        <v>Map</v>
      </c>
      <c r="O70" s="2" t="str">
        <f>HYPERLINK("http://www.windermere.com/index.cfm?fuseaction=Listing.MultiImageViewer&amp;ListingID=19310679&amp;ln=28019576&amp;pub_mls=1","More")</f>
        <v>More</v>
      </c>
      <c r="AI70" t="s">
        <v>66</v>
      </c>
      <c r="AJ70">
        <v>98133</v>
      </c>
      <c r="AS70" t="s">
        <v>479</v>
      </c>
      <c r="AT70">
        <v>19310679</v>
      </c>
      <c r="AU70" s="12">
        <v>39495</v>
      </c>
      <c r="BB70" t="s">
        <v>912</v>
      </c>
      <c r="BC70" s="7">
        <v>39479</v>
      </c>
      <c r="BG70">
        <v>16</v>
      </c>
      <c r="BH70" s="17">
        <f t="shared" ca="1" si="1"/>
        <v>48</v>
      </c>
      <c r="BI70" s="17"/>
      <c r="BJ70" s="17"/>
    </row>
    <row r="71" spans="1:63" hidden="1">
      <c r="A71">
        <v>28023734</v>
      </c>
      <c r="B71" s="4" t="str">
        <f>HYPERLINK("http://www.windermere.com/index.cfm?fuseaction=Listing.ListingDetail&amp;ListingID=19344675","Subject To Inspection")</f>
        <v>Subject To Inspection</v>
      </c>
      <c r="D71" t="s">
        <v>184</v>
      </c>
      <c r="E71" t="s">
        <v>476</v>
      </c>
      <c r="F71" s="10">
        <v>349888</v>
      </c>
      <c r="G71" t="s">
        <v>147</v>
      </c>
      <c r="H71" s="1">
        <v>1400</v>
      </c>
      <c r="J71">
        <v>3</v>
      </c>
      <c r="K71">
        <v>2</v>
      </c>
      <c r="M71" s="2" t="str">
        <f>HYPERLINK("http://www.windermere.com/index.cfm?fuseaction=Listing.MapPropertyInteractive&amp;ListingID=19344675&amp;resize=true&amp;windowWidth=800&amp;windowHeight=600","Map")</f>
        <v>Map</v>
      </c>
      <c r="O71" s="2" t="str">
        <f>HYPERLINK("http://www.windermere.com/index.cfm?fuseaction=Listing.MultiImageViewer&amp;ListingID=19344675&amp;ln=28023734&amp;pub_mls=1","More")</f>
        <v>More</v>
      </c>
      <c r="P71" t="s">
        <v>44</v>
      </c>
      <c r="AI71" t="s">
        <v>66</v>
      </c>
      <c r="AJ71">
        <v>98125</v>
      </c>
      <c r="AS71" t="s">
        <v>477</v>
      </c>
      <c r="AT71">
        <v>19344675</v>
      </c>
      <c r="AU71" s="12">
        <v>39495</v>
      </c>
      <c r="BB71" t="s">
        <v>912</v>
      </c>
      <c r="BC71" s="7">
        <v>39486</v>
      </c>
      <c r="BG71">
        <v>9</v>
      </c>
      <c r="BH71" s="17">
        <f t="shared" ca="1" si="1"/>
        <v>41</v>
      </c>
      <c r="BI71" s="17"/>
      <c r="BJ71" s="17"/>
    </row>
    <row r="72" spans="1:63" hidden="1">
      <c r="A72">
        <v>28018165</v>
      </c>
      <c r="B72" s="2" t="str">
        <f>HYPERLINK("http://www.windermere.com/index.cfm?fuseaction=Listing.ListingDetail&amp;ListingID=19336068","Active")</f>
        <v>Active</v>
      </c>
      <c r="C72">
        <v>705</v>
      </c>
      <c r="D72" t="s">
        <v>70</v>
      </c>
      <c r="E72" t="s">
        <v>480</v>
      </c>
      <c r="F72" s="13">
        <v>339900</v>
      </c>
      <c r="G72" t="s">
        <v>162</v>
      </c>
      <c r="H72">
        <v>870</v>
      </c>
      <c r="I72">
        <v>5950</v>
      </c>
      <c r="J72">
        <v>2</v>
      </c>
      <c r="K72">
        <v>1</v>
      </c>
      <c r="M72" s="2" t="str">
        <f>HYPERLINK("http://www.windermere.com/index.cfm?fuseaction=Listing.MapPropertyInteractive&amp;ListingID=19336068&amp;resize=true&amp;windowWidth=800&amp;windowHeight=600","Map")</f>
        <v>Map</v>
      </c>
      <c r="N72" s="2" t="str">
        <f>HYPERLINK("http://locmedia.nwmls.com/DO_NOT_LINK/bigphoto/165/28018165.jpg?tsp=20080207085957","Photo")</f>
        <v>Photo</v>
      </c>
      <c r="O72" s="2" t="str">
        <f>HYPERLINK("http://www.windermere.com/index.cfm?fuseaction=Listing.MultiImageViewer&amp;ListingID=19336068&amp;ln=28018165&amp;pub_mls=1","More")</f>
        <v>More</v>
      </c>
      <c r="P72" t="s">
        <v>44</v>
      </c>
      <c r="Q72" t="s">
        <v>56</v>
      </c>
      <c r="R72" t="s">
        <v>67</v>
      </c>
      <c r="S72" t="s">
        <v>104</v>
      </c>
      <c r="T72" t="s">
        <v>50</v>
      </c>
      <c r="X72" t="s">
        <v>47</v>
      </c>
      <c r="Y72" t="s">
        <v>48</v>
      </c>
      <c r="Z72" t="s">
        <v>102</v>
      </c>
      <c r="AB72">
        <v>2007</v>
      </c>
      <c r="AC72">
        <v>2325</v>
      </c>
      <c r="AD72" t="s">
        <v>917</v>
      </c>
      <c r="AF72" t="s">
        <v>918</v>
      </c>
      <c r="AG72">
        <v>47.729663000000002</v>
      </c>
      <c r="AH72">
        <v>-122.35689499999999</v>
      </c>
      <c r="AI72" t="s">
        <v>66</v>
      </c>
      <c r="AJ72">
        <v>98133</v>
      </c>
      <c r="AK72" t="s">
        <v>41</v>
      </c>
      <c r="AL72" t="s">
        <v>40</v>
      </c>
      <c r="AM72" t="s">
        <v>40</v>
      </c>
      <c r="AO72">
        <v>0.13700000000000001</v>
      </c>
      <c r="AP72" t="s">
        <v>919</v>
      </c>
      <c r="AQ72">
        <v>504</v>
      </c>
      <c r="AR72" t="s">
        <v>81</v>
      </c>
      <c r="AS72" t="s">
        <v>481</v>
      </c>
      <c r="AT72">
        <v>19336068</v>
      </c>
      <c r="AU72" s="12">
        <v>39495</v>
      </c>
      <c r="BA72" t="s">
        <v>912</v>
      </c>
      <c r="BB72" t="s">
        <v>912</v>
      </c>
      <c r="BC72" s="7">
        <v>39485</v>
      </c>
      <c r="BG72">
        <v>10</v>
      </c>
      <c r="BH72" s="17">
        <f t="shared" ca="1" si="1"/>
        <v>42</v>
      </c>
      <c r="BI72" s="17"/>
      <c r="BJ72" s="17"/>
    </row>
    <row r="73" spans="1:63" hidden="1">
      <c r="A73">
        <v>28028118</v>
      </c>
      <c r="B73" s="2" t="str">
        <f>HYPERLINK("http://www.windermere.com/index.cfm?fuseaction=Listing.ListingDetail&amp;ListingID=19378000","Active")</f>
        <v>Active</v>
      </c>
      <c r="D73" t="s">
        <v>63</v>
      </c>
      <c r="E73" t="s">
        <v>329</v>
      </c>
      <c r="F73" s="10">
        <v>349900</v>
      </c>
      <c r="G73" t="s">
        <v>247</v>
      </c>
      <c r="H73" s="1">
        <v>1030</v>
      </c>
      <c r="J73">
        <v>2</v>
      </c>
      <c r="K73">
        <v>1.5</v>
      </c>
      <c r="M73" s="2" t="str">
        <f>HYPERLINK("http://www.windermere.com/index.cfm?fuseaction=Listing.MapPropertyInteractive&amp;ListingID=19378000&amp;resize=true&amp;windowWidth=800&amp;windowHeight=600","Map")</f>
        <v>Map</v>
      </c>
      <c r="O73" s="2" t="str">
        <f>HYPERLINK("http://www.windermere.com/index.cfm?fuseaction=Listing.MultiImageViewer&amp;ListingID=19378000&amp;ln=28028118&amp;pub_mls=1","More")</f>
        <v>More</v>
      </c>
      <c r="AI73" t="s">
        <v>66</v>
      </c>
      <c r="AJ73">
        <v>98117</v>
      </c>
      <c r="AS73" t="s">
        <v>330</v>
      </c>
      <c r="AT73">
        <v>19378000</v>
      </c>
      <c r="AU73" s="12">
        <v>39495</v>
      </c>
      <c r="BB73" t="s">
        <v>912</v>
      </c>
      <c r="BC73" s="7">
        <v>39493</v>
      </c>
      <c r="BG73">
        <v>2</v>
      </c>
      <c r="BH73" s="17">
        <f t="shared" ca="1" si="1"/>
        <v>34</v>
      </c>
      <c r="BI73" s="17"/>
      <c r="BJ73" s="17"/>
    </row>
    <row r="74" spans="1:63" hidden="1">
      <c r="A74">
        <v>27186397</v>
      </c>
      <c r="B74" s="15" t="str">
        <f>HYPERLINK("http://www.windermere.com/index.cfm?fuseaction=Listing.ListingDetail&amp;ListingID=19155004","Subject To Inspection")</f>
        <v>Subject To Inspection</v>
      </c>
      <c r="D74" t="s">
        <v>188</v>
      </c>
      <c r="E74" t="s">
        <v>488</v>
      </c>
      <c r="F74" s="10">
        <v>349950</v>
      </c>
      <c r="G74" t="s">
        <v>130</v>
      </c>
      <c r="H74" s="1">
        <v>1410</v>
      </c>
      <c r="I74">
        <v>5775</v>
      </c>
      <c r="J74">
        <v>3</v>
      </c>
      <c r="K74">
        <v>1</v>
      </c>
      <c r="M74" s="2" t="str">
        <f>HYPERLINK("http://www.windermere.com/index.cfm?fuseaction=Listing.MapPropertyInteractive&amp;ListingID=19155004&amp;resize=true&amp;windowWidth=800&amp;windowHeight=600","Map")</f>
        <v>Map</v>
      </c>
      <c r="O74" s="2" t="str">
        <f>HYPERLINK("http://www.windermere.com/index.cfm?fuseaction=Listing.MultiImageViewer&amp;ListingID=19155004&amp;ln=27186397&amp;pub_mls=1","More")</f>
        <v>More</v>
      </c>
      <c r="AI74" t="s">
        <v>66</v>
      </c>
      <c r="AJ74">
        <v>98125</v>
      </c>
      <c r="AS74" t="s">
        <v>489</v>
      </c>
      <c r="AT74">
        <v>19155004</v>
      </c>
      <c r="AU74" s="12">
        <v>39495</v>
      </c>
      <c r="BB74" t="s">
        <v>912</v>
      </c>
      <c r="BC74" s="7">
        <v>39370</v>
      </c>
      <c r="BG74">
        <v>125</v>
      </c>
      <c r="BH74" s="17">
        <f t="shared" ca="1" si="1"/>
        <v>157</v>
      </c>
      <c r="BI74" s="17"/>
      <c r="BJ74" s="17"/>
    </row>
    <row r="75" spans="1:63" hidden="1">
      <c r="A75">
        <v>27213150</v>
      </c>
      <c r="B75" s="2" t="str">
        <f>HYPERLINK("http://www.windermere.com/index.cfm?fuseaction=Listing.ListingDetail&amp;ListingID=19098221","Active")</f>
        <v>Active</v>
      </c>
      <c r="D75" t="s">
        <v>99</v>
      </c>
      <c r="E75" t="s">
        <v>331</v>
      </c>
      <c r="F75" s="10">
        <v>349950</v>
      </c>
      <c r="G75" t="s">
        <v>332</v>
      </c>
      <c r="I75">
        <v>5000</v>
      </c>
      <c r="J75">
        <v>4</v>
      </c>
      <c r="K75">
        <v>1.5</v>
      </c>
      <c r="M75" s="2" t="str">
        <f>HYPERLINK("http://www.windermere.com/index.cfm?fuseaction=Listing.MapPropertyInteractive&amp;ListingID=19098221&amp;resize=true&amp;windowWidth=800&amp;windowHeight=600","Map")</f>
        <v>Map</v>
      </c>
      <c r="AI75" t="s">
        <v>66</v>
      </c>
      <c r="AJ75">
        <v>98117</v>
      </c>
      <c r="AS75" t="s">
        <v>333</v>
      </c>
      <c r="AT75">
        <v>19098221</v>
      </c>
      <c r="AU75" s="12">
        <v>39495</v>
      </c>
      <c r="BB75" t="s">
        <v>912</v>
      </c>
      <c r="BC75" s="7">
        <v>39430</v>
      </c>
      <c r="BG75">
        <v>65</v>
      </c>
      <c r="BH75" s="17">
        <f t="shared" ca="1" si="1"/>
        <v>97</v>
      </c>
      <c r="BI75" s="17"/>
      <c r="BJ75" s="17"/>
    </row>
    <row r="76" spans="1:63" hidden="1">
      <c r="A76">
        <v>28001207</v>
      </c>
      <c r="B76" s="2" t="str">
        <f>HYPERLINK("http://www.windermere.com/index.cfm?fuseaction=Listing.ListingDetail&amp;ListingID=19149402","Subject To Inspection")</f>
        <v>Subject To Inspection</v>
      </c>
      <c r="D76" t="s">
        <v>100</v>
      </c>
      <c r="E76" t="s">
        <v>482</v>
      </c>
      <c r="F76" s="10">
        <v>349950</v>
      </c>
      <c r="G76" t="s">
        <v>443</v>
      </c>
      <c r="J76">
        <v>2</v>
      </c>
      <c r="K76">
        <v>1</v>
      </c>
      <c r="M76" s="2" t="str">
        <f>HYPERLINK("http://www.windermere.com/index.cfm?fuseaction=Listing.MapPropertyInteractive&amp;ListingID=19149402&amp;resize=true&amp;windowWidth=800&amp;windowHeight=600","Map")</f>
        <v>Map</v>
      </c>
      <c r="O76" s="2" t="str">
        <f>HYPERLINK("http://www.windermere.com/index.cfm?fuseaction=Listing.MultiImageViewer&amp;ListingID=19149402&amp;ln=28001207&amp;pub_mls=1","More")</f>
        <v>More</v>
      </c>
      <c r="P76" t="s">
        <v>44</v>
      </c>
      <c r="AI76" t="s">
        <v>66</v>
      </c>
      <c r="AJ76">
        <v>98103</v>
      </c>
      <c r="AS76" t="s">
        <v>483</v>
      </c>
      <c r="AT76">
        <v>19149402</v>
      </c>
      <c r="AU76" s="12">
        <v>39495</v>
      </c>
      <c r="BB76" t="s">
        <v>912</v>
      </c>
      <c r="BC76" s="7">
        <v>39449</v>
      </c>
      <c r="BG76">
        <v>46</v>
      </c>
      <c r="BH76" s="17">
        <f t="shared" ca="1" si="1"/>
        <v>78</v>
      </c>
      <c r="BI76" s="17"/>
      <c r="BJ76" s="17"/>
      <c r="BK76" t="str">
        <f>B76</f>
        <v>Subject To Inspection</v>
      </c>
    </row>
    <row r="77" spans="1:63" hidden="1">
      <c r="A77">
        <v>28001764</v>
      </c>
      <c r="B77" s="2" t="str">
        <f>HYPERLINK("http://www.windermere.com/index.cfm?fuseaction=Listing.ListingDetail&amp;ListingID=19154257","Active")</f>
        <v>Active</v>
      </c>
      <c r="D77" t="s">
        <v>968</v>
      </c>
      <c r="E77" t="s">
        <v>1100</v>
      </c>
      <c r="F77" s="10">
        <v>349950</v>
      </c>
      <c r="G77" t="s">
        <v>147</v>
      </c>
      <c r="H77" s="1">
        <v>1762</v>
      </c>
      <c r="J77">
        <v>3</v>
      </c>
      <c r="K77">
        <v>2</v>
      </c>
      <c r="M77" s="2" t="str">
        <f>HYPERLINK("http://www.windermere.com/index.cfm?fuseaction=Listing.MapPropertyInteractive&amp;ListingID=19154257&amp;resize=true&amp;windowWidth=800&amp;windowHeight=600","Map")</f>
        <v>Map</v>
      </c>
      <c r="O77" s="2" t="str">
        <f>HYPERLINK("http://www.windermere.com/index.cfm?fuseaction=Listing.MultiImageViewer&amp;ListingID=19154257&amp;ln=28001764&amp;pub_mls=1","More")</f>
        <v>More</v>
      </c>
      <c r="AI77" t="s">
        <v>66</v>
      </c>
      <c r="AJ77">
        <v>98125</v>
      </c>
      <c r="AS77" t="s">
        <v>1101</v>
      </c>
      <c r="AT77">
        <v>19154257</v>
      </c>
      <c r="AU77" s="12">
        <v>39495</v>
      </c>
      <c r="BB77" t="s">
        <v>912</v>
      </c>
      <c r="BC77" s="7">
        <v>39450</v>
      </c>
      <c r="BG77">
        <v>45</v>
      </c>
      <c r="BH77" s="17">
        <f t="shared" ca="1" si="1"/>
        <v>77</v>
      </c>
      <c r="BI77" s="17"/>
      <c r="BJ77" s="17"/>
    </row>
    <row r="78" spans="1:63" hidden="1">
      <c r="A78">
        <v>28006116</v>
      </c>
      <c r="B78" s="15" t="str">
        <f>HYPERLINK("http://www.windermere.com/index.cfm?fuseaction=Listing.ListingDetail&amp;ListingID=19189952","Subject To Inspection")</f>
        <v>Subject To Inspection</v>
      </c>
      <c r="D78" t="s">
        <v>920</v>
      </c>
      <c r="E78" t="s">
        <v>486</v>
      </c>
      <c r="F78" s="10">
        <v>349950</v>
      </c>
      <c r="G78" t="s">
        <v>147</v>
      </c>
      <c r="H78" s="1">
        <v>1477</v>
      </c>
      <c r="J78">
        <v>3</v>
      </c>
      <c r="K78">
        <v>2.5</v>
      </c>
      <c r="M78" s="2" t="str">
        <f>HYPERLINK("http://www.windermere.com/index.cfm?fuseaction=Listing.MapPropertyInteractive&amp;ListingID=19189952&amp;resize=true&amp;windowWidth=800&amp;windowHeight=600","Map")</f>
        <v>Map</v>
      </c>
      <c r="O78" s="2" t="str">
        <f>HYPERLINK("http://www.windermere.com/index.cfm?fuseaction=Listing.MultiImageViewer&amp;ListingID=19189952&amp;ln=28006116&amp;pub_mls=1","More")</f>
        <v>More</v>
      </c>
      <c r="AI78" t="s">
        <v>66</v>
      </c>
      <c r="AJ78">
        <v>98133</v>
      </c>
      <c r="AS78" t="s">
        <v>487</v>
      </c>
      <c r="AT78">
        <v>19189952</v>
      </c>
      <c r="AU78" s="12">
        <v>39495</v>
      </c>
      <c r="BB78" t="s">
        <v>912</v>
      </c>
      <c r="BC78" s="7">
        <v>39456</v>
      </c>
      <c r="BG78">
        <v>39</v>
      </c>
      <c r="BH78" s="17">
        <f t="shared" ca="1" si="1"/>
        <v>71</v>
      </c>
      <c r="BI78" s="17"/>
      <c r="BJ78" s="17"/>
    </row>
    <row r="79" spans="1:63" hidden="1">
      <c r="A79">
        <v>28006458</v>
      </c>
      <c r="B79" s="2" t="str">
        <f>HYPERLINK("http://www.windermere.com/index.cfm?fuseaction=Listing.ListingDetail&amp;ListingID=19195065","Active")</f>
        <v>Active</v>
      </c>
      <c r="D79" t="s">
        <v>60</v>
      </c>
      <c r="E79" t="s">
        <v>484</v>
      </c>
      <c r="F79" s="10">
        <v>349950</v>
      </c>
      <c r="G79" t="s">
        <v>147</v>
      </c>
      <c r="H79" s="1">
        <v>1353</v>
      </c>
      <c r="J79">
        <v>3</v>
      </c>
      <c r="K79">
        <v>2.5</v>
      </c>
      <c r="M79" s="2" t="str">
        <f>HYPERLINK("http://www.windermere.com/index.cfm?fuseaction=Listing.MapPropertyInteractive&amp;ListingID=19195065&amp;resize=true&amp;windowWidth=800&amp;windowHeight=600","Map")</f>
        <v>Map</v>
      </c>
      <c r="O79" s="2" t="str">
        <f>HYPERLINK("http://www.windermere.com/index.cfm?fuseaction=viewGallery.Home&amp;customTourID=204136&amp;wvt=0","More")</f>
        <v>More</v>
      </c>
      <c r="AI79" t="s">
        <v>66</v>
      </c>
      <c r="AJ79">
        <v>98103</v>
      </c>
      <c r="AS79" t="s">
        <v>485</v>
      </c>
      <c r="AT79">
        <v>19195065</v>
      </c>
      <c r="AU79" s="12">
        <v>39495</v>
      </c>
      <c r="BB79" t="s">
        <v>912</v>
      </c>
      <c r="BC79" s="7">
        <v>39457</v>
      </c>
      <c r="BG79">
        <v>38</v>
      </c>
      <c r="BH79" s="17">
        <f t="shared" ca="1" si="1"/>
        <v>70</v>
      </c>
      <c r="BI79" s="17"/>
      <c r="BJ79" s="17"/>
    </row>
    <row r="80" spans="1:63" hidden="1">
      <c r="A80">
        <v>28011510</v>
      </c>
      <c r="B80" s="2" t="str">
        <f>HYPERLINK("http://www.windermere.com/index.cfm?fuseaction=Listing.ListingDetail&amp;ListingID=19246215","Active")</f>
        <v>Active</v>
      </c>
      <c r="D80" t="s">
        <v>99</v>
      </c>
      <c r="E80" t="s">
        <v>334</v>
      </c>
      <c r="F80" s="13">
        <v>335000</v>
      </c>
      <c r="G80" t="s">
        <v>137</v>
      </c>
      <c r="H80" s="1">
        <v>1020</v>
      </c>
      <c r="I80">
        <v>6120</v>
      </c>
      <c r="J80">
        <v>2</v>
      </c>
      <c r="K80">
        <v>1</v>
      </c>
      <c r="M80" s="2" t="str">
        <f>HYPERLINK("http://www.windermere.com/index.cfm?fuseaction=Listing.MapPropertyInteractive&amp;ListingID=19246215&amp;resize=true&amp;windowWidth=800&amp;windowHeight=600","Map")</f>
        <v>Map</v>
      </c>
      <c r="O80" s="2" t="str">
        <f>HYPERLINK("http://www.windermere.com/index.cfm?fuseaction=viewGallery.Home&amp;customTourID=204990&amp;wvt=0","More")</f>
        <v>More</v>
      </c>
      <c r="AI80" t="s">
        <v>66</v>
      </c>
      <c r="AJ80">
        <v>98117</v>
      </c>
      <c r="AS80" t="s">
        <v>335</v>
      </c>
      <c r="AT80">
        <v>19246215</v>
      </c>
      <c r="AU80" s="12">
        <v>39495</v>
      </c>
      <c r="BB80" t="s">
        <v>912</v>
      </c>
      <c r="BC80" s="7">
        <v>39465</v>
      </c>
      <c r="BD80">
        <v>4</v>
      </c>
      <c r="BE80" t="s">
        <v>1401</v>
      </c>
      <c r="BF80" t="s">
        <v>1345</v>
      </c>
      <c r="BG80">
        <v>30</v>
      </c>
      <c r="BH80" s="17">
        <f t="shared" ca="1" si="1"/>
        <v>62</v>
      </c>
      <c r="BI80" s="17"/>
      <c r="BJ80" s="17"/>
    </row>
    <row r="81" spans="1:63" hidden="1">
      <c r="A81">
        <v>28004194</v>
      </c>
      <c r="B81" s="2" t="str">
        <f>HYPERLINK("http://www.windermere.com/index.cfm?fuseaction=Listing.ListingDetail&amp;ListingID=19185353","Active")</f>
        <v>Active</v>
      </c>
      <c r="D81" t="s">
        <v>55</v>
      </c>
      <c r="E81" t="s">
        <v>490</v>
      </c>
      <c r="F81" s="10">
        <v>350000</v>
      </c>
      <c r="G81" t="s">
        <v>161</v>
      </c>
      <c r="H81">
        <v>740</v>
      </c>
      <c r="I81">
        <v>6350</v>
      </c>
      <c r="J81">
        <v>2</v>
      </c>
      <c r="K81">
        <v>1</v>
      </c>
      <c r="M81" s="2" t="str">
        <f>HYPERLINK("http://www.windermere.com/index.cfm?fuseaction=Listing.MapPropertyInteractive&amp;ListingID=19185353&amp;resize=true&amp;windowWidth=800&amp;windowHeight=600","Map")</f>
        <v>Map</v>
      </c>
      <c r="O81" s="2" t="str">
        <f>HYPERLINK("http://www.windermere.com/index.cfm?fuseaction=viewGallery.Home&amp;customTourID=203947&amp;wvt=0","More")</f>
        <v>More</v>
      </c>
      <c r="AI81" t="s">
        <v>66</v>
      </c>
      <c r="AJ81">
        <v>98103</v>
      </c>
      <c r="AS81" t="s">
        <v>491</v>
      </c>
      <c r="AT81">
        <v>19185353</v>
      </c>
      <c r="AU81" s="12">
        <v>39495</v>
      </c>
      <c r="BB81" t="s">
        <v>912</v>
      </c>
      <c r="BC81" s="7">
        <v>39456</v>
      </c>
      <c r="BG81">
        <v>39</v>
      </c>
      <c r="BH81" s="17">
        <f t="shared" ca="1" si="1"/>
        <v>71</v>
      </c>
      <c r="BI81" s="17"/>
      <c r="BJ81" s="17"/>
    </row>
    <row r="82" spans="1:63" hidden="1">
      <c r="A82">
        <v>28025026</v>
      </c>
      <c r="B82" s="2" t="str">
        <f>HYPERLINK("http://www.windermere.com/index.cfm?fuseaction=Listing.ListingDetail&amp;ListingID=19361620","Active")</f>
        <v>Active</v>
      </c>
      <c r="D82" t="s">
        <v>63</v>
      </c>
      <c r="E82" t="s">
        <v>336</v>
      </c>
      <c r="F82" s="10">
        <v>350000</v>
      </c>
      <c r="G82" t="s">
        <v>137</v>
      </c>
      <c r="H82" s="1">
        <v>1280</v>
      </c>
      <c r="I82">
        <v>4120</v>
      </c>
      <c r="J82">
        <v>2</v>
      </c>
      <c r="K82">
        <v>1</v>
      </c>
      <c r="M82" s="2" t="str">
        <f>HYPERLINK("http://www.windermere.com/index.cfm?fuseaction=Listing.MapPropertyInteractive&amp;ListingID=19361620&amp;resize=true&amp;windowWidth=800&amp;windowHeight=600","Map")</f>
        <v>Map</v>
      </c>
      <c r="O82" s="2" t="str">
        <f>HYPERLINK("http://www.windermere.com/index.cfm?fuseaction=viewGallery.Home&amp;customTourID=207030&amp;wvt=0","More")</f>
        <v>More</v>
      </c>
      <c r="AI82" t="s">
        <v>66</v>
      </c>
      <c r="AJ82">
        <v>98117</v>
      </c>
      <c r="AS82" t="s">
        <v>337</v>
      </c>
      <c r="AT82">
        <v>19361620</v>
      </c>
      <c r="AU82" s="12">
        <v>39495</v>
      </c>
      <c r="BB82" t="s">
        <v>912</v>
      </c>
      <c r="BC82" s="7">
        <v>39491</v>
      </c>
      <c r="BG82">
        <v>4</v>
      </c>
      <c r="BH82" s="17">
        <f t="shared" ca="1" si="1"/>
        <v>36</v>
      </c>
      <c r="BI82" s="17"/>
      <c r="BJ82" s="17"/>
    </row>
    <row r="83" spans="1:63" hidden="1">
      <c r="A83">
        <v>27183222</v>
      </c>
      <c r="B83" s="2" t="str">
        <f>HYPERLINK("http://www.windermere.com/index.cfm?fuseaction=Listing.ListingDetail&amp;ListingID=18789512","Contingent")</f>
        <v>Contingent</v>
      </c>
      <c r="D83" t="s">
        <v>55</v>
      </c>
      <c r="E83" t="s">
        <v>492</v>
      </c>
      <c r="F83" s="10">
        <v>351000</v>
      </c>
      <c r="G83" t="s">
        <v>144</v>
      </c>
      <c r="H83" s="1">
        <v>1020</v>
      </c>
      <c r="I83">
        <v>4133</v>
      </c>
      <c r="J83">
        <v>2</v>
      </c>
      <c r="K83">
        <v>1</v>
      </c>
      <c r="M83" s="2" t="str">
        <f>HYPERLINK("http://www.windermere.com/index.cfm?fuseaction=Listing.MapPropertyInteractive&amp;ListingID=18789512&amp;resize=true&amp;windowWidth=800&amp;windowHeight=600","Map")</f>
        <v>Map</v>
      </c>
      <c r="O83" s="2" t="str">
        <f>HYPERLINK("http://www.windermere.com/index.cfm?fuseaction=Listing.MultiImageViewer&amp;ListingID=18789512&amp;ln=27183222&amp;pub_mls=1","More")</f>
        <v>More</v>
      </c>
      <c r="AI83" t="s">
        <v>66</v>
      </c>
      <c r="AJ83">
        <v>98133</v>
      </c>
      <c r="AS83" t="s">
        <v>493</v>
      </c>
      <c r="AT83">
        <v>18789512</v>
      </c>
      <c r="AU83" s="12">
        <v>39495</v>
      </c>
      <c r="BB83" t="s">
        <v>912</v>
      </c>
      <c r="BC83" s="7">
        <v>39365</v>
      </c>
      <c r="BG83">
        <v>130</v>
      </c>
      <c r="BH83" s="17">
        <f t="shared" ca="1" si="1"/>
        <v>162</v>
      </c>
      <c r="BI83" s="17"/>
      <c r="BJ83" s="17"/>
      <c r="BK83" t="str">
        <f>B83</f>
        <v>Contingent</v>
      </c>
    </row>
    <row r="84" spans="1:63" hidden="1">
      <c r="A84">
        <v>27206666</v>
      </c>
      <c r="B84" s="2" t="str">
        <f>HYPERLINK("http://www.windermere.com/index.cfm?fuseaction=Listing.ListingDetail&amp;ListingID=19021437","Active")</f>
        <v>Active</v>
      </c>
      <c r="D84" t="s">
        <v>99</v>
      </c>
      <c r="E84" t="s">
        <v>338</v>
      </c>
      <c r="F84" s="10">
        <v>354950</v>
      </c>
      <c r="G84" t="s">
        <v>219</v>
      </c>
      <c r="H84">
        <v>975</v>
      </c>
      <c r="I84">
        <v>4000</v>
      </c>
      <c r="J84">
        <v>3</v>
      </c>
      <c r="K84">
        <v>1.5</v>
      </c>
      <c r="M84" s="2" t="str">
        <f>HYPERLINK("http://www.windermere.com/index.cfm?fuseaction=Listing.MapPropertyInteractive&amp;ListingID=19021437&amp;resize=true&amp;windowWidth=800&amp;windowHeight=600","Map")</f>
        <v>Map</v>
      </c>
      <c r="O84" s="2" t="str">
        <f>HYPERLINK("http://www.windermere.com/index.cfm?fuseaction=Listing.MultiImageViewer&amp;ListingID=19021437&amp;ln=27206666&amp;pub_mls=1","More")</f>
        <v>More</v>
      </c>
      <c r="AI84" t="s">
        <v>66</v>
      </c>
      <c r="AJ84">
        <v>98117</v>
      </c>
      <c r="AS84" t="s">
        <v>339</v>
      </c>
      <c r="AT84">
        <v>19021437</v>
      </c>
      <c r="AU84" s="12">
        <v>39495</v>
      </c>
      <c r="BB84" t="s">
        <v>912</v>
      </c>
      <c r="BC84" s="7">
        <v>39414</v>
      </c>
      <c r="BG84">
        <v>81</v>
      </c>
      <c r="BH84" s="17">
        <f t="shared" ca="1" si="1"/>
        <v>113</v>
      </c>
      <c r="BI84" s="17"/>
      <c r="BJ84" s="17"/>
    </row>
    <row r="85" spans="1:63" hidden="1">
      <c r="A85">
        <v>28023467</v>
      </c>
      <c r="B85" s="2" t="str">
        <f>HYPERLINK("http://www.windermere.com/index.cfm?fuseaction=Listing.ListingDetail&amp;ListingID=19342133","Active")</f>
        <v>Active</v>
      </c>
      <c r="D85" t="s">
        <v>55</v>
      </c>
      <c r="E85" t="s">
        <v>494</v>
      </c>
      <c r="F85" s="10">
        <v>355000</v>
      </c>
      <c r="G85" t="s">
        <v>495</v>
      </c>
      <c r="H85" s="1">
        <v>1460</v>
      </c>
      <c r="I85">
        <v>1376</v>
      </c>
      <c r="J85">
        <v>3</v>
      </c>
      <c r="K85">
        <v>2.25</v>
      </c>
      <c r="M85" s="2" t="str">
        <f>HYPERLINK("http://www.windermere.com/index.cfm?fuseaction=Listing.MapPropertyInteractive&amp;ListingID=19342133&amp;resize=true&amp;windowWidth=800&amp;windowHeight=600","Map")</f>
        <v>Map</v>
      </c>
      <c r="O85" s="2" t="str">
        <f>HYPERLINK("http://www.windermere.com/index.cfm?fuseaction=Listing.MultiImageViewer&amp;ListingID=19342133&amp;ln=28023467&amp;pub_mls=1","More")</f>
        <v>More</v>
      </c>
      <c r="P85" t="s">
        <v>44</v>
      </c>
      <c r="AI85" t="s">
        <v>66</v>
      </c>
      <c r="AJ85">
        <v>98103</v>
      </c>
      <c r="AS85" t="s">
        <v>496</v>
      </c>
      <c r="AT85">
        <v>19342133</v>
      </c>
      <c r="AU85" s="12">
        <v>39495</v>
      </c>
      <c r="BB85" t="s">
        <v>912</v>
      </c>
      <c r="BC85" s="7">
        <v>39486</v>
      </c>
      <c r="BG85">
        <v>9</v>
      </c>
      <c r="BH85" s="17">
        <f t="shared" ca="1" si="1"/>
        <v>41</v>
      </c>
      <c r="BI85" s="17"/>
      <c r="BJ85" s="17"/>
    </row>
    <row r="86" spans="1:63" hidden="1">
      <c r="A86">
        <v>27211523</v>
      </c>
      <c r="B86" s="2" t="str">
        <f>HYPERLINK("http://www.windermere.com/index.cfm?fuseaction=Listing.ListingDetail&amp;ListingID=19079640","Active")</f>
        <v>Active</v>
      </c>
      <c r="D86" t="s">
        <v>55</v>
      </c>
      <c r="E86" t="s">
        <v>497</v>
      </c>
      <c r="F86" s="10">
        <v>357999</v>
      </c>
      <c r="G86" t="s">
        <v>147</v>
      </c>
      <c r="J86">
        <v>3</v>
      </c>
      <c r="K86">
        <v>2</v>
      </c>
      <c r="M86" s="2" t="str">
        <f>HYPERLINK("http://www.windermere.com/index.cfm?fuseaction=Listing.MapPropertyInteractive&amp;ListingID=19079640&amp;resize=true&amp;windowWidth=800&amp;windowHeight=600","Map")</f>
        <v>Map</v>
      </c>
      <c r="O86" s="2" t="str">
        <f>HYPERLINK("http://www.windermere.com/index.cfm?fuseaction=Listing.MultiImageViewer&amp;ListingID=19079640&amp;ln=27211523&amp;pub_mls=1","More")</f>
        <v>More</v>
      </c>
      <c r="AI86" t="s">
        <v>66</v>
      </c>
      <c r="AJ86">
        <v>98177</v>
      </c>
      <c r="AS86" t="s">
        <v>498</v>
      </c>
      <c r="AT86">
        <v>19079640</v>
      </c>
      <c r="AU86" s="12">
        <v>39495</v>
      </c>
      <c r="BB86" t="s">
        <v>912</v>
      </c>
      <c r="BC86" s="7">
        <v>39427</v>
      </c>
      <c r="BG86">
        <v>68</v>
      </c>
      <c r="BH86" s="17">
        <f t="shared" ca="1" si="1"/>
        <v>100</v>
      </c>
      <c r="BI86" s="17"/>
      <c r="BJ86" s="17"/>
    </row>
    <row r="87" spans="1:63" hidden="1">
      <c r="A87">
        <v>27160848</v>
      </c>
      <c r="B87" s="2" t="str">
        <f>HYPERLINK("http://www.windermere.com/index.cfm?fuseaction=Listing.ListingDetail&amp;ListingID=18557407","Active")</f>
        <v>Active</v>
      </c>
      <c r="D87" t="s">
        <v>55</v>
      </c>
      <c r="E87" t="s">
        <v>501</v>
      </c>
      <c r="F87" s="10">
        <v>359950</v>
      </c>
      <c r="G87" t="s">
        <v>147</v>
      </c>
      <c r="H87" s="1">
        <v>1350</v>
      </c>
      <c r="J87">
        <v>2</v>
      </c>
      <c r="K87">
        <v>1.5</v>
      </c>
      <c r="M87" s="2" t="str">
        <f>HYPERLINK("http://www.windermere.com/index.cfm?fuseaction=Listing.MapPropertyInteractive&amp;ListingID=18557407&amp;resize=true&amp;windowWidth=800&amp;windowHeight=600","Map")</f>
        <v>Map</v>
      </c>
      <c r="O87" s="2" t="str">
        <f>HYPERLINK("http://www.windermere.com/index.cfm?fuseaction=Listing.MultiImageViewer&amp;ListingID=18557407&amp;ln=27160848&amp;pub_mls=1","More")</f>
        <v>More</v>
      </c>
      <c r="P87" t="s">
        <v>44</v>
      </c>
      <c r="AI87" t="s">
        <v>66</v>
      </c>
      <c r="AJ87">
        <v>98103</v>
      </c>
      <c r="AS87" t="s">
        <v>502</v>
      </c>
      <c r="AT87">
        <v>18557407</v>
      </c>
      <c r="AU87" s="12">
        <v>39495</v>
      </c>
      <c r="BB87" t="s">
        <v>912</v>
      </c>
      <c r="BC87" s="7">
        <v>39327</v>
      </c>
      <c r="BD87">
        <v>3</v>
      </c>
      <c r="BE87" s="6" t="s">
        <v>1327</v>
      </c>
      <c r="BG87">
        <v>168</v>
      </c>
      <c r="BH87" s="17">
        <f t="shared" ca="1" si="1"/>
        <v>200</v>
      </c>
      <c r="BI87" s="17"/>
      <c r="BJ87" s="17"/>
    </row>
    <row r="88" spans="1:63" hidden="1">
      <c r="A88">
        <v>28014694</v>
      </c>
      <c r="B88" s="15" t="str">
        <f>HYPERLINK("http://www.windermere.com/index.cfm?fuseaction=Listing.ListingDetail&amp;ListingID=19269794","Subject To Inspection")</f>
        <v>Subject To Inspection</v>
      </c>
      <c r="D88" t="s">
        <v>920</v>
      </c>
      <c r="E88" t="s">
        <v>499</v>
      </c>
      <c r="F88" s="10">
        <v>359950</v>
      </c>
      <c r="G88" t="s">
        <v>147</v>
      </c>
      <c r="H88" s="1">
        <v>1477</v>
      </c>
      <c r="J88">
        <v>3</v>
      </c>
      <c r="K88">
        <v>2.5</v>
      </c>
      <c r="M88" s="2" t="str">
        <f>HYPERLINK("http://www.windermere.com/index.cfm?fuseaction=Listing.MapPropertyInteractive&amp;ListingID=19269794&amp;resize=true&amp;windowWidth=800&amp;windowHeight=600","Map")</f>
        <v>Map</v>
      </c>
      <c r="O88" s="2" t="str">
        <f>HYPERLINK("http://www.windermere.com/index.cfm?fuseaction=Listing.MultiImageViewer&amp;ListingID=19269794&amp;ln=28014694&amp;pub_mls=1","More")</f>
        <v>More</v>
      </c>
      <c r="AI88" t="s">
        <v>66</v>
      </c>
      <c r="AJ88">
        <v>98133</v>
      </c>
      <c r="AS88" t="s">
        <v>500</v>
      </c>
      <c r="AT88">
        <v>19269794</v>
      </c>
      <c r="AU88" s="12">
        <v>39495</v>
      </c>
      <c r="BB88" t="s">
        <v>912</v>
      </c>
      <c r="BC88" s="7">
        <v>39470</v>
      </c>
      <c r="BG88">
        <v>25</v>
      </c>
      <c r="BH88" s="17">
        <f t="shared" ca="1" si="1"/>
        <v>57</v>
      </c>
      <c r="BI88" s="17"/>
      <c r="BJ88" s="17"/>
    </row>
    <row r="89" spans="1:63" hidden="1">
      <c r="A89">
        <v>28017976</v>
      </c>
      <c r="B89" s="15" t="str">
        <f>HYPERLINK("http://www.windermere.com/index.cfm?fuseaction=Listing.ListingDetail&amp;ListingID=19310131","Subject To Inspection")</f>
        <v>Subject To Inspection</v>
      </c>
      <c r="D89" t="s">
        <v>60</v>
      </c>
      <c r="E89" t="s">
        <v>503</v>
      </c>
      <c r="F89" s="10">
        <v>359950</v>
      </c>
      <c r="G89" t="s">
        <v>256</v>
      </c>
      <c r="H89" s="1">
        <v>1540</v>
      </c>
      <c r="I89">
        <v>1340</v>
      </c>
      <c r="J89">
        <v>3</v>
      </c>
      <c r="K89">
        <v>2</v>
      </c>
      <c r="M89" s="2" t="str">
        <f>HYPERLINK("http://www.windermere.com/index.cfm?fuseaction=Listing.MapPropertyInteractive&amp;ListingID=19310131&amp;resize=true&amp;windowWidth=800&amp;windowHeight=600","Map")</f>
        <v>Map</v>
      </c>
      <c r="O89" s="2" t="str">
        <f>HYPERLINK("http://www.windermere.com/index.cfm?fuseaction=Listing.MultiImageViewer&amp;ListingID=19310131&amp;ln=28017976&amp;pub_mls=1","More")</f>
        <v>More</v>
      </c>
      <c r="AI89" t="s">
        <v>66</v>
      </c>
      <c r="AJ89">
        <v>98103</v>
      </c>
      <c r="AS89" t="s">
        <v>504</v>
      </c>
      <c r="AT89">
        <v>19310131</v>
      </c>
      <c r="AU89" s="12">
        <v>39495</v>
      </c>
      <c r="BB89" t="s">
        <v>912</v>
      </c>
      <c r="BC89" s="7">
        <v>39479</v>
      </c>
      <c r="BD89">
        <v>3</v>
      </c>
      <c r="BE89" t="s">
        <v>1402</v>
      </c>
      <c r="BG89">
        <v>16</v>
      </c>
      <c r="BH89" s="17">
        <f t="shared" ca="1" si="1"/>
        <v>48</v>
      </c>
      <c r="BI89" s="17"/>
      <c r="BJ89" s="17"/>
    </row>
    <row r="90" spans="1:63" hidden="1">
      <c r="A90">
        <v>28025060</v>
      </c>
      <c r="B90" s="2" t="str">
        <f>HYPERLINK("http://www.windermere.com/index.cfm?fuseaction=Listing.ListingDetail&amp;ListingID=19386709","Active")</f>
        <v>Active</v>
      </c>
      <c r="D90" t="s">
        <v>55</v>
      </c>
      <c r="E90" t="s">
        <v>1336</v>
      </c>
      <c r="F90" s="13">
        <v>349950</v>
      </c>
      <c r="G90" t="s">
        <v>731</v>
      </c>
      <c r="H90">
        <v>860</v>
      </c>
      <c r="I90">
        <v>6900</v>
      </c>
      <c r="J90">
        <v>3</v>
      </c>
      <c r="K90">
        <v>1</v>
      </c>
      <c r="M90" s="2" t="str">
        <f>HYPERLINK("http://www.windermere.com/index.cfm?fuseaction=Listing.MapPropertyInteractive&amp;ListingID=19386709&amp;resize=true&amp;windowWidth=800&amp;windowHeight=600","Map")</f>
        <v>Map</v>
      </c>
      <c r="O90" s="2" t="str">
        <f>HYPERLINK("http://www.windermere.com/index.cfm?fuseaction=Listing.MultiImageViewer&amp;ListingID=19386709&amp;ln=28025060&amp;pub_mls=1","More")</f>
        <v>More</v>
      </c>
      <c r="AI90" t="s">
        <v>66</v>
      </c>
      <c r="AJ90">
        <v>98117</v>
      </c>
      <c r="AS90" t="s">
        <v>1337</v>
      </c>
      <c r="AT90">
        <v>19386709</v>
      </c>
      <c r="AU90" s="7">
        <v>39496</v>
      </c>
      <c r="BB90" t="s">
        <v>912</v>
      </c>
      <c r="BC90" s="7">
        <v>39495</v>
      </c>
      <c r="BD90">
        <v>2</v>
      </c>
      <c r="BE90" t="s">
        <v>1346</v>
      </c>
      <c r="BF90" t="s">
        <v>1345</v>
      </c>
      <c r="BG90">
        <v>1</v>
      </c>
      <c r="BH90" s="17">
        <f t="shared" ca="1" si="1"/>
        <v>32</v>
      </c>
      <c r="BI90" s="17"/>
      <c r="BJ90" s="17"/>
    </row>
    <row r="91" spans="1:63" hidden="1">
      <c r="A91">
        <v>27144530</v>
      </c>
      <c r="B91" s="2" t="str">
        <f>HYPERLINK("http://www.windermere.com/index.cfm?fuseaction=Listing.ListingDetail&amp;ListingID=18424718","Subject To Inspection")</f>
        <v>Subject To Inspection</v>
      </c>
      <c r="D91" t="s">
        <v>55</v>
      </c>
      <c r="E91" t="s">
        <v>505</v>
      </c>
      <c r="F91" s="10">
        <v>360000</v>
      </c>
      <c r="G91" t="s">
        <v>137</v>
      </c>
      <c r="H91" s="1">
        <v>1050</v>
      </c>
      <c r="I91">
        <v>5100</v>
      </c>
      <c r="J91">
        <v>3</v>
      </c>
      <c r="K91">
        <v>1</v>
      </c>
      <c r="M91" s="2" t="str">
        <f>HYPERLINK("http://www.windermere.com/index.cfm?fuseaction=Listing.MapPropertyInteractive&amp;ListingID=18424718&amp;resize=true&amp;windowWidth=800&amp;windowHeight=600","Map")</f>
        <v>Map</v>
      </c>
      <c r="O91" s="2" t="str">
        <f>HYPERLINK("http://www.windermere.com/index.cfm?fuseaction=Listing.MultiImageViewer&amp;ListingID=18424718&amp;ln=27144530&amp;pub_mls=1","More")</f>
        <v>More</v>
      </c>
      <c r="AI91" t="s">
        <v>66</v>
      </c>
      <c r="AJ91">
        <v>98103</v>
      </c>
      <c r="AS91" t="s">
        <v>506</v>
      </c>
      <c r="AT91">
        <v>18424718</v>
      </c>
      <c r="AU91" s="12">
        <v>39495</v>
      </c>
      <c r="BB91" t="s">
        <v>912</v>
      </c>
      <c r="BC91" s="7">
        <v>39301</v>
      </c>
      <c r="BD91">
        <v>-2</v>
      </c>
      <c r="BE91" s="6" t="s">
        <v>1321</v>
      </c>
      <c r="BG91">
        <v>194</v>
      </c>
      <c r="BH91" s="17">
        <f t="shared" ca="1" si="1"/>
        <v>226</v>
      </c>
      <c r="BI91" s="17"/>
      <c r="BJ91" s="17"/>
      <c r="BK91" t="str">
        <f>B91</f>
        <v>Subject To Inspection</v>
      </c>
    </row>
    <row r="92" spans="1:63" hidden="1">
      <c r="A92">
        <v>27173221</v>
      </c>
      <c r="B92" s="2" t="str">
        <f>HYPERLINK("http://www.windermere.com/index.cfm?fuseaction=Listing.ListingDetail&amp;ListingID=18678127","Active")</f>
        <v>Active</v>
      </c>
      <c r="D92" t="s">
        <v>184</v>
      </c>
      <c r="E92" t="s">
        <v>507</v>
      </c>
      <c r="F92" s="10">
        <v>360000</v>
      </c>
      <c r="G92" t="s">
        <v>130</v>
      </c>
      <c r="H92" s="1">
        <v>2040</v>
      </c>
      <c r="I92">
        <v>6000</v>
      </c>
      <c r="J92">
        <v>4</v>
      </c>
      <c r="K92">
        <v>2</v>
      </c>
      <c r="M92" s="2" t="str">
        <f>HYPERLINK("http://www.windermere.com/index.cfm?fuseaction=Listing.MapPropertyInteractive&amp;ListingID=18678127&amp;resize=true&amp;windowWidth=800&amp;windowHeight=600","Map")</f>
        <v>Map</v>
      </c>
      <c r="O92" s="2" t="str">
        <f>HYPERLINK("http://www.windermere.com/index.cfm?fuseaction=Listing.MultiImageViewer&amp;ListingID=18678127&amp;ln=27173221&amp;pub_mls=1","More")</f>
        <v>More</v>
      </c>
      <c r="AI92" t="s">
        <v>66</v>
      </c>
      <c r="AJ92">
        <v>98125</v>
      </c>
      <c r="AS92" t="s">
        <v>508</v>
      </c>
      <c r="AT92">
        <v>18678127</v>
      </c>
      <c r="AU92" s="12">
        <v>39495</v>
      </c>
      <c r="BB92" t="s">
        <v>912</v>
      </c>
      <c r="BC92" s="7">
        <v>39346</v>
      </c>
      <c r="BG92">
        <v>149</v>
      </c>
      <c r="BH92" s="17">
        <f t="shared" ca="1" si="1"/>
        <v>181</v>
      </c>
      <c r="BI92" s="17"/>
      <c r="BJ92" s="17"/>
    </row>
    <row r="93" spans="1:63" hidden="1">
      <c r="A93">
        <v>27203636</v>
      </c>
      <c r="B93" s="2" t="str">
        <f>HYPERLINK("http://www.windermere.com/index.cfm?fuseaction=Listing.ListingDetail&amp;ListingID=18991624","Active")</f>
        <v>Active</v>
      </c>
      <c r="D93" t="s">
        <v>60</v>
      </c>
      <c r="E93" t="s">
        <v>550</v>
      </c>
      <c r="F93" s="13">
        <v>362000</v>
      </c>
      <c r="G93" t="s">
        <v>191</v>
      </c>
      <c r="I93">
        <v>4203</v>
      </c>
      <c r="J93">
        <v>3</v>
      </c>
      <c r="K93">
        <v>1</v>
      </c>
      <c r="M93" s="2" t="str">
        <f>HYPERLINK("http://www.windermere.com/index.cfm?fuseaction=Listing.MapPropertyInteractive&amp;ListingID=18991624&amp;resize=true&amp;windowWidth=800&amp;windowHeight=600","Map")</f>
        <v>Map</v>
      </c>
      <c r="O93" s="2" t="str">
        <f>HYPERLINK("http://www.windermere.com/index.cfm?fuseaction=Listing.MultiImageViewer&amp;ListingID=18991624&amp;ln=27203636&amp;pub_mls=1","More")</f>
        <v>More</v>
      </c>
      <c r="AI93" t="s">
        <v>66</v>
      </c>
      <c r="AJ93">
        <v>98103</v>
      </c>
      <c r="AS93" t="s">
        <v>551</v>
      </c>
      <c r="AT93">
        <v>18991624</v>
      </c>
      <c r="AU93" s="12">
        <v>39495</v>
      </c>
      <c r="BB93" t="s">
        <v>912</v>
      </c>
      <c r="BC93" s="7">
        <v>39404</v>
      </c>
      <c r="BG93">
        <v>91</v>
      </c>
      <c r="BH93" s="17">
        <f t="shared" ca="1" si="1"/>
        <v>123</v>
      </c>
      <c r="BI93" s="17"/>
      <c r="BJ93" s="17"/>
    </row>
    <row r="94" spans="1:63" hidden="1">
      <c r="A94">
        <v>27191568</v>
      </c>
      <c r="B94" s="2" t="str">
        <f>HYPERLINK("http://www.windermere.com/index.cfm?fuseaction=Listing.ListingDetail&amp;ListingID=18858794","Active")</f>
        <v>Active</v>
      </c>
      <c r="D94" t="s">
        <v>60</v>
      </c>
      <c r="E94" t="s">
        <v>127</v>
      </c>
      <c r="F94" s="10">
        <v>363500</v>
      </c>
      <c r="G94" t="s">
        <v>128</v>
      </c>
      <c r="H94" s="1">
        <v>1175</v>
      </c>
      <c r="I94">
        <v>1366</v>
      </c>
      <c r="J94">
        <v>2</v>
      </c>
      <c r="K94">
        <v>2.5</v>
      </c>
      <c r="M94" s="2" t="str">
        <f>HYPERLINK("http://www.windermere.com/index.cfm?fuseaction=Listing.MapPropertyInteractive&amp;ListingID=18858794&amp;resize=true&amp;windowWidth=800&amp;windowHeight=600","Map")</f>
        <v>Map</v>
      </c>
      <c r="O94" s="2" t="str">
        <f>HYPERLINK("http://www.windermere.com/index.cfm?fuseaction=Listing.MultiImageViewer&amp;ListingID=18858794&amp;ln=27191568&amp;pub_mls=1","More")</f>
        <v>More</v>
      </c>
      <c r="P94" t="s">
        <v>44</v>
      </c>
      <c r="AI94" t="s">
        <v>66</v>
      </c>
      <c r="AJ94">
        <v>98103</v>
      </c>
      <c r="AS94" t="s">
        <v>509</v>
      </c>
      <c r="AT94">
        <v>18858794</v>
      </c>
      <c r="AU94" s="12">
        <v>39495</v>
      </c>
      <c r="BB94" t="s">
        <v>912</v>
      </c>
      <c r="BC94" s="7">
        <v>39379</v>
      </c>
      <c r="BG94">
        <v>116</v>
      </c>
      <c r="BH94" s="17">
        <f t="shared" ca="1" si="1"/>
        <v>148</v>
      </c>
      <c r="BI94" s="17"/>
      <c r="BJ94" s="17"/>
    </row>
    <row r="95" spans="1:63" hidden="1">
      <c r="A95">
        <v>28006638</v>
      </c>
      <c r="B95" s="2" t="str">
        <f>HYPERLINK("http://www.windermere.com/index.cfm?fuseaction=Listing.ListingDetail&amp;ListingID=19194788","Active")</f>
        <v>Active</v>
      </c>
      <c r="D95" t="s">
        <v>60</v>
      </c>
      <c r="E95" t="s">
        <v>510</v>
      </c>
      <c r="F95" s="10">
        <v>364500</v>
      </c>
      <c r="G95" t="s">
        <v>128</v>
      </c>
      <c r="H95" s="1">
        <v>1300</v>
      </c>
      <c r="J95">
        <v>3</v>
      </c>
      <c r="K95">
        <v>2.5</v>
      </c>
      <c r="M95" s="2" t="str">
        <f>HYPERLINK("http://www.windermere.com/index.cfm?fuseaction=Listing.MapPropertyInteractive&amp;ListingID=19194788&amp;resize=true&amp;windowWidth=800&amp;windowHeight=600","Map")</f>
        <v>Map</v>
      </c>
      <c r="O95" s="2" t="str">
        <f>HYPERLINK("http://www.windermere.com/index.cfm?fuseaction=viewGallery.Home&amp;customTourID=202453&amp;wvt=0","More")</f>
        <v>More</v>
      </c>
      <c r="P95" t="s">
        <v>44</v>
      </c>
      <c r="AI95" t="s">
        <v>66</v>
      </c>
      <c r="AJ95">
        <v>98103</v>
      </c>
      <c r="AS95" t="s">
        <v>511</v>
      </c>
      <c r="AT95">
        <v>19194788</v>
      </c>
      <c r="AU95" s="12">
        <v>39495</v>
      </c>
      <c r="BB95" t="s">
        <v>912</v>
      </c>
      <c r="BC95" s="7">
        <v>39457</v>
      </c>
      <c r="BG95">
        <v>38</v>
      </c>
      <c r="BH95" s="17">
        <f t="shared" ca="1" si="1"/>
        <v>70</v>
      </c>
      <c r="BI95" s="17"/>
      <c r="BJ95" s="17"/>
    </row>
    <row r="96" spans="1:63" hidden="1">
      <c r="A96">
        <v>27191720</v>
      </c>
      <c r="B96" s="2" t="str">
        <f>HYPERLINK("http://www.windermere.com/index.cfm?fuseaction=Listing.ListingDetail&amp;ListingID=18859931","Active")</f>
        <v>Active</v>
      </c>
      <c r="D96" t="s">
        <v>63</v>
      </c>
      <c r="E96" t="s">
        <v>342</v>
      </c>
      <c r="F96" s="10">
        <v>364888</v>
      </c>
      <c r="G96" t="s">
        <v>147</v>
      </c>
      <c r="H96" s="1">
        <v>1338</v>
      </c>
      <c r="J96">
        <v>3</v>
      </c>
      <c r="K96">
        <v>2.5</v>
      </c>
      <c r="M96" s="2" t="str">
        <f>HYPERLINK("http://www.windermere.com/index.cfm?fuseaction=Listing.MapPropertyInteractive&amp;ListingID=18859931&amp;resize=true&amp;windowWidth=800&amp;windowHeight=600","Map")</f>
        <v>Map</v>
      </c>
      <c r="O96" s="2" t="str">
        <f>HYPERLINK("http://www.windermere.com/index.cfm?fuseaction=Listing.MultiImageViewer&amp;ListingID=18859931&amp;ln=27191720&amp;pub_mls=1","More")</f>
        <v>More</v>
      </c>
      <c r="AI96" t="s">
        <v>66</v>
      </c>
      <c r="AJ96">
        <v>98117</v>
      </c>
      <c r="AS96" t="s">
        <v>343</v>
      </c>
      <c r="AT96">
        <v>18859931</v>
      </c>
      <c r="AU96" s="12">
        <v>39495</v>
      </c>
      <c r="BB96" t="s">
        <v>912</v>
      </c>
      <c r="BC96" s="7">
        <v>39379</v>
      </c>
      <c r="BG96">
        <v>116</v>
      </c>
      <c r="BH96" s="17">
        <f t="shared" ca="1" si="1"/>
        <v>148</v>
      </c>
      <c r="BI96" s="17"/>
      <c r="BJ96" s="17"/>
    </row>
    <row r="97" spans="1:63" hidden="1">
      <c r="A97">
        <v>27191728</v>
      </c>
      <c r="B97" s="2" t="str">
        <f>HYPERLINK("http://www.windermere.com/index.cfm?fuseaction=Listing.ListingDetail&amp;ListingID=18860071","Active")</f>
        <v>Active</v>
      </c>
      <c r="D97" t="s">
        <v>63</v>
      </c>
      <c r="E97" t="s">
        <v>340</v>
      </c>
      <c r="F97" s="10">
        <v>364888</v>
      </c>
      <c r="G97" t="s">
        <v>147</v>
      </c>
      <c r="H97" s="1">
        <v>1338</v>
      </c>
      <c r="J97">
        <v>3</v>
      </c>
      <c r="K97">
        <v>2.5</v>
      </c>
      <c r="M97" s="2" t="str">
        <f>HYPERLINK("http://www.windermere.com/index.cfm?fuseaction=Listing.MapPropertyInteractive&amp;ListingID=18860071&amp;resize=true&amp;windowWidth=800&amp;windowHeight=600","Map")</f>
        <v>Map</v>
      </c>
      <c r="O97" s="2" t="str">
        <f>HYPERLINK("http://www.windermere.com/index.cfm?fuseaction=Listing.MultiImageViewer&amp;ListingID=18860071&amp;ln=27191728&amp;pub_mls=1","More")</f>
        <v>More</v>
      </c>
      <c r="AI97" t="s">
        <v>66</v>
      </c>
      <c r="AJ97">
        <v>98117</v>
      </c>
      <c r="AS97" t="s">
        <v>341</v>
      </c>
      <c r="AT97">
        <v>18860071</v>
      </c>
      <c r="AU97" s="12">
        <v>39495</v>
      </c>
      <c r="BB97" t="s">
        <v>912</v>
      </c>
      <c r="BC97" s="7">
        <v>39379</v>
      </c>
      <c r="BG97">
        <v>116</v>
      </c>
      <c r="BH97" s="17">
        <f t="shared" ca="1" si="1"/>
        <v>148</v>
      </c>
      <c r="BI97" s="17"/>
      <c r="BJ97" s="17"/>
    </row>
    <row r="98" spans="1:63" hidden="1">
      <c r="A98">
        <v>27191729</v>
      </c>
      <c r="B98" s="2" t="str">
        <f>HYPERLINK("http://www.windermere.com/index.cfm?fuseaction=Listing.ListingDetail&amp;ListingID=18860069","Active")</f>
        <v>Active</v>
      </c>
      <c r="D98" t="s">
        <v>63</v>
      </c>
      <c r="E98" t="s">
        <v>344</v>
      </c>
      <c r="F98" s="10">
        <v>364888</v>
      </c>
      <c r="G98" t="s">
        <v>147</v>
      </c>
      <c r="H98" s="1">
        <v>1338</v>
      </c>
      <c r="J98">
        <v>3</v>
      </c>
      <c r="K98">
        <v>2.5</v>
      </c>
      <c r="M98" s="2" t="str">
        <f>HYPERLINK("http://www.windermere.com/index.cfm?fuseaction=Listing.MapPropertyInteractive&amp;ListingID=18860069&amp;resize=true&amp;windowWidth=800&amp;windowHeight=600","Map")</f>
        <v>Map</v>
      </c>
      <c r="O98" s="2" t="str">
        <f>HYPERLINK("http://www.windermere.com/index.cfm?fuseaction=Listing.MultiImageViewer&amp;ListingID=18860069&amp;ln=27191729&amp;pub_mls=1","More")</f>
        <v>More</v>
      </c>
      <c r="AI98" t="s">
        <v>66</v>
      </c>
      <c r="AJ98">
        <v>98117</v>
      </c>
      <c r="AS98" t="s">
        <v>345</v>
      </c>
      <c r="AT98">
        <v>18860069</v>
      </c>
      <c r="AU98" s="12">
        <v>39495</v>
      </c>
      <c r="BB98" t="s">
        <v>912</v>
      </c>
      <c r="BC98" s="7">
        <v>39379</v>
      </c>
      <c r="BG98">
        <v>116</v>
      </c>
      <c r="BH98" s="17">
        <f t="shared" ca="1" si="1"/>
        <v>148</v>
      </c>
      <c r="BI98" s="17"/>
      <c r="BJ98" s="17"/>
    </row>
    <row r="99" spans="1:63" hidden="1">
      <c r="A99">
        <v>27191731</v>
      </c>
      <c r="B99" s="2" t="str">
        <f>HYPERLINK("http://www.windermere.com/index.cfm?fuseaction=Listing.ListingDetail&amp;ListingID=18860070","Active")</f>
        <v>Active</v>
      </c>
      <c r="D99" t="s">
        <v>63</v>
      </c>
      <c r="E99" t="s">
        <v>346</v>
      </c>
      <c r="F99" s="10">
        <v>364888</v>
      </c>
      <c r="G99" t="s">
        <v>147</v>
      </c>
      <c r="H99" s="1">
        <v>1338</v>
      </c>
      <c r="J99">
        <v>3</v>
      </c>
      <c r="K99">
        <v>2.5</v>
      </c>
      <c r="M99" s="2" t="str">
        <f>HYPERLINK("http://www.windermere.com/index.cfm?fuseaction=Listing.MapPropertyInteractive&amp;ListingID=18860070&amp;resize=true&amp;windowWidth=800&amp;windowHeight=600","Map")</f>
        <v>Map</v>
      </c>
      <c r="O99" s="2" t="str">
        <f>HYPERLINK("http://www.windermere.com/index.cfm?fuseaction=Listing.MultiImageViewer&amp;ListingID=18860070&amp;ln=27191731&amp;pub_mls=1","More")</f>
        <v>More</v>
      </c>
      <c r="AI99" t="s">
        <v>66</v>
      </c>
      <c r="AJ99">
        <v>98117</v>
      </c>
      <c r="AS99" t="s">
        <v>347</v>
      </c>
      <c r="AT99">
        <v>18860070</v>
      </c>
      <c r="AU99" s="12">
        <v>39495</v>
      </c>
      <c r="BB99" t="s">
        <v>912</v>
      </c>
      <c r="BC99" s="7">
        <v>39379</v>
      </c>
      <c r="BG99">
        <v>116</v>
      </c>
      <c r="BH99" s="17">
        <f t="shared" ca="1" si="1"/>
        <v>148</v>
      </c>
      <c r="BI99" s="17"/>
      <c r="BJ99" s="17"/>
    </row>
    <row r="100" spans="1:63" hidden="1">
      <c r="A100">
        <v>28026528</v>
      </c>
      <c r="B100" s="15" t="str">
        <f>HYPERLINK("http://www.windermere.com/index.cfm?fuseaction=Listing.ListingDetail&amp;ListingID=19365753","Subject To Inspection")</f>
        <v>Subject To Inspection</v>
      </c>
      <c r="D100" t="s">
        <v>70</v>
      </c>
      <c r="E100" t="s">
        <v>512</v>
      </c>
      <c r="F100" s="10">
        <v>364888</v>
      </c>
      <c r="G100" t="s">
        <v>147</v>
      </c>
      <c r="H100" s="1">
        <v>1530</v>
      </c>
      <c r="J100">
        <v>3</v>
      </c>
      <c r="K100">
        <v>2.25</v>
      </c>
      <c r="M100" s="2" t="str">
        <f>HYPERLINK("http://www.windermere.com/index.cfm?fuseaction=Listing.MapPropertyInteractive&amp;ListingID=19365753&amp;resize=true&amp;windowWidth=800&amp;windowHeight=600","Map")</f>
        <v>Map</v>
      </c>
      <c r="O100" s="2" t="str">
        <f>HYPERLINK("http://www.windermere.com/index.cfm?fuseaction=Listing.MultiImageViewer&amp;ListingID=19365753&amp;ln=28026528&amp;pub_mls=1","More")</f>
        <v>More</v>
      </c>
      <c r="AI100" t="s">
        <v>66</v>
      </c>
      <c r="AJ100">
        <v>98133</v>
      </c>
      <c r="AS100" t="s">
        <v>513</v>
      </c>
      <c r="AT100">
        <v>19365753</v>
      </c>
      <c r="AU100" s="12">
        <v>39495</v>
      </c>
      <c r="BB100" t="s">
        <v>912</v>
      </c>
      <c r="BC100" s="7">
        <v>39491</v>
      </c>
      <c r="BD100">
        <v>-4</v>
      </c>
      <c r="BE100" t="s">
        <v>1403</v>
      </c>
      <c r="BG100">
        <v>4</v>
      </c>
      <c r="BH100" s="17">
        <f t="shared" ca="1" si="1"/>
        <v>36</v>
      </c>
      <c r="BI100" s="17"/>
      <c r="BJ100" s="17"/>
    </row>
    <row r="101" spans="1:63" hidden="1">
      <c r="A101">
        <v>27160841</v>
      </c>
      <c r="B101" s="2" t="str">
        <f>HYPERLINK("http://www.windermere.com/index.cfm?fuseaction=Listing.ListingDetail&amp;ListingID=19060032","Active")</f>
        <v>Active</v>
      </c>
      <c r="D101" t="s">
        <v>55</v>
      </c>
      <c r="E101" t="s">
        <v>521</v>
      </c>
      <c r="F101" s="10">
        <v>364950</v>
      </c>
      <c r="G101" t="s">
        <v>147</v>
      </c>
      <c r="H101" s="1">
        <v>1325</v>
      </c>
      <c r="J101">
        <v>2</v>
      </c>
      <c r="K101">
        <v>1.5</v>
      </c>
      <c r="M101" s="2" t="str">
        <f>HYPERLINK("http://www.windermere.com/index.cfm?fuseaction=Listing.MapPropertyInteractive&amp;ListingID=19060032&amp;resize=true&amp;windowWidth=800&amp;windowHeight=600","Map")</f>
        <v>Map</v>
      </c>
      <c r="O101" s="2" t="str">
        <f>HYPERLINK("http://www.windermere.com/index.cfm?fuseaction=Listing.MultiImageViewer&amp;ListingID=19060032&amp;ln=27160841&amp;pub_mls=1","More")</f>
        <v>More</v>
      </c>
      <c r="P101" t="s">
        <v>44</v>
      </c>
      <c r="AI101" t="s">
        <v>66</v>
      </c>
      <c r="AJ101">
        <v>98103</v>
      </c>
      <c r="AS101" t="s">
        <v>522</v>
      </c>
      <c r="AT101">
        <v>19060032</v>
      </c>
      <c r="AU101" s="12">
        <v>39495</v>
      </c>
      <c r="BB101" t="s">
        <v>912</v>
      </c>
      <c r="BC101" s="7">
        <v>39327</v>
      </c>
      <c r="BD101">
        <v>3</v>
      </c>
      <c r="BE101" s="6" t="s">
        <v>1327</v>
      </c>
      <c r="BG101">
        <v>168</v>
      </c>
      <c r="BH101" s="17">
        <f t="shared" ca="1" si="1"/>
        <v>200</v>
      </c>
      <c r="BI101" s="17"/>
      <c r="BJ101" s="17"/>
    </row>
    <row r="102" spans="1:63" hidden="1">
      <c r="A102">
        <v>27194391</v>
      </c>
      <c r="B102" s="2" t="str">
        <f>HYPERLINK("http://www.windermere.com/index.cfm?fuseaction=Listing.ListingDetail&amp;ListingID=18898996","Active")</f>
        <v>Active</v>
      </c>
      <c r="D102" t="s">
        <v>66</v>
      </c>
      <c r="E102" t="s">
        <v>519</v>
      </c>
      <c r="F102" s="10">
        <v>364950</v>
      </c>
      <c r="G102" t="s">
        <v>404</v>
      </c>
      <c r="H102" s="1">
        <v>1580</v>
      </c>
      <c r="I102">
        <v>1200</v>
      </c>
      <c r="J102">
        <v>3</v>
      </c>
      <c r="K102">
        <v>2.5</v>
      </c>
      <c r="M102" s="2" t="str">
        <f>HYPERLINK("http://www.windermere.com/index.cfm?fuseaction=Listing.MapPropertyInteractive&amp;ListingID=18898996&amp;resize=true&amp;windowWidth=800&amp;windowHeight=600","Map")</f>
        <v>Map</v>
      </c>
      <c r="AI102" t="s">
        <v>66</v>
      </c>
      <c r="AJ102">
        <v>98133</v>
      </c>
      <c r="AS102" t="s">
        <v>520</v>
      </c>
      <c r="AT102">
        <v>18898996</v>
      </c>
      <c r="AU102" s="12">
        <v>39495</v>
      </c>
      <c r="BB102" t="s">
        <v>912</v>
      </c>
      <c r="BC102" s="7">
        <v>39387</v>
      </c>
      <c r="BG102">
        <v>108</v>
      </c>
      <c r="BH102" s="17">
        <f t="shared" ca="1" si="1"/>
        <v>140</v>
      </c>
      <c r="BI102" s="17"/>
      <c r="BJ102" s="17"/>
    </row>
    <row r="103" spans="1:63" hidden="1">
      <c r="A103">
        <v>27199578</v>
      </c>
      <c r="B103" s="2" t="str">
        <f>HYPERLINK("http://www.windermere.com/index.cfm?fuseaction=Listing.ListingDetail&amp;ListingID=18938966","Contingent")</f>
        <v>Contingent</v>
      </c>
      <c r="D103" t="s">
        <v>968</v>
      </c>
      <c r="E103" t="s">
        <v>1102</v>
      </c>
      <c r="F103" s="10">
        <v>364950</v>
      </c>
      <c r="G103" t="s">
        <v>147</v>
      </c>
      <c r="H103" s="1">
        <v>1951</v>
      </c>
      <c r="I103">
        <v>1631</v>
      </c>
      <c r="J103">
        <v>3</v>
      </c>
      <c r="K103">
        <v>3.25</v>
      </c>
      <c r="M103" s="2" t="str">
        <f>HYPERLINK("http://www.windermere.com/index.cfm?fuseaction=Listing.MapPropertyInteractive&amp;ListingID=18938966&amp;resize=true&amp;windowWidth=800&amp;windowHeight=600","Map")</f>
        <v>Map</v>
      </c>
      <c r="O103" s="2" t="str">
        <f>HYPERLINK("http://www.windermere.com/index.cfm?fuseaction=Listing.MultiImageViewer&amp;ListingID=18938966&amp;ln=27199578&amp;pub_mls=1","More")</f>
        <v>More</v>
      </c>
      <c r="P103" t="s">
        <v>44</v>
      </c>
      <c r="AI103" t="s">
        <v>396</v>
      </c>
      <c r="AJ103">
        <v>98155</v>
      </c>
      <c r="AS103" t="s">
        <v>1103</v>
      </c>
      <c r="AT103">
        <v>18938966</v>
      </c>
      <c r="AU103" s="12">
        <v>39495</v>
      </c>
      <c r="BB103" t="s">
        <v>912</v>
      </c>
      <c r="BC103" s="7">
        <v>39395</v>
      </c>
      <c r="BG103">
        <v>100</v>
      </c>
      <c r="BH103" s="17">
        <f t="shared" ca="1" si="1"/>
        <v>132</v>
      </c>
      <c r="BI103" s="17"/>
      <c r="BJ103" s="17"/>
      <c r="BK103" t="str">
        <f>B103</f>
        <v>Contingent</v>
      </c>
    </row>
    <row r="104" spans="1:63" hidden="1">
      <c r="A104">
        <v>28013775</v>
      </c>
      <c r="B104" s="2" t="str">
        <f>HYPERLINK("http://www.windermere.com/index.cfm?fuseaction=Listing.ListingDetail&amp;ListingID=19280728","Active")</f>
        <v>Active</v>
      </c>
      <c r="D104" t="s">
        <v>70</v>
      </c>
      <c r="E104" t="s">
        <v>514</v>
      </c>
      <c r="F104" s="13">
        <v>354950</v>
      </c>
      <c r="G104" t="s">
        <v>247</v>
      </c>
      <c r="H104" s="1">
        <v>1518</v>
      </c>
      <c r="J104">
        <v>3</v>
      </c>
      <c r="K104">
        <v>3.5</v>
      </c>
      <c r="M104" s="2" t="str">
        <f>HYPERLINK("http://www.windermere.com/index.cfm?fuseaction=Listing.MapPropertyInteractive&amp;ListingID=19280728&amp;resize=true&amp;windowWidth=800&amp;windowHeight=600","Map")</f>
        <v>Map</v>
      </c>
      <c r="O104" s="2" t="str">
        <f>HYPERLINK("http://www.windermere.com/index.cfm?fuseaction=Listing.MultiImageViewer&amp;ListingID=19280728&amp;ln=28013775&amp;pub_mls=1","More")</f>
        <v>More</v>
      </c>
      <c r="P104" t="s">
        <v>44</v>
      </c>
      <c r="AI104" t="s">
        <v>66</v>
      </c>
      <c r="AJ104">
        <v>98133</v>
      </c>
      <c r="AS104" t="s">
        <v>515</v>
      </c>
      <c r="AT104">
        <v>19280728</v>
      </c>
      <c r="AU104" s="12">
        <v>39495</v>
      </c>
      <c r="BB104" t="s">
        <v>912</v>
      </c>
      <c r="BC104" s="7">
        <v>39472</v>
      </c>
      <c r="BG104">
        <v>23</v>
      </c>
      <c r="BH104" s="17">
        <f t="shared" ca="1" si="1"/>
        <v>55</v>
      </c>
      <c r="BI104" s="17"/>
      <c r="BJ104" s="17"/>
    </row>
    <row r="105" spans="1:63" hidden="1">
      <c r="A105">
        <v>28023084</v>
      </c>
      <c r="B105" s="2" t="str">
        <f>HYPERLINK("http://www.windermere.com/index.cfm?fuseaction=Listing.ListingDetail&amp;ListingID=19340741","Subject To Inspection")</f>
        <v>Subject To Inspection</v>
      </c>
      <c r="C105">
        <v>710</v>
      </c>
      <c r="D105" t="s">
        <v>199</v>
      </c>
      <c r="E105" t="s">
        <v>516</v>
      </c>
      <c r="F105" s="10">
        <v>364950</v>
      </c>
      <c r="G105" t="s">
        <v>517</v>
      </c>
      <c r="H105">
        <v>940</v>
      </c>
      <c r="I105">
        <v>8364</v>
      </c>
      <c r="J105">
        <v>3</v>
      </c>
      <c r="K105">
        <v>1</v>
      </c>
      <c r="L105">
        <v>1</v>
      </c>
      <c r="M105" s="2" t="str">
        <f>HYPERLINK("http://www.windermere.com/index.cfm?fuseaction=Listing.MapPropertyInteractive&amp;ListingID=19340741&amp;resize=true&amp;windowWidth=800&amp;windowHeight=600","Map")</f>
        <v>Map</v>
      </c>
      <c r="N105" s="2" t="str">
        <f>HYPERLINK("http://locmedia.nwmls.com/DO_NOT_LINK/bigphoto/084/28023084.jpg?tsp=20080208063946","Photo")</f>
        <v>Photo</v>
      </c>
      <c r="O105" s="2" t="str">
        <f>HYPERLINK("http://www.windermere.com/index.cfm?fuseaction=Listing.MultiImageViewer&amp;ListingID=19340741&amp;ln=28023084&amp;pub_mls=1","More")</f>
        <v>More</v>
      </c>
      <c r="Q105" t="s">
        <v>56</v>
      </c>
      <c r="R105" t="s">
        <v>67</v>
      </c>
      <c r="S105" t="s">
        <v>49</v>
      </c>
      <c r="T105" t="s">
        <v>50</v>
      </c>
      <c r="U105" t="s">
        <v>44</v>
      </c>
      <c r="X105" t="s">
        <v>47</v>
      </c>
      <c r="Y105" t="s">
        <v>48</v>
      </c>
      <c r="Z105" t="s">
        <v>1011</v>
      </c>
      <c r="AB105">
        <v>2007</v>
      </c>
      <c r="AC105">
        <v>2548</v>
      </c>
      <c r="AD105" t="s">
        <v>1012</v>
      </c>
      <c r="AE105" t="s">
        <v>74</v>
      </c>
      <c r="AF105" t="s">
        <v>1013</v>
      </c>
      <c r="AG105">
        <v>47.724395999999999</v>
      </c>
      <c r="AH105">
        <v>-122.29774999999999</v>
      </c>
      <c r="AI105" t="s">
        <v>66</v>
      </c>
      <c r="AJ105">
        <v>98125</v>
      </c>
      <c r="AK105" t="s">
        <v>41</v>
      </c>
      <c r="AL105" t="s">
        <v>40</v>
      </c>
      <c r="AM105" t="s">
        <v>40</v>
      </c>
      <c r="AO105">
        <v>0.192</v>
      </c>
      <c r="AP105" t="s">
        <v>1014</v>
      </c>
      <c r="AQ105">
        <v>505</v>
      </c>
      <c r="AR105" t="s">
        <v>105</v>
      </c>
      <c r="AS105" t="s">
        <v>518</v>
      </c>
      <c r="AT105">
        <v>19340741</v>
      </c>
      <c r="AU105" s="12">
        <v>39495</v>
      </c>
      <c r="BA105" t="s">
        <v>912</v>
      </c>
      <c r="BB105" t="s">
        <v>912</v>
      </c>
      <c r="BC105" s="7">
        <v>39486</v>
      </c>
      <c r="BG105">
        <v>9</v>
      </c>
      <c r="BH105" s="17">
        <f t="shared" ca="1" si="1"/>
        <v>41</v>
      </c>
      <c r="BI105" s="17"/>
      <c r="BJ105" s="17"/>
      <c r="BK105" t="str">
        <f>B105</f>
        <v>Subject To Inspection</v>
      </c>
    </row>
    <row r="106" spans="1:63" hidden="1">
      <c r="A106">
        <v>27208748</v>
      </c>
      <c r="B106" s="2" t="str">
        <f>HYPERLINK("http://www.windermere.com/index.cfm?fuseaction=Listing.ListingDetail&amp;ListingID=19048334","Active")</f>
        <v>Active</v>
      </c>
      <c r="D106" t="s">
        <v>99</v>
      </c>
      <c r="E106" t="s">
        <v>348</v>
      </c>
      <c r="F106" s="13">
        <v>355000</v>
      </c>
      <c r="G106" t="s">
        <v>151</v>
      </c>
      <c r="H106" s="1">
        <v>1220</v>
      </c>
      <c r="J106">
        <v>2</v>
      </c>
      <c r="K106">
        <v>2</v>
      </c>
      <c r="M106" s="2" t="str">
        <f>HYPERLINK("http://www.windermere.com/index.cfm?fuseaction=Listing.MapPropertyInteractive&amp;ListingID=19048334&amp;resize=true&amp;windowWidth=800&amp;windowHeight=600","Map")</f>
        <v>Map</v>
      </c>
      <c r="O106" s="2" t="str">
        <f>HYPERLINK("http://www.windermere.com/index.cfm?fuseaction=viewGallery.Home&amp;customTourID=201679&amp;wvt=0","More")</f>
        <v>More</v>
      </c>
      <c r="AI106" t="s">
        <v>66</v>
      </c>
      <c r="AJ106">
        <v>98117</v>
      </c>
      <c r="AS106" t="s">
        <v>349</v>
      </c>
      <c r="AT106">
        <v>19048334</v>
      </c>
      <c r="AU106" s="12">
        <v>39495</v>
      </c>
      <c r="BB106" t="s">
        <v>912</v>
      </c>
      <c r="BC106" s="7">
        <v>39420</v>
      </c>
      <c r="BD106">
        <v>2</v>
      </c>
      <c r="BE106" t="s">
        <v>1374</v>
      </c>
      <c r="BG106">
        <v>75</v>
      </c>
      <c r="BH106" s="17">
        <f t="shared" ca="1" si="1"/>
        <v>107</v>
      </c>
      <c r="BI106" s="17"/>
      <c r="BJ106" s="17"/>
    </row>
    <row r="107" spans="1:63" hidden="1">
      <c r="A107">
        <v>28007328</v>
      </c>
      <c r="B107" s="2" t="str">
        <f>HYPERLINK("http://www.windermere.com/index.cfm?fuseaction=Listing.ListingDetail&amp;ListingID=19206316","Active")</f>
        <v>Active</v>
      </c>
      <c r="D107" t="s">
        <v>55</v>
      </c>
      <c r="E107" t="s">
        <v>525</v>
      </c>
      <c r="F107" s="10">
        <v>365000</v>
      </c>
      <c r="G107" t="s">
        <v>191</v>
      </c>
      <c r="H107" s="1">
        <v>2060</v>
      </c>
      <c r="I107">
        <v>4120</v>
      </c>
      <c r="J107">
        <v>3</v>
      </c>
      <c r="K107">
        <v>1.25</v>
      </c>
      <c r="M107" s="2" t="str">
        <f>HYPERLINK("http://www.windermere.com/index.cfm?fuseaction=Listing.MapPropertyInteractive&amp;ListingID=19206316&amp;resize=true&amp;windowWidth=800&amp;windowHeight=600","Map")</f>
        <v>Map</v>
      </c>
      <c r="O107" s="2" t="str">
        <f>HYPERLINK("http://www.windermere.com/index.cfm?fuseaction=Listing.MultiImageViewer&amp;ListingID=19206316&amp;ln=28007328&amp;pub_mls=1","More")</f>
        <v>More</v>
      </c>
      <c r="AI107" t="s">
        <v>66</v>
      </c>
      <c r="AJ107">
        <v>98103</v>
      </c>
      <c r="AS107" t="s">
        <v>526</v>
      </c>
      <c r="AT107">
        <v>19206316</v>
      </c>
      <c r="AU107" s="12">
        <v>39495</v>
      </c>
      <c r="BB107" t="s">
        <v>912</v>
      </c>
      <c r="BC107" s="7">
        <v>39458</v>
      </c>
      <c r="BG107">
        <v>37</v>
      </c>
      <c r="BH107" s="17">
        <f t="shared" ca="1" si="1"/>
        <v>69</v>
      </c>
      <c r="BI107" s="17"/>
      <c r="BJ107" s="17"/>
    </row>
    <row r="108" spans="1:63" hidden="1">
      <c r="A108">
        <v>28008635</v>
      </c>
      <c r="B108" s="2" t="str">
        <f>HYPERLINK("http://www.windermere.com/index.cfm?fuseaction=Listing.ListingDetail&amp;ListingID=19226990","Active")</f>
        <v>Active</v>
      </c>
      <c r="D108" t="s">
        <v>60</v>
      </c>
      <c r="E108" t="s">
        <v>523</v>
      </c>
      <c r="F108" s="13">
        <v>348075</v>
      </c>
      <c r="G108" t="s">
        <v>374</v>
      </c>
      <c r="H108" s="1">
        <v>1500</v>
      </c>
      <c r="J108">
        <v>3</v>
      </c>
      <c r="K108">
        <v>2.5</v>
      </c>
      <c r="M108" s="2" t="str">
        <f>HYPERLINK("http://www.windermere.com/index.cfm?fuseaction=Listing.MapPropertyInteractive&amp;ListingID=19226990&amp;resize=true&amp;windowWidth=800&amp;windowHeight=600","Map")</f>
        <v>Map</v>
      </c>
      <c r="O108" s="2" t="str">
        <f>HYPERLINK("http://www.windermere.com/index.cfm?fuseaction=Listing.MultiImageViewer&amp;ListingID=19226990&amp;ln=28008635&amp;pub_mls=1","More")</f>
        <v>More</v>
      </c>
      <c r="P108" t="s">
        <v>44</v>
      </c>
      <c r="AI108" t="s">
        <v>66</v>
      </c>
      <c r="AJ108">
        <v>98103</v>
      </c>
      <c r="AS108" t="s">
        <v>524</v>
      </c>
      <c r="AT108">
        <v>19226990</v>
      </c>
      <c r="AU108" s="12">
        <v>39495</v>
      </c>
      <c r="BB108" t="s">
        <v>912</v>
      </c>
      <c r="BC108" s="7">
        <v>39462</v>
      </c>
      <c r="BD108">
        <v>-3</v>
      </c>
      <c r="BE108" t="s">
        <v>1439</v>
      </c>
      <c r="BG108">
        <v>33</v>
      </c>
      <c r="BH108" s="17">
        <f t="shared" ca="1" si="1"/>
        <v>65</v>
      </c>
      <c r="BI108" s="17"/>
      <c r="BJ108" s="17"/>
    </row>
    <row r="109" spans="1:63" hidden="1">
      <c r="A109">
        <v>28017810</v>
      </c>
      <c r="B109" s="2" t="str">
        <f>HYPERLINK("http://www.windermere.com/index.cfm?fuseaction=Listing.ListingDetail&amp;ListingID=19299939","Active")</f>
        <v>Active</v>
      </c>
      <c r="D109" t="s">
        <v>42</v>
      </c>
      <c r="E109" t="s">
        <v>527</v>
      </c>
      <c r="F109" s="13">
        <v>355000</v>
      </c>
      <c r="G109" t="s">
        <v>137</v>
      </c>
      <c r="H109" s="1">
        <v>1460</v>
      </c>
      <c r="I109">
        <v>6500</v>
      </c>
      <c r="J109">
        <v>3</v>
      </c>
      <c r="K109">
        <v>1</v>
      </c>
      <c r="M109" s="2" t="str">
        <f>HYPERLINK("http://www.windermere.com/index.cfm?fuseaction=Listing.MapPropertyInteractive&amp;ListingID=19299939&amp;resize=true&amp;windowWidth=800&amp;windowHeight=600","Map")</f>
        <v>Map</v>
      </c>
      <c r="O109" s="2" t="str">
        <f>HYPERLINK("http://www.windermere.com/index.cfm?fuseaction=Listing.MultiImageViewer&amp;ListingID=19299939&amp;ln=28017810&amp;pub_mls=1","More")</f>
        <v>More</v>
      </c>
      <c r="AI109" t="s">
        <v>66</v>
      </c>
      <c r="AJ109">
        <v>98133</v>
      </c>
      <c r="AS109" t="s">
        <v>528</v>
      </c>
      <c r="AT109">
        <v>19299939</v>
      </c>
      <c r="AU109" s="12">
        <v>39495</v>
      </c>
      <c r="BB109" t="s">
        <v>912</v>
      </c>
      <c r="BC109" s="7">
        <v>39477</v>
      </c>
      <c r="BG109">
        <v>18</v>
      </c>
      <c r="BH109" s="17">
        <f t="shared" ca="1" si="1"/>
        <v>50</v>
      </c>
      <c r="BI109" s="17"/>
      <c r="BJ109" s="17"/>
    </row>
    <row r="110" spans="1:63" hidden="1">
      <c r="A110">
        <v>28023500</v>
      </c>
      <c r="B110" s="15" t="str">
        <f>HYPERLINK("http://www.windermere.com/index.cfm?fuseaction=Listing.ListingDetail&amp;ListingID=19342899","Subject To Inspection")</f>
        <v>Subject To Inspection</v>
      </c>
      <c r="C110">
        <v>710</v>
      </c>
      <c r="D110" t="s">
        <v>968</v>
      </c>
      <c r="E110" t="s">
        <v>529</v>
      </c>
      <c r="F110" s="10">
        <v>365000</v>
      </c>
      <c r="G110" t="s">
        <v>530</v>
      </c>
      <c r="H110" s="1">
        <v>1500</v>
      </c>
      <c r="I110">
        <v>8880</v>
      </c>
      <c r="J110">
        <v>3</v>
      </c>
      <c r="K110">
        <v>2</v>
      </c>
      <c r="L110">
        <v>1</v>
      </c>
      <c r="M110" s="2" t="str">
        <f>HYPERLINK("http://www.windermere.com/index.cfm?fuseaction=Listing.MapPropertyInteractive&amp;ListingID=19342899&amp;resize=true&amp;windowWidth=800&amp;windowHeight=600","Map")</f>
        <v>Map</v>
      </c>
      <c r="N110" s="2" t="str">
        <f>HYPERLINK("http://locmedia.nwmls.com/DO_NOT_LINK/bigphoto/500/28023500.jpg?tsp=20080208143254","Photo")</f>
        <v>Photo</v>
      </c>
      <c r="O110" s="2" t="str">
        <f>HYPERLINK("http://www.windermere.com/index.cfm?fuseaction=Listing.MultiImageViewer&amp;ListingID=19342899&amp;ln=28023500&amp;pub_mls=1","More")</f>
        <v>More</v>
      </c>
      <c r="Q110" t="s">
        <v>56</v>
      </c>
      <c r="R110" t="s">
        <v>72</v>
      </c>
      <c r="S110" t="s">
        <v>969</v>
      </c>
      <c r="T110" t="s">
        <v>95</v>
      </c>
      <c r="U110" t="s">
        <v>44</v>
      </c>
      <c r="X110" t="s">
        <v>47</v>
      </c>
      <c r="Y110" t="s">
        <v>48</v>
      </c>
      <c r="Z110" t="s">
        <v>970</v>
      </c>
      <c r="AA110" t="s">
        <v>96</v>
      </c>
      <c r="AB110">
        <v>2007</v>
      </c>
      <c r="AC110">
        <v>3289</v>
      </c>
      <c r="AD110" t="s">
        <v>971</v>
      </c>
      <c r="AE110" t="s">
        <v>972</v>
      </c>
      <c r="AF110" t="s">
        <v>973</v>
      </c>
      <c r="AG110">
        <v>47.714790999999998</v>
      </c>
      <c r="AH110">
        <v>-122.30027800000001</v>
      </c>
      <c r="AI110" t="s">
        <v>66</v>
      </c>
      <c r="AJ110">
        <v>98125</v>
      </c>
      <c r="AK110" t="s">
        <v>41</v>
      </c>
      <c r="AL110" t="s">
        <v>40</v>
      </c>
      <c r="AM110" t="s">
        <v>40</v>
      </c>
      <c r="AO110">
        <v>0.20399999999999999</v>
      </c>
      <c r="AP110" t="s">
        <v>974</v>
      </c>
      <c r="AQ110">
        <v>505</v>
      </c>
      <c r="AR110" t="s">
        <v>203</v>
      </c>
      <c r="AS110" t="s">
        <v>531</v>
      </c>
      <c r="AT110">
        <v>19342899</v>
      </c>
      <c r="AU110" s="12">
        <v>39495</v>
      </c>
      <c r="BA110" t="s">
        <v>912</v>
      </c>
      <c r="BB110" t="s">
        <v>912</v>
      </c>
      <c r="BC110" s="7">
        <v>39486</v>
      </c>
      <c r="BG110">
        <v>9</v>
      </c>
      <c r="BH110" s="17">
        <f t="shared" ca="1" si="1"/>
        <v>41</v>
      </c>
      <c r="BI110" s="17"/>
      <c r="BJ110" s="17"/>
    </row>
    <row r="111" spans="1:63" hidden="1">
      <c r="A111">
        <v>27115984</v>
      </c>
      <c r="B111" s="2" t="str">
        <f>HYPERLINK("http://www.windermere.com/index.cfm?fuseaction=Listing.ListingDetail&amp;ListingID=18779519","Active")</f>
        <v>Active</v>
      </c>
      <c r="D111" t="s">
        <v>194</v>
      </c>
      <c r="E111" t="s">
        <v>532</v>
      </c>
      <c r="F111" s="10">
        <v>366000</v>
      </c>
      <c r="G111" t="s">
        <v>147</v>
      </c>
      <c r="H111" s="1">
        <v>1710</v>
      </c>
      <c r="J111">
        <v>3</v>
      </c>
      <c r="K111">
        <v>3</v>
      </c>
      <c r="M111" s="2" t="str">
        <f>HYPERLINK("http://www.windermere.com/index.cfm?fuseaction=Listing.MapPropertyInteractive&amp;ListingID=18779519&amp;resize=true&amp;windowWidth=800&amp;windowHeight=600","Map")</f>
        <v>Map</v>
      </c>
      <c r="O111" s="2" t="str">
        <f>HYPERLINK("http://www.windermere.com/index.cfm?fuseaction=Listing.MultiImageViewer&amp;ListingID=18779519&amp;ln=27115984&amp;pub_mls=1","More")</f>
        <v>More</v>
      </c>
      <c r="AI111" t="s">
        <v>66</v>
      </c>
      <c r="AJ111">
        <v>98115</v>
      </c>
      <c r="AS111" t="s">
        <v>533</v>
      </c>
      <c r="AT111">
        <v>18779519</v>
      </c>
      <c r="AU111" s="12">
        <v>39495</v>
      </c>
      <c r="BB111" t="s">
        <v>912</v>
      </c>
      <c r="BC111" s="7">
        <v>39260</v>
      </c>
      <c r="BD111">
        <v>1</v>
      </c>
      <c r="BE111" s="6" t="s">
        <v>1314</v>
      </c>
      <c r="BG111">
        <v>235</v>
      </c>
      <c r="BH111" s="17">
        <f t="shared" ca="1" si="1"/>
        <v>267</v>
      </c>
      <c r="BI111" s="17"/>
      <c r="BJ111" s="17"/>
    </row>
    <row r="112" spans="1:63" hidden="1">
      <c r="A112">
        <v>27207911</v>
      </c>
      <c r="B112" s="2" t="str">
        <f>HYPERLINK("http://www.windermere.com/index.cfm?fuseaction=Listing.ListingDetail&amp;ListingID=19039296","Active")</f>
        <v>Active</v>
      </c>
      <c r="D112" t="s">
        <v>60</v>
      </c>
      <c r="E112" t="s">
        <v>534</v>
      </c>
      <c r="F112" s="10">
        <v>367500</v>
      </c>
      <c r="G112" t="s">
        <v>248</v>
      </c>
      <c r="H112" s="1">
        <v>1530</v>
      </c>
      <c r="I112">
        <v>1291</v>
      </c>
      <c r="J112">
        <v>3</v>
      </c>
      <c r="K112">
        <v>2.25</v>
      </c>
      <c r="M112" s="2" t="str">
        <f>HYPERLINK("http://www.windermere.com/index.cfm?fuseaction=Listing.MapPropertyInteractive&amp;ListingID=19039296&amp;resize=true&amp;windowWidth=800&amp;windowHeight=600","Map")</f>
        <v>Map</v>
      </c>
      <c r="O112" s="2" t="str">
        <f>HYPERLINK("http://www.windermere.com/index.cfm?fuseaction=viewGallery.Home&amp;customTourID=201606&amp;wvt=0","More")</f>
        <v>More</v>
      </c>
      <c r="AI112" t="s">
        <v>66</v>
      </c>
      <c r="AJ112">
        <v>98103</v>
      </c>
      <c r="AS112" t="s">
        <v>535</v>
      </c>
      <c r="AT112">
        <v>19039296</v>
      </c>
      <c r="AU112" s="12">
        <v>39495</v>
      </c>
      <c r="BB112" t="s">
        <v>912</v>
      </c>
      <c r="BC112" s="7">
        <v>39417</v>
      </c>
      <c r="BG112">
        <v>78</v>
      </c>
      <c r="BH112" s="17">
        <f t="shared" ca="1" si="1"/>
        <v>110</v>
      </c>
      <c r="BI112" s="17"/>
      <c r="BJ112" s="17"/>
    </row>
    <row r="113" spans="1:63" hidden="1">
      <c r="A113">
        <v>28018884</v>
      </c>
      <c r="B113" s="2" t="str">
        <f>HYPERLINK("http://www.windermere.com/index.cfm?fuseaction=Listing.ListingDetail&amp;ListingID=19305266","Active")</f>
        <v>Active</v>
      </c>
      <c r="D113" t="s">
        <v>55</v>
      </c>
      <c r="E113" t="s">
        <v>536</v>
      </c>
      <c r="F113" s="13">
        <v>359000</v>
      </c>
      <c r="G113" t="s">
        <v>247</v>
      </c>
      <c r="H113" s="1">
        <v>1409</v>
      </c>
      <c r="J113">
        <v>3</v>
      </c>
      <c r="K113" s="19">
        <v>3.25</v>
      </c>
      <c r="M113" s="2" t="str">
        <f>HYPERLINK("http://www.windermere.com/index.cfm?fuseaction=Listing.MapPropertyInteractive&amp;ListingID=19305266&amp;resize=true&amp;windowWidth=800&amp;windowHeight=600","Map")</f>
        <v>Map</v>
      </c>
      <c r="O113" s="2" t="str">
        <f>HYPERLINK("http://www.windermere.com/index.cfm?fuseaction=Listing.MultiImageViewer&amp;ListingID=19305266&amp;ln=28018884&amp;pub_mls=1","More")</f>
        <v>More</v>
      </c>
      <c r="AI113" t="s">
        <v>66</v>
      </c>
      <c r="AJ113">
        <v>98133</v>
      </c>
      <c r="AS113" t="s">
        <v>537</v>
      </c>
      <c r="AT113">
        <v>19305266</v>
      </c>
      <c r="AU113" s="12">
        <v>39495</v>
      </c>
      <c r="BB113" t="s">
        <v>912</v>
      </c>
      <c r="BC113" s="7">
        <v>39478</v>
      </c>
      <c r="BD113">
        <v>-4</v>
      </c>
      <c r="BE113" t="s">
        <v>1404</v>
      </c>
      <c r="BG113">
        <v>17</v>
      </c>
      <c r="BH113" s="17">
        <f t="shared" ca="1" si="1"/>
        <v>49</v>
      </c>
      <c r="BI113" s="17"/>
      <c r="BJ113" s="17"/>
    </row>
    <row r="114" spans="1:63" hidden="1">
      <c r="A114">
        <v>28028262</v>
      </c>
      <c r="B114" s="2" t="str">
        <f>HYPERLINK("http://www.windermere.com/index.cfm?fuseaction=Listing.ListingDetail&amp;ListingID=19379300","Active")</f>
        <v>Active</v>
      </c>
      <c r="D114" t="s">
        <v>184</v>
      </c>
      <c r="E114" t="s">
        <v>538</v>
      </c>
      <c r="F114" s="10">
        <v>368888</v>
      </c>
      <c r="G114" t="s">
        <v>147</v>
      </c>
      <c r="H114" s="1">
        <v>1800</v>
      </c>
      <c r="J114">
        <v>3</v>
      </c>
      <c r="K114">
        <v>2.5</v>
      </c>
      <c r="M114" s="2" t="str">
        <f>HYPERLINK("http://www.windermere.com/index.cfm?fuseaction=Listing.MapPropertyInteractive&amp;ListingID=19379300&amp;resize=true&amp;windowWidth=800&amp;windowHeight=600","Map")</f>
        <v>Map</v>
      </c>
      <c r="O114" s="2" t="str">
        <f>HYPERLINK("http://www.windermere.com/index.cfm?fuseaction=Listing.MultiImageViewer&amp;ListingID=19379300&amp;ln=28028262&amp;pub_mls=1","More")</f>
        <v>More</v>
      </c>
      <c r="AI114" t="s">
        <v>66</v>
      </c>
      <c r="AJ114">
        <v>98125</v>
      </c>
      <c r="AS114" t="s">
        <v>539</v>
      </c>
      <c r="AT114">
        <v>19379300</v>
      </c>
      <c r="AU114" s="12">
        <v>39495</v>
      </c>
      <c r="BB114" t="s">
        <v>912</v>
      </c>
      <c r="BC114" s="7">
        <v>39493</v>
      </c>
      <c r="BG114">
        <v>2</v>
      </c>
      <c r="BH114" s="17">
        <f t="shared" ca="1" si="1"/>
        <v>34</v>
      </c>
      <c r="BI114" s="17"/>
      <c r="BJ114" s="17"/>
    </row>
    <row r="115" spans="1:63" hidden="1">
      <c r="A115">
        <v>28028263</v>
      </c>
      <c r="B115" s="2" t="str">
        <f>HYPERLINK("http://www.windermere.com/index.cfm?fuseaction=Listing.ListingDetail&amp;ListingID=19379301","Subject To Inspection")</f>
        <v>Subject To Inspection</v>
      </c>
      <c r="D115" t="s">
        <v>184</v>
      </c>
      <c r="E115" t="s">
        <v>540</v>
      </c>
      <c r="F115" s="10">
        <v>368888</v>
      </c>
      <c r="G115" t="s">
        <v>147</v>
      </c>
      <c r="H115" s="1">
        <v>1800</v>
      </c>
      <c r="J115">
        <v>3</v>
      </c>
      <c r="K115">
        <v>2.5</v>
      </c>
      <c r="M115" s="2" t="str">
        <f>HYPERLINK("http://www.windermere.com/index.cfm?fuseaction=Listing.MapPropertyInteractive&amp;ListingID=19379301&amp;resize=true&amp;windowWidth=800&amp;windowHeight=600","Map")</f>
        <v>Map</v>
      </c>
      <c r="O115" s="2" t="str">
        <f>HYPERLINK("http://www.windermere.com/index.cfm?fuseaction=Listing.MultiImageViewer&amp;ListingID=19379301&amp;ln=28028263&amp;pub_mls=1","More")</f>
        <v>More</v>
      </c>
      <c r="AI115" t="s">
        <v>66</v>
      </c>
      <c r="AJ115">
        <v>98125</v>
      </c>
      <c r="AS115" t="s">
        <v>541</v>
      </c>
      <c r="AT115">
        <v>19379301</v>
      </c>
      <c r="AU115" s="12">
        <v>39495</v>
      </c>
      <c r="BB115" t="s">
        <v>912</v>
      </c>
      <c r="BC115" s="7">
        <v>39494</v>
      </c>
      <c r="BG115">
        <v>1</v>
      </c>
      <c r="BH115" s="17">
        <f t="shared" ca="1" si="1"/>
        <v>33</v>
      </c>
      <c r="BI115" s="17"/>
      <c r="BJ115" s="17"/>
      <c r="BK115" t="str">
        <f>B115</f>
        <v>Subject To Inspection</v>
      </c>
    </row>
    <row r="116" spans="1:63" hidden="1">
      <c r="A116">
        <v>28026168</v>
      </c>
      <c r="B116" s="15" t="str">
        <f>HYPERLINK("http://www.windermere.com/index.cfm?fuseaction=Listing.ListingDetail&amp;ListingID=19371247","Active")</f>
        <v>Active</v>
      </c>
      <c r="D116" t="s">
        <v>55</v>
      </c>
      <c r="E116" t="s">
        <v>542</v>
      </c>
      <c r="F116" s="10">
        <v>369500</v>
      </c>
      <c r="G116" t="s">
        <v>143</v>
      </c>
      <c r="H116" s="1">
        <v>1360</v>
      </c>
      <c r="I116">
        <v>2204</v>
      </c>
      <c r="J116">
        <v>3</v>
      </c>
      <c r="K116">
        <v>2</v>
      </c>
      <c r="M116" s="2" t="str">
        <f>HYPERLINK("http://www.windermere.com/index.cfm?fuseaction=Listing.MapPropertyInteractive&amp;ListingID=19371247&amp;resize=true&amp;windowWidth=800&amp;windowHeight=600","Map")</f>
        <v>Map</v>
      </c>
      <c r="O116" s="2" t="str">
        <f>HYPERLINK("http://www.windermere.com/index.cfm?fuseaction=Listing.MultiImageViewer&amp;ListingID=19371247&amp;ln=28026168&amp;pub_mls=1","More")</f>
        <v>More</v>
      </c>
      <c r="P116" t="s">
        <v>44</v>
      </c>
      <c r="AI116" t="s">
        <v>66</v>
      </c>
      <c r="AJ116">
        <v>98103</v>
      </c>
      <c r="AS116" t="s">
        <v>543</v>
      </c>
      <c r="AT116">
        <v>19371247</v>
      </c>
      <c r="AU116" s="12">
        <v>39495</v>
      </c>
      <c r="BB116" t="s">
        <v>912</v>
      </c>
      <c r="BC116" s="7">
        <v>39492</v>
      </c>
      <c r="BD116">
        <v>2</v>
      </c>
      <c r="BE116" t="s">
        <v>1375</v>
      </c>
      <c r="BG116">
        <v>3</v>
      </c>
      <c r="BH116" s="17">
        <f t="shared" ca="1" si="1"/>
        <v>35</v>
      </c>
      <c r="BI116" s="17"/>
      <c r="BJ116" s="17"/>
    </row>
    <row r="117" spans="1:63" hidden="1">
      <c r="A117">
        <v>27192829</v>
      </c>
      <c r="B117" s="2" t="str">
        <f>HYPERLINK("http://www.windermere.com/index.cfm?fuseaction=Listing.ListingDetail&amp;ListingID=19322811","Active")</f>
        <v>Active</v>
      </c>
      <c r="D117" t="s">
        <v>42</v>
      </c>
      <c r="E117" t="s">
        <v>544</v>
      </c>
      <c r="F117" s="13">
        <v>364950</v>
      </c>
      <c r="G117" t="s">
        <v>130</v>
      </c>
      <c r="I117">
        <v>4680</v>
      </c>
      <c r="J117">
        <v>2</v>
      </c>
      <c r="K117">
        <v>1</v>
      </c>
      <c r="M117" s="2" t="str">
        <f>HYPERLINK("http://www.windermere.com/index.cfm?fuseaction=Listing.MapPropertyInteractive&amp;ListingID=19322811&amp;resize=true&amp;windowWidth=800&amp;windowHeight=600","Map")</f>
        <v>Map</v>
      </c>
      <c r="O117" s="2" t="str">
        <f>HYPERLINK("http://www.windermere.com/index.cfm?fuseaction=Listing.MultiImageViewer&amp;ListingID=19322811&amp;ln=27192829&amp;pub_mls=1","More")</f>
        <v>More</v>
      </c>
      <c r="AI117" t="s">
        <v>66</v>
      </c>
      <c r="AJ117">
        <v>98133</v>
      </c>
      <c r="AS117" t="s">
        <v>545</v>
      </c>
      <c r="AT117">
        <v>19322811</v>
      </c>
      <c r="AU117" s="12">
        <v>39495</v>
      </c>
      <c r="BB117" t="s">
        <v>912</v>
      </c>
      <c r="BC117" s="7">
        <v>39381</v>
      </c>
      <c r="BG117">
        <v>114</v>
      </c>
      <c r="BH117" s="17">
        <f t="shared" ca="1" si="1"/>
        <v>146</v>
      </c>
      <c r="BI117" s="17"/>
      <c r="BJ117" s="17"/>
    </row>
    <row r="118" spans="1:63" hidden="1">
      <c r="A118">
        <v>27208202</v>
      </c>
      <c r="B118" s="2" t="str">
        <f>HYPERLINK("http://www.windermere.com/index.cfm?fuseaction=Listing.ListingDetail&amp;ListingID=19036976","Active")</f>
        <v>Active</v>
      </c>
      <c r="D118" t="s">
        <v>1023</v>
      </c>
      <c r="E118" t="s">
        <v>350</v>
      </c>
      <c r="F118" s="10">
        <v>369950</v>
      </c>
      <c r="G118" t="s">
        <v>147</v>
      </c>
      <c r="H118" s="1">
        <v>1272</v>
      </c>
      <c r="J118">
        <v>3</v>
      </c>
      <c r="K118">
        <v>2.5</v>
      </c>
      <c r="M118" s="2" t="str">
        <f>HYPERLINK("http://www.windermere.com/index.cfm?fuseaction=Listing.MapPropertyInteractive&amp;ListingID=19036976&amp;resize=true&amp;windowWidth=800&amp;windowHeight=600","Map")</f>
        <v>Map</v>
      </c>
      <c r="O118" s="2" t="str">
        <f>HYPERLINK("http://www.windermere.com/index.cfm?fuseaction=viewGallery.Home&amp;customTourID=201700&amp;wvt=0","More")</f>
        <v>More</v>
      </c>
      <c r="P118" t="s">
        <v>44</v>
      </c>
      <c r="AI118" t="s">
        <v>66</v>
      </c>
      <c r="AJ118">
        <v>98117</v>
      </c>
      <c r="AS118" t="s">
        <v>351</v>
      </c>
      <c r="AT118">
        <v>19036976</v>
      </c>
      <c r="AU118" s="12">
        <v>39495</v>
      </c>
      <c r="BB118" t="s">
        <v>912</v>
      </c>
      <c r="BC118" s="7">
        <v>39416</v>
      </c>
      <c r="BG118">
        <v>79</v>
      </c>
      <c r="BH118" s="17">
        <f t="shared" ca="1" si="1"/>
        <v>111</v>
      </c>
      <c r="BI118" s="17"/>
      <c r="BJ118" s="17"/>
    </row>
    <row r="119" spans="1:63" hidden="1">
      <c r="A119">
        <v>27209523</v>
      </c>
      <c r="B119" s="2" t="str">
        <f>HYPERLINK("http://www.windermere.com/index.cfm?fuseaction=Listing.ListingDetail&amp;ListingID=19050830","Active")</f>
        <v>Active</v>
      </c>
      <c r="D119" t="s">
        <v>1023</v>
      </c>
      <c r="E119" t="s">
        <v>354</v>
      </c>
      <c r="F119" s="10">
        <v>369950</v>
      </c>
      <c r="G119" t="s">
        <v>147</v>
      </c>
      <c r="H119" s="1">
        <v>1272</v>
      </c>
      <c r="J119">
        <v>3</v>
      </c>
      <c r="K119">
        <v>2.5</v>
      </c>
      <c r="M119" s="2" t="str">
        <f>HYPERLINK("http://www.windermere.com/index.cfm?fuseaction=Listing.MapPropertyInteractive&amp;ListingID=19050830&amp;resize=true&amp;windowWidth=800&amp;windowHeight=600","Map")</f>
        <v>Map</v>
      </c>
      <c r="O119" s="2" t="str">
        <f>HYPERLINK("http://www.windermere.com/index.cfm?fuseaction=viewGallery.Home&amp;customTourID=201966&amp;wvt=0","More")</f>
        <v>More</v>
      </c>
      <c r="P119" t="s">
        <v>44</v>
      </c>
      <c r="AI119" t="s">
        <v>66</v>
      </c>
      <c r="AJ119">
        <v>98117</v>
      </c>
      <c r="AS119" t="s">
        <v>355</v>
      </c>
      <c r="AT119">
        <v>19050830</v>
      </c>
      <c r="AU119" s="12">
        <v>39495</v>
      </c>
      <c r="BB119" t="s">
        <v>912</v>
      </c>
      <c r="BC119" s="7">
        <v>39420</v>
      </c>
      <c r="BG119">
        <v>75</v>
      </c>
      <c r="BH119" s="17">
        <f t="shared" ca="1" si="1"/>
        <v>107</v>
      </c>
      <c r="BI119" s="17"/>
      <c r="BJ119" s="17"/>
    </row>
    <row r="120" spans="1:63" hidden="1">
      <c r="A120">
        <v>28014975</v>
      </c>
      <c r="B120" s="2" t="str">
        <f>HYPERLINK("http://www.windermere.com/index.cfm?fuseaction=Listing.ListingDetail&amp;ListingID=19273242","Active")</f>
        <v>Active</v>
      </c>
      <c r="D120" t="s">
        <v>1023</v>
      </c>
      <c r="E120" t="s">
        <v>352</v>
      </c>
      <c r="F120" s="10">
        <v>369950</v>
      </c>
      <c r="G120" t="s">
        <v>147</v>
      </c>
      <c r="H120" s="1">
        <v>1272</v>
      </c>
      <c r="J120">
        <v>3</v>
      </c>
      <c r="K120">
        <v>2.5</v>
      </c>
      <c r="M120" s="2" t="str">
        <f>HYPERLINK("http://www.windermere.com/index.cfm?fuseaction=Listing.MapPropertyInteractive&amp;ListingID=19273242&amp;resize=true&amp;windowWidth=800&amp;windowHeight=600","Map")</f>
        <v>Map</v>
      </c>
      <c r="O120" s="2" t="str">
        <f>HYPERLINK("http://www.windermere.com/index.cfm?fuseaction=viewGallery.Home&amp;customTourID=205637&amp;wvt=0","More")</f>
        <v>More</v>
      </c>
      <c r="P120" t="s">
        <v>44</v>
      </c>
      <c r="AI120" t="s">
        <v>66</v>
      </c>
      <c r="AJ120">
        <v>98117</v>
      </c>
      <c r="AS120" t="s">
        <v>353</v>
      </c>
      <c r="AT120">
        <v>19273242</v>
      </c>
      <c r="AU120" s="12">
        <v>39495</v>
      </c>
      <c r="BB120" t="s">
        <v>912</v>
      </c>
      <c r="BC120" s="7">
        <v>39471</v>
      </c>
      <c r="BG120">
        <v>24</v>
      </c>
      <c r="BH120" s="17">
        <f t="shared" ca="1" si="1"/>
        <v>56</v>
      </c>
      <c r="BI120" s="17"/>
      <c r="BJ120" s="17"/>
    </row>
    <row r="121" spans="1:63" hidden="1">
      <c r="A121">
        <v>28026581</v>
      </c>
      <c r="B121" s="2" t="str">
        <f>HYPERLINK("http://www.windermere.com/index.cfm?fuseaction=Listing.ListingDetail&amp;ListingID=19366086","Active")</f>
        <v>Active</v>
      </c>
      <c r="D121" t="s">
        <v>1023</v>
      </c>
      <c r="E121" t="s">
        <v>356</v>
      </c>
      <c r="F121" s="10">
        <v>369950</v>
      </c>
      <c r="G121" t="s">
        <v>147</v>
      </c>
      <c r="H121" s="1">
        <v>1272</v>
      </c>
      <c r="J121">
        <v>3</v>
      </c>
      <c r="K121">
        <v>2.5</v>
      </c>
      <c r="M121" s="2" t="str">
        <f>HYPERLINK("http://www.windermere.com/index.cfm?fuseaction=Listing.MapPropertyInteractive&amp;ListingID=19366086&amp;resize=true&amp;windowWidth=800&amp;windowHeight=600","Map")</f>
        <v>Map</v>
      </c>
      <c r="O121" s="2" t="str">
        <f>HYPERLINK("http://www.windermere.com/index.cfm?fuseaction=viewGallery.Home&amp;customTourID=207551&amp;wvt=0","More")</f>
        <v>More</v>
      </c>
      <c r="AI121" t="s">
        <v>66</v>
      </c>
      <c r="AJ121">
        <v>98117</v>
      </c>
      <c r="AS121" t="s">
        <v>357</v>
      </c>
      <c r="AT121">
        <v>19366086</v>
      </c>
      <c r="AU121" s="12">
        <v>39495</v>
      </c>
      <c r="BB121" t="s">
        <v>912</v>
      </c>
      <c r="BC121" s="7">
        <v>39491</v>
      </c>
      <c r="BG121">
        <v>4</v>
      </c>
      <c r="BH121" s="17">
        <f t="shared" ca="1" si="1"/>
        <v>36</v>
      </c>
      <c r="BI121" s="17"/>
      <c r="BJ121" s="17"/>
    </row>
    <row r="122" spans="1:63" hidden="1">
      <c r="A122">
        <v>28027078</v>
      </c>
      <c r="B122" s="15" t="str">
        <f>HYPERLINK("http://www.windermere.com/index.cfm?fuseaction=Listing.ListingDetail&amp;ListingID=19370571","Subject To Inspection")</f>
        <v>Subject To Inspection</v>
      </c>
      <c r="D122" t="s">
        <v>55</v>
      </c>
      <c r="E122" t="s">
        <v>546</v>
      </c>
      <c r="F122" s="10">
        <v>369950</v>
      </c>
      <c r="G122" t="s">
        <v>135</v>
      </c>
      <c r="H122" s="1">
        <v>1620</v>
      </c>
      <c r="J122">
        <v>3</v>
      </c>
      <c r="K122">
        <v>1.75</v>
      </c>
      <c r="M122" s="2" t="str">
        <f>HYPERLINK("http://www.windermere.com/index.cfm?fuseaction=Listing.MapPropertyInteractive&amp;ListingID=19370571&amp;resize=true&amp;windowWidth=800&amp;windowHeight=600","Map")</f>
        <v>Map</v>
      </c>
      <c r="O122" s="2" t="str">
        <f>HYPERLINK("http://www.windermere.com/index.cfm?fuseaction=Listing.MultiImageViewer&amp;ListingID=19370571&amp;ln=28027078&amp;pub_mls=1","More")</f>
        <v>More</v>
      </c>
      <c r="AI122" t="s">
        <v>66</v>
      </c>
      <c r="AJ122">
        <v>98133</v>
      </c>
      <c r="AS122" t="s">
        <v>547</v>
      </c>
      <c r="AT122">
        <v>19370571</v>
      </c>
      <c r="AU122" s="12">
        <v>39495</v>
      </c>
      <c r="BB122" t="s">
        <v>912</v>
      </c>
      <c r="BC122" s="7">
        <v>39492</v>
      </c>
      <c r="BG122">
        <v>3</v>
      </c>
      <c r="BH122" s="17">
        <f t="shared" ca="1" si="1"/>
        <v>35</v>
      </c>
      <c r="BI122" s="17"/>
      <c r="BJ122" s="17"/>
    </row>
    <row r="123" spans="1:63" hidden="1">
      <c r="A123">
        <v>28024150</v>
      </c>
      <c r="B123" s="2" t="str">
        <f>HYPERLINK("http://www.windermere.com/index.cfm?fuseaction=Listing.ListingDetail&amp;ListingID=19344098","Active")</f>
        <v>Active</v>
      </c>
      <c r="D123" t="s">
        <v>184</v>
      </c>
      <c r="E123" t="s">
        <v>548</v>
      </c>
      <c r="F123" s="10">
        <v>369999</v>
      </c>
      <c r="G123" t="s">
        <v>124</v>
      </c>
      <c r="J123">
        <v>3</v>
      </c>
      <c r="K123">
        <v>1</v>
      </c>
      <c r="M123" s="2" t="str">
        <f>HYPERLINK("http://www.windermere.com/index.cfm?fuseaction=Listing.MapPropertyInteractive&amp;ListingID=19344098&amp;resize=true&amp;windowWidth=800&amp;windowHeight=600","Map")</f>
        <v>Map</v>
      </c>
      <c r="AI123" t="s">
        <v>66</v>
      </c>
      <c r="AJ123">
        <v>98125</v>
      </c>
      <c r="AS123" t="s">
        <v>549</v>
      </c>
      <c r="AT123">
        <v>19344098</v>
      </c>
      <c r="AU123" s="12">
        <v>39495</v>
      </c>
      <c r="BB123" t="s">
        <v>912</v>
      </c>
      <c r="BC123" s="7">
        <v>39486</v>
      </c>
      <c r="BG123">
        <v>9</v>
      </c>
      <c r="BH123" s="17">
        <f t="shared" ca="1" si="1"/>
        <v>41</v>
      </c>
      <c r="BI123" s="17"/>
      <c r="BJ123" s="17"/>
    </row>
    <row r="124" spans="1:63" hidden="1">
      <c r="A124">
        <v>28000562</v>
      </c>
      <c r="B124" s="2" t="str">
        <f>HYPERLINK("http://www.windermere.com/index.cfm?fuseaction=Listing.ListingDetail&amp;ListingID=19169349","Active")</f>
        <v>Active</v>
      </c>
      <c r="D124" t="s">
        <v>63</v>
      </c>
      <c r="E124" t="s">
        <v>368</v>
      </c>
      <c r="F124" s="13">
        <v>370000</v>
      </c>
      <c r="G124" t="s">
        <v>149</v>
      </c>
      <c r="I124">
        <v>4000</v>
      </c>
      <c r="J124">
        <v>2</v>
      </c>
      <c r="K124">
        <v>1</v>
      </c>
      <c r="M124" s="2" t="str">
        <f>HYPERLINK("http://www.windermere.com/index.cfm?fuseaction=Listing.MapPropertyInteractive&amp;ListingID=19169349&amp;resize=true&amp;windowWidth=800&amp;windowHeight=600","Map")</f>
        <v>Map</v>
      </c>
      <c r="O124" s="2" t="str">
        <f>HYPERLINK("http://www.windermere.com/index.cfm?fuseaction=Listing.MultiImageViewer&amp;ListingID=19169349&amp;ln=28000562&amp;pub_mls=1","More")</f>
        <v>More</v>
      </c>
      <c r="AI124" t="s">
        <v>66</v>
      </c>
      <c r="AJ124">
        <v>98117</v>
      </c>
      <c r="AS124" t="s">
        <v>369</v>
      </c>
      <c r="AT124">
        <v>19169349</v>
      </c>
      <c r="AU124" s="12">
        <v>39495</v>
      </c>
      <c r="BB124" t="s">
        <v>912</v>
      </c>
      <c r="BC124" s="7">
        <v>39452</v>
      </c>
      <c r="BG124">
        <v>43</v>
      </c>
      <c r="BH124" s="17">
        <f t="shared" ca="1" si="1"/>
        <v>75</v>
      </c>
      <c r="BI124" s="17"/>
      <c r="BJ124" s="17"/>
    </row>
    <row r="125" spans="1:63" hidden="1">
      <c r="A125">
        <v>28020117</v>
      </c>
      <c r="B125" s="2" t="str">
        <f>HYPERLINK("http://www.windermere.com/index.cfm?fuseaction=Listing.ListingDetail&amp;ListingID=19315288","Active")</f>
        <v>Active</v>
      </c>
      <c r="C125">
        <v>710</v>
      </c>
      <c r="D125" t="s">
        <v>194</v>
      </c>
      <c r="E125" t="s">
        <v>975</v>
      </c>
      <c r="F125" s="10">
        <v>370000</v>
      </c>
      <c r="G125" t="s">
        <v>125</v>
      </c>
      <c r="I125">
        <v>6120</v>
      </c>
      <c r="J125">
        <v>2</v>
      </c>
      <c r="K125">
        <v>1</v>
      </c>
      <c r="L125">
        <v>1</v>
      </c>
      <c r="M125" s="2" t="str">
        <f>HYPERLINK("http://www.windermere.com/index.cfm?fuseaction=Listing.MapPropertyInteractive&amp;ListingID=19315288&amp;resize=true&amp;windowWidth=800&amp;windowHeight=600","Map")</f>
        <v>Map</v>
      </c>
      <c r="N125" s="2" t="str">
        <f>HYPERLINK("http://locmedia.nwmls.com/DO_NOT_LINK/bigphoto/117/28020117.jpg?tsp=20080202102512","Photo")</f>
        <v>Photo</v>
      </c>
      <c r="O125" s="2" t="str">
        <f>HYPERLINK("http://www.windermere.com/index.cfm?fuseaction=Listing.MultiImageViewer&amp;ListingID=19315288&amp;ln=28020117&amp;pub_mls=1","More")</f>
        <v>More</v>
      </c>
      <c r="P125" t="s">
        <v>44</v>
      </c>
      <c r="Q125" t="s">
        <v>56</v>
      </c>
      <c r="R125" t="s">
        <v>67</v>
      </c>
      <c r="S125" t="s">
        <v>106</v>
      </c>
      <c r="T125" t="s">
        <v>50</v>
      </c>
      <c r="U125" t="s">
        <v>44</v>
      </c>
      <c r="X125" t="s">
        <v>47</v>
      </c>
      <c r="Y125" t="s">
        <v>48</v>
      </c>
      <c r="Z125" t="s">
        <v>103</v>
      </c>
      <c r="AB125">
        <v>2007</v>
      </c>
      <c r="AC125">
        <v>465</v>
      </c>
      <c r="AD125" t="s">
        <v>976</v>
      </c>
      <c r="AE125" t="s">
        <v>74</v>
      </c>
      <c r="AF125" t="s">
        <v>195</v>
      </c>
      <c r="AG125">
        <v>47.690925999999997</v>
      </c>
      <c r="AH125">
        <v>-122.292162</v>
      </c>
      <c r="AI125" t="s">
        <v>66</v>
      </c>
      <c r="AJ125">
        <v>98115</v>
      </c>
      <c r="AK125" t="s">
        <v>41</v>
      </c>
      <c r="AL125" t="s">
        <v>40</v>
      </c>
      <c r="AM125" t="s">
        <v>40</v>
      </c>
      <c r="AO125">
        <v>0.14000000000000001</v>
      </c>
      <c r="AP125" t="s">
        <v>977</v>
      </c>
      <c r="AQ125">
        <v>535</v>
      </c>
      <c r="AR125" t="s">
        <v>89</v>
      </c>
      <c r="AS125" t="s">
        <v>1104</v>
      </c>
      <c r="AT125">
        <v>19315288</v>
      </c>
      <c r="AU125" s="12">
        <v>39495</v>
      </c>
      <c r="BA125" t="s">
        <v>912</v>
      </c>
      <c r="BB125" t="s">
        <v>912</v>
      </c>
      <c r="BC125" s="7">
        <v>39480</v>
      </c>
      <c r="BG125">
        <v>15</v>
      </c>
      <c r="BH125" s="17">
        <f t="shared" ca="1" si="1"/>
        <v>47</v>
      </c>
      <c r="BI125" s="17"/>
      <c r="BJ125" s="17"/>
    </row>
    <row r="126" spans="1:63" hidden="1">
      <c r="A126">
        <v>28002001</v>
      </c>
      <c r="B126" s="2" t="str">
        <f>HYPERLINK("http://www.windermere.com/index.cfm?fuseaction=Listing.ListingDetail&amp;ListingID=19156147","Active")</f>
        <v>Active</v>
      </c>
      <c r="D126" t="s">
        <v>199</v>
      </c>
      <c r="E126" t="s">
        <v>552</v>
      </c>
      <c r="F126" s="10">
        <v>374950</v>
      </c>
      <c r="G126" t="s">
        <v>200</v>
      </c>
      <c r="H126" s="1">
        <v>1040</v>
      </c>
      <c r="I126">
        <v>7287</v>
      </c>
      <c r="J126">
        <v>3</v>
      </c>
      <c r="K126">
        <v>1</v>
      </c>
      <c r="M126" s="2" t="str">
        <f>HYPERLINK("http://www.windermere.com/index.cfm?fuseaction=Listing.MapPropertyInteractive&amp;ListingID=19156147&amp;resize=true&amp;windowWidth=800&amp;windowHeight=600","Map")</f>
        <v>Map</v>
      </c>
      <c r="O126" s="2" t="str">
        <f>HYPERLINK("http://www.windermere.com/index.cfm?fuseaction=Listing.MultiImageViewer&amp;ListingID=19156147&amp;ln=28002001&amp;pub_mls=1","More")</f>
        <v>More</v>
      </c>
      <c r="AI126" t="s">
        <v>66</v>
      </c>
      <c r="AJ126">
        <v>98125</v>
      </c>
      <c r="AS126" t="s">
        <v>553</v>
      </c>
      <c r="AT126">
        <v>19156147</v>
      </c>
      <c r="AU126" s="12">
        <v>39495</v>
      </c>
      <c r="BB126" t="s">
        <v>912</v>
      </c>
      <c r="BC126" s="7">
        <v>39450</v>
      </c>
      <c r="BG126">
        <v>45</v>
      </c>
      <c r="BH126" s="17">
        <f t="shared" ca="1" si="1"/>
        <v>77</v>
      </c>
      <c r="BI126" s="17"/>
      <c r="BJ126" s="17"/>
    </row>
    <row r="127" spans="1:63" hidden="1">
      <c r="A127">
        <v>28020638</v>
      </c>
      <c r="B127" s="4" t="str">
        <f>HYPERLINK("http://www.windermere.com/index.cfm?fuseaction=Listing.ListingDetail&amp;ListingID=19319974","Subject To Inspection")</f>
        <v>Subject To Inspection</v>
      </c>
      <c r="D127" t="s">
        <v>60</v>
      </c>
      <c r="E127" t="s">
        <v>554</v>
      </c>
      <c r="F127" s="13">
        <v>357000</v>
      </c>
      <c r="G127" t="s">
        <v>177</v>
      </c>
      <c r="H127" s="1">
        <v>1320</v>
      </c>
      <c r="I127">
        <v>3000</v>
      </c>
      <c r="J127">
        <v>2</v>
      </c>
      <c r="K127">
        <v>1</v>
      </c>
      <c r="M127" s="2" t="str">
        <f>HYPERLINK("http://www.windermere.com/index.cfm?fuseaction=Listing.MapPropertyInteractive&amp;ListingID=19319974&amp;resize=true&amp;windowWidth=800&amp;windowHeight=600","Map")</f>
        <v>Map</v>
      </c>
      <c r="O127" s="2" t="str">
        <f>HYPERLINK("http://www.windermere.com/index.cfm?fuseaction=viewGallery.Home&amp;customTourID=199647&amp;wvt=0","More")</f>
        <v>More</v>
      </c>
      <c r="AI127" t="s">
        <v>66</v>
      </c>
      <c r="AJ127">
        <v>98105</v>
      </c>
      <c r="AS127" t="s">
        <v>555</v>
      </c>
      <c r="AT127">
        <v>19319974</v>
      </c>
      <c r="AU127" s="12">
        <v>39495</v>
      </c>
      <c r="BB127" t="s">
        <v>912</v>
      </c>
      <c r="BC127" s="7">
        <v>39482</v>
      </c>
      <c r="BG127">
        <v>13</v>
      </c>
      <c r="BH127" s="17">
        <f t="shared" ca="1" si="1"/>
        <v>45</v>
      </c>
      <c r="BI127" s="17"/>
      <c r="BJ127" s="17"/>
    </row>
    <row r="128" spans="1:63" hidden="1">
      <c r="A128">
        <v>27206229</v>
      </c>
      <c r="B128" s="2" t="str">
        <f>HYPERLINK("http://www.windermere.com/index.cfm?fuseaction=Listing.ListingDetail&amp;ListingID=19023075","Active")</f>
        <v>Active</v>
      </c>
      <c r="D128" t="s">
        <v>63</v>
      </c>
      <c r="E128" t="s">
        <v>556</v>
      </c>
      <c r="F128" s="10">
        <v>375000</v>
      </c>
      <c r="G128" t="s">
        <v>146</v>
      </c>
      <c r="H128">
        <v>930</v>
      </c>
      <c r="I128">
        <v>2410</v>
      </c>
      <c r="J128">
        <v>2</v>
      </c>
      <c r="K128">
        <v>1</v>
      </c>
      <c r="M128" s="2" t="str">
        <f>HYPERLINK("http://www.windermere.com/index.cfm?fuseaction=Listing.MapPropertyInteractive&amp;ListingID=19023075&amp;resize=true&amp;windowWidth=800&amp;windowHeight=600","Map")</f>
        <v>Map</v>
      </c>
      <c r="O128" s="2" t="str">
        <f>HYPERLINK("http://www.windermere.com/index.cfm?fuseaction=Listing.MultiImageViewer&amp;ListingID=19023075&amp;ln=27206229&amp;pub_mls=1","More")</f>
        <v>More</v>
      </c>
      <c r="P128" t="s">
        <v>44</v>
      </c>
      <c r="AI128" t="s">
        <v>66</v>
      </c>
      <c r="AJ128">
        <v>98107</v>
      </c>
      <c r="AS128" t="s">
        <v>557</v>
      </c>
      <c r="AT128">
        <v>19023075</v>
      </c>
      <c r="AU128" s="12">
        <v>39495</v>
      </c>
      <c r="BB128" t="s">
        <v>912</v>
      </c>
      <c r="BC128" s="7">
        <v>39414</v>
      </c>
      <c r="BG128">
        <v>81</v>
      </c>
      <c r="BH128" s="17">
        <f t="shared" ca="1" si="1"/>
        <v>113</v>
      </c>
      <c r="BI128" s="17"/>
      <c r="BJ128" s="17"/>
    </row>
    <row r="129" spans="1:63" hidden="1">
      <c r="A129">
        <v>28016368</v>
      </c>
      <c r="B129" s="2" t="str">
        <f>HYPERLINK("http://www.windermere.com/index.cfm?fuseaction=Listing.ListingDetail&amp;ListingID=19286628","Active")</f>
        <v>Active</v>
      </c>
      <c r="D129" t="s">
        <v>192</v>
      </c>
      <c r="E129" t="s">
        <v>560</v>
      </c>
      <c r="F129" s="10">
        <v>375000</v>
      </c>
      <c r="G129" t="s">
        <v>180</v>
      </c>
      <c r="H129" s="1">
        <v>1400</v>
      </c>
      <c r="I129">
        <v>2679</v>
      </c>
      <c r="J129">
        <v>2</v>
      </c>
      <c r="K129">
        <v>1</v>
      </c>
      <c r="M129" s="2" t="str">
        <f>HYPERLINK("http://www.windermere.com/index.cfm?fuseaction=Listing.MapPropertyInteractive&amp;ListingID=19286628&amp;resize=true&amp;windowWidth=800&amp;windowHeight=600","Map")</f>
        <v>Map</v>
      </c>
      <c r="O129" s="2" t="str">
        <f>HYPERLINK("http://www.windermere.com/index.cfm?fuseaction=Listing.MultiImageViewer&amp;ListingID=19286628&amp;ln=28016368&amp;pub_mls=1","More")</f>
        <v>More</v>
      </c>
      <c r="AI129" t="s">
        <v>66</v>
      </c>
      <c r="AJ129">
        <v>98115</v>
      </c>
      <c r="AS129" t="s">
        <v>561</v>
      </c>
      <c r="AT129">
        <v>19286628</v>
      </c>
      <c r="AU129" s="12">
        <v>39495</v>
      </c>
      <c r="BB129" t="s">
        <v>912</v>
      </c>
      <c r="BC129" s="7">
        <v>39474</v>
      </c>
      <c r="BG129">
        <v>21</v>
      </c>
      <c r="BH129" s="17">
        <f t="shared" ca="1" si="1"/>
        <v>53</v>
      </c>
      <c r="BI129" s="17"/>
      <c r="BJ129" s="17"/>
    </row>
    <row r="130" spans="1:63" hidden="1">
      <c r="A130">
        <v>28018832</v>
      </c>
      <c r="B130" s="15" t="str">
        <f>HYPERLINK("http://www.windermere.com/index.cfm?fuseaction=Listing.ListingDetail&amp;ListingID=19319599","Active")</f>
        <v>Active</v>
      </c>
      <c r="C130">
        <v>710</v>
      </c>
      <c r="D130" t="s">
        <v>188</v>
      </c>
      <c r="E130" t="s">
        <v>558</v>
      </c>
      <c r="F130" s="10">
        <v>375000</v>
      </c>
      <c r="G130" t="s">
        <v>180</v>
      </c>
      <c r="H130" s="1">
        <v>1374</v>
      </c>
      <c r="I130">
        <v>7245</v>
      </c>
      <c r="J130">
        <v>2</v>
      </c>
      <c r="K130">
        <v>1</v>
      </c>
      <c r="M130" s="2" t="str">
        <f>HYPERLINK("http://www.windermere.com/index.cfm?fuseaction=Listing.MapPropertyInteractive&amp;ListingID=19319599&amp;resize=true&amp;windowWidth=800&amp;windowHeight=600","Map")</f>
        <v>Map</v>
      </c>
      <c r="N130" s="2" t="str">
        <f>HYPERLINK("http://locmedia.nwmls.com/DO_NOT_LINK/bigphoto/832/28018832.jpg?tsp=20080204001046","Photo")</f>
        <v>Photo</v>
      </c>
      <c r="O130" s="2" t="str">
        <f>HYPERLINK("http://www.windermere.com/index.cfm?fuseaction=viewGallery.Home&amp;customTourID=206434&amp;wvt=0","More")</f>
        <v>More</v>
      </c>
      <c r="Q130" t="s">
        <v>56</v>
      </c>
      <c r="R130" t="s">
        <v>67</v>
      </c>
      <c r="S130" t="s">
        <v>84</v>
      </c>
      <c r="T130" t="s">
        <v>95</v>
      </c>
      <c r="U130" t="s">
        <v>44</v>
      </c>
      <c r="X130" t="s">
        <v>47</v>
      </c>
      <c r="Y130" t="s">
        <v>48</v>
      </c>
      <c r="Z130" t="s">
        <v>1015</v>
      </c>
      <c r="AA130" t="s">
        <v>1016</v>
      </c>
      <c r="AB130">
        <v>2008</v>
      </c>
      <c r="AC130">
        <v>2533</v>
      </c>
      <c r="AD130" t="s">
        <v>1017</v>
      </c>
      <c r="AE130" t="s">
        <v>1018</v>
      </c>
      <c r="AF130" t="s">
        <v>1019</v>
      </c>
      <c r="AG130">
        <v>47.707067000000002</v>
      </c>
      <c r="AH130">
        <v>-122.297923</v>
      </c>
      <c r="AI130" t="s">
        <v>66</v>
      </c>
      <c r="AJ130">
        <v>98125</v>
      </c>
      <c r="AK130" t="s">
        <v>41</v>
      </c>
      <c r="AL130" t="s">
        <v>40</v>
      </c>
      <c r="AM130" t="s">
        <v>40</v>
      </c>
      <c r="AO130">
        <v>0.16600000000000001</v>
      </c>
      <c r="AP130" t="s">
        <v>1020</v>
      </c>
      <c r="AQ130">
        <v>505</v>
      </c>
      <c r="AR130" t="s">
        <v>1021</v>
      </c>
      <c r="AS130" t="s">
        <v>559</v>
      </c>
      <c r="AT130">
        <v>19319599</v>
      </c>
      <c r="AU130" s="12">
        <v>39495</v>
      </c>
      <c r="BA130" t="s">
        <v>912</v>
      </c>
      <c r="BB130" t="s">
        <v>912</v>
      </c>
      <c r="BC130" s="7">
        <v>39482</v>
      </c>
      <c r="BD130">
        <v>4</v>
      </c>
      <c r="BE130" t="s">
        <v>1405</v>
      </c>
      <c r="BF130" t="s">
        <v>1345</v>
      </c>
      <c r="BG130">
        <v>13</v>
      </c>
      <c r="BH130" s="17">
        <f t="shared" ca="1" si="1"/>
        <v>45</v>
      </c>
      <c r="BI130" s="17"/>
      <c r="BJ130" s="17"/>
      <c r="BK130" t="str">
        <f>B130</f>
        <v>Active</v>
      </c>
    </row>
    <row r="131" spans="1:63" hidden="1">
      <c r="A131">
        <v>27173474</v>
      </c>
      <c r="B131" s="2" t="str">
        <f>HYPERLINK("http://www.windermere.com/index.cfm?fuseaction=Listing.ListingDetail&amp;ListingID=18679666","Active")</f>
        <v>Active</v>
      </c>
      <c r="D131" t="s">
        <v>920</v>
      </c>
      <c r="E131" t="s">
        <v>564</v>
      </c>
      <c r="F131" s="10">
        <v>376900</v>
      </c>
      <c r="G131" t="s">
        <v>247</v>
      </c>
      <c r="H131" s="1">
        <v>1680</v>
      </c>
      <c r="J131">
        <v>3</v>
      </c>
      <c r="K131">
        <v>3.5</v>
      </c>
      <c r="M131" s="2" t="str">
        <f>HYPERLINK("http://www.windermere.com/index.cfm?fuseaction=Listing.MapPropertyInteractive&amp;ListingID=18679666&amp;resize=true&amp;windowWidth=800&amp;windowHeight=600","Map")</f>
        <v>Map</v>
      </c>
      <c r="O131" s="2" t="str">
        <f>HYPERLINK("http://www.windermere.com/index.cfm?fuseaction=Listing.MultiImageViewer&amp;ListingID=18679666&amp;ln=27173474&amp;pub_mls=1","More")</f>
        <v>More</v>
      </c>
      <c r="AI131" t="s">
        <v>66</v>
      </c>
      <c r="AJ131">
        <v>98125</v>
      </c>
      <c r="AS131" t="s">
        <v>565</v>
      </c>
      <c r="AT131">
        <v>18679666</v>
      </c>
      <c r="AU131" s="12">
        <v>39495</v>
      </c>
      <c r="BB131" t="s">
        <v>912</v>
      </c>
      <c r="BC131" s="7">
        <v>39346</v>
      </c>
      <c r="BG131">
        <v>149</v>
      </c>
      <c r="BH131" s="17">
        <f t="shared" ref="BH131:BH194" ca="1" si="2">TODAY()-BC131</f>
        <v>181</v>
      </c>
      <c r="BI131" s="17"/>
      <c r="BJ131" s="17"/>
    </row>
    <row r="132" spans="1:63" hidden="1">
      <c r="A132">
        <v>28002900</v>
      </c>
      <c r="B132" s="2" t="str">
        <f>HYPERLINK("http://www.windermere.com/index.cfm?fuseaction=Listing.ListingDetail&amp;ListingID=19164242","Active")</f>
        <v>Active</v>
      </c>
      <c r="D132" t="s">
        <v>920</v>
      </c>
      <c r="E132" t="s">
        <v>562</v>
      </c>
      <c r="F132" s="10">
        <v>376900</v>
      </c>
      <c r="G132" t="s">
        <v>247</v>
      </c>
      <c r="H132" s="1">
        <v>1845</v>
      </c>
      <c r="J132">
        <v>3</v>
      </c>
      <c r="K132">
        <v>3.5</v>
      </c>
      <c r="M132" s="2" t="str">
        <f>HYPERLINK("http://www.windermere.com/index.cfm?fuseaction=Listing.MapPropertyInteractive&amp;ListingID=19164242&amp;resize=true&amp;windowWidth=800&amp;windowHeight=600","Map")</f>
        <v>Map</v>
      </c>
      <c r="O132" s="2" t="str">
        <f>HYPERLINK("http://www.windermere.com/index.cfm?fuseaction=Listing.MultiImageViewer&amp;ListingID=19164242&amp;ln=28002900&amp;pub_mls=1","More")</f>
        <v>More</v>
      </c>
      <c r="AI132" t="s">
        <v>66</v>
      </c>
      <c r="AJ132">
        <v>98125</v>
      </c>
      <c r="AS132" t="s">
        <v>563</v>
      </c>
      <c r="AT132">
        <v>19164242</v>
      </c>
      <c r="AU132" s="12">
        <v>39495</v>
      </c>
      <c r="BB132" t="s">
        <v>912</v>
      </c>
      <c r="BC132" s="7">
        <v>39451</v>
      </c>
      <c r="BG132">
        <v>44</v>
      </c>
      <c r="BH132" s="17">
        <f t="shared" ca="1" si="2"/>
        <v>76</v>
      </c>
      <c r="BI132" s="17"/>
      <c r="BJ132" s="17"/>
    </row>
    <row r="133" spans="1:63" hidden="1">
      <c r="A133">
        <v>27150683</v>
      </c>
      <c r="B133" s="2" t="str">
        <f>HYPERLINK("http://www.windermere.com/index.cfm?fuseaction=Listing.ListingDetail&amp;ListingID=18468108","Subject To Inspection")</f>
        <v>Subject To Inspection</v>
      </c>
      <c r="D133" t="s">
        <v>184</v>
      </c>
      <c r="E133" t="s">
        <v>566</v>
      </c>
      <c r="F133" s="10">
        <v>378888</v>
      </c>
      <c r="G133" t="s">
        <v>147</v>
      </c>
      <c r="H133" s="1">
        <v>1800</v>
      </c>
      <c r="J133">
        <v>3</v>
      </c>
      <c r="K133">
        <v>2.5</v>
      </c>
      <c r="M133" s="2" t="str">
        <f>HYPERLINK("http://www.windermere.com/index.cfm?fuseaction=Listing.MapPropertyInteractive&amp;ListingID=18468108&amp;resize=true&amp;windowWidth=800&amp;windowHeight=600","Map")</f>
        <v>Map</v>
      </c>
      <c r="O133" s="2" t="str">
        <f>HYPERLINK("http://www.windermere.com/index.cfm?fuseaction=Listing.MultiImageViewer&amp;ListingID=18468108&amp;ln=27150683&amp;pub_mls=1","More")</f>
        <v>More</v>
      </c>
      <c r="AI133" t="s">
        <v>66</v>
      </c>
      <c r="AJ133">
        <v>98125</v>
      </c>
      <c r="AS133" t="s">
        <v>567</v>
      </c>
      <c r="AT133">
        <v>18468108</v>
      </c>
      <c r="AU133" s="12">
        <v>39495</v>
      </c>
      <c r="BB133" t="s">
        <v>912</v>
      </c>
      <c r="BC133" s="7">
        <v>39482</v>
      </c>
      <c r="BD133">
        <v>-2</v>
      </c>
      <c r="BE133" s="6" t="s">
        <v>1322</v>
      </c>
      <c r="BG133">
        <v>13</v>
      </c>
      <c r="BH133" s="17">
        <f t="shared" ca="1" si="2"/>
        <v>45</v>
      </c>
      <c r="BI133" s="17"/>
      <c r="BJ133" s="17"/>
      <c r="BK133" t="str">
        <f>B133</f>
        <v>Subject To Inspection</v>
      </c>
    </row>
    <row r="134" spans="1:63" hidden="1">
      <c r="A134">
        <v>28023405</v>
      </c>
      <c r="B134" s="2" t="str">
        <f>HYPERLINK("http://www.windermere.com/index.cfm?fuseaction=Listing.ListingDetail&amp;ListingID=19340346","Active")</f>
        <v>Active</v>
      </c>
      <c r="C134">
        <v>710</v>
      </c>
      <c r="D134" t="s">
        <v>184</v>
      </c>
      <c r="E134" t="s">
        <v>568</v>
      </c>
      <c r="F134" s="10">
        <v>379000</v>
      </c>
      <c r="G134" t="s">
        <v>156</v>
      </c>
      <c r="I134">
        <v>6229</v>
      </c>
      <c r="J134">
        <v>3</v>
      </c>
      <c r="K134">
        <v>1</v>
      </c>
      <c r="L134">
        <v>1</v>
      </c>
      <c r="M134" s="2" t="str">
        <f>HYPERLINK("http://www.windermere.com/index.cfm?fuseaction=Listing.MapPropertyInteractive&amp;ListingID=19340346&amp;resize=true&amp;windowWidth=800&amp;windowHeight=600","Map")</f>
        <v>Map</v>
      </c>
      <c r="N134" s="2" t="str">
        <f>HYPERLINK("http://locmedia.nwmls.com/DO_NOT_LINK/bigphoto/405/28023405.jpg?tsp=20080208012058","Photo")</f>
        <v>Photo</v>
      </c>
      <c r="O134" s="2" t="str">
        <f>HYPERLINK("http://www.windermere.com/index.cfm?fuseaction=Listing.MultiImageViewer&amp;ListingID=19340346&amp;ln=28023405&amp;pub_mls=1","More")</f>
        <v>More</v>
      </c>
      <c r="P134" t="s">
        <v>44</v>
      </c>
      <c r="Q134" t="s">
        <v>45</v>
      </c>
      <c r="R134" t="s">
        <v>65</v>
      </c>
      <c r="S134" t="s">
        <v>978</v>
      </c>
      <c r="U134" t="s">
        <v>44</v>
      </c>
      <c r="X134" t="s">
        <v>47</v>
      </c>
      <c r="Y134" t="s">
        <v>48</v>
      </c>
      <c r="Z134" t="s">
        <v>73</v>
      </c>
      <c r="AA134" t="s">
        <v>979</v>
      </c>
      <c r="AB134">
        <v>2007</v>
      </c>
      <c r="AC134">
        <v>2102</v>
      </c>
      <c r="AD134" t="s">
        <v>980</v>
      </c>
      <c r="AE134" t="s">
        <v>966</v>
      </c>
      <c r="AF134" t="s">
        <v>981</v>
      </c>
      <c r="AG134">
        <v>47.719371000000002</v>
      </c>
      <c r="AH134">
        <v>-122.308064</v>
      </c>
      <c r="AI134" t="s">
        <v>66</v>
      </c>
      <c r="AJ134">
        <v>98125</v>
      </c>
      <c r="AK134" t="s">
        <v>41</v>
      </c>
      <c r="AL134" t="s">
        <v>982</v>
      </c>
      <c r="AM134" t="s">
        <v>40</v>
      </c>
      <c r="AO134">
        <v>0.14299999999999999</v>
      </c>
      <c r="AP134" t="s">
        <v>983</v>
      </c>
      <c r="AQ134">
        <v>505</v>
      </c>
      <c r="AR134" t="s">
        <v>187</v>
      </c>
      <c r="AS134" t="s">
        <v>569</v>
      </c>
      <c r="AT134">
        <v>19340346</v>
      </c>
      <c r="AU134" s="12">
        <v>39495</v>
      </c>
      <c r="BA134" t="s">
        <v>912</v>
      </c>
      <c r="BB134" t="s">
        <v>912</v>
      </c>
      <c r="BC134" s="7">
        <v>39486</v>
      </c>
      <c r="BG134">
        <v>9</v>
      </c>
      <c r="BH134" s="17">
        <f t="shared" ca="1" si="2"/>
        <v>41</v>
      </c>
      <c r="BI134" s="17"/>
      <c r="BJ134" s="17"/>
    </row>
    <row r="135" spans="1:63" hidden="1">
      <c r="A135">
        <v>28024018</v>
      </c>
      <c r="B135" s="2" t="str">
        <f>HYPERLINK("http://www.windermere.com/index.cfm?fuseaction=Listing.ListingDetail&amp;ListingID=19343365","Active")</f>
        <v>Active</v>
      </c>
      <c r="D135" t="s">
        <v>55</v>
      </c>
      <c r="E135" t="s">
        <v>358</v>
      </c>
      <c r="F135" s="10">
        <v>379000</v>
      </c>
      <c r="G135" t="s">
        <v>359</v>
      </c>
      <c r="H135" s="1">
        <v>1300</v>
      </c>
      <c r="I135">
        <v>2751</v>
      </c>
      <c r="J135">
        <v>3</v>
      </c>
      <c r="K135">
        <v>2</v>
      </c>
      <c r="M135" s="2" t="str">
        <f>HYPERLINK("http://www.windermere.com/index.cfm?fuseaction=Listing.MapPropertyInteractive&amp;ListingID=19343365&amp;resize=true&amp;windowWidth=800&amp;windowHeight=600","Map")</f>
        <v>Map</v>
      </c>
      <c r="O135" s="2" t="str">
        <f>HYPERLINK("http://www.windermere.com/index.cfm?fuseaction=Listing.MultiImageViewer&amp;ListingID=19343365&amp;ln=28024018&amp;pub_mls=1","More")</f>
        <v>More</v>
      </c>
      <c r="AI135" t="s">
        <v>66</v>
      </c>
      <c r="AJ135">
        <v>98117</v>
      </c>
      <c r="AS135" t="s">
        <v>360</v>
      </c>
      <c r="AT135">
        <v>19343365</v>
      </c>
      <c r="AU135" s="12">
        <v>39495</v>
      </c>
      <c r="BB135" t="s">
        <v>912</v>
      </c>
      <c r="BC135" s="7">
        <v>39486</v>
      </c>
      <c r="BG135">
        <v>9</v>
      </c>
      <c r="BH135" s="17">
        <f t="shared" ca="1" si="2"/>
        <v>41</v>
      </c>
      <c r="BI135" s="17"/>
      <c r="BJ135" s="17"/>
    </row>
    <row r="136" spans="1:63" hidden="1">
      <c r="A136">
        <v>27208138</v>
      </c>
      <c r="B136" s="2" t="str">
        <f>HYPERLINK("http://www.windermere.com/index.cfm?fuseaction=Listing.ListingDetail&amp;ListingID=19036477","Active")</f>
        <v>Active</v>
      </c>
      <c r="D136" t="s">
        <v>66</v>
      </c>
      <c r="E136" t="s">
        <v>572</v>
      </c>
      <c r="F136" s="10">
        <v>379900</v>
      </c>
      <c r="G136" t="s">
        <v>247</v>
      </c>
      <c r="H136" s="1">
        <v>1470</v>
      </c>
      <c r="J136">
        <v>3</v>
      </c>
      <c r="K136">
        <v>2.5</v>
      </c>
      <c r="M136" s="2" t="str">
        <f>HYPERLINK("http://www.windermere.com/index.cfm?fuseaction=Listing.MapPropertyInteractive&amp;ListingID=19036477&amp;resize=true&amp;windowWidth=800&amp;windowHeight=600","Map")</f>
        <v>Map</v>
      </c>
      <c r="AI136" t="s">
        <v>66</v>
      </c>
      <c r="AJ136">
        <v>98133</v>
      </c>
      <c r="AS136" t="s">
        <v>573</v>
      </c>
      <c r="AT136">
        <v>19036477</v>
      </c>
      <c r="AU136" s="12">
        <v>39495</v>
      </c>
      <c r="BB136" t="s">
        <v>912</v>
      </c>
      <c r="BC136" s="7">
        <v>39416</v>
      </c>
      <c r="BG136">
        <v>79</v>
      </c>
      <c r="BH136" s="17">
        <f t="shared" ca="1" si="2"/>
        <v>111</v>
      </c>
      <c r="BI136" s="17"/>
      <c r="BJ136" s="17"/>
    </row>
    <row r="137" spans="1:63" hidden="1">
      <c r="A137">
        <v>28007827</v>
      </c>
      <c r="B137" s="2" t="str">
        <f>HYPERLINK("http://www.windermere.com/index.cfm?fuseaction=Listing.ListingDetail&amp;ListingID=19216135","Active")</f>
        <v>Active</v>
      </c>
      <c r="D137" t="s">
        <v>194</v>
      </c>
      <c r="E137" t="s">
        <v>570</v>
      </c>
      <c r="F137" s="10">
        <v>379900</v>
      </c>
      <c r="G137" t="s">
        <v>161</v>
      </c>
      <c r="H137" s="1">
        <v>1940</v>
      </c>
      <c r="I137">
        <v>4600</v>
      </c>
      <c r="J137">
        <v>3</v>
      </c>
      <c r="K137">
        <v>1.5</v>
      </c>
      <c r="M137" s="2" t="str">
        <f>HYPERLINK("http://www.windermere.com/index.cfm?fuseaction=Listing.MapPropertyInteractive&amp;ListingID=19216135&amp;resize=true&amp;windowWidth=800&amp;windowHeight=600","Map")</f>
        <v>Map</v>
      </c>
      <c r="O137" s="2" t="str">
        <f>HYPERLINK("http://www.windermere.com/index.cfm?fuseaction=Listing.MultiImageViewer&amp;ListingID=19216135&amp;ln=28007827&amp;pub_mls=1","More")</f>
        <v>More</v>
      </c>
      <c r="AI137" t="s">
        <v>66</v>
      </c>
      <c r="AJ137">
        <v>98115</v>
      </c>
      <c r="AS137" t="s">
        <v>571</v>
      </c>
      <c r="AT137">
        <v>19216135</v>
      </c>
      <c r="AU137" s="12">
        <v>39495</v>
      </c>
      <c r="BB137" t="s">
        <v>912</v>
      </c>
      <c r="BC137" s="7">
        <v>39459</v>
      </c>
      <c r="BG137">
        <v>36</v>
      </c>
      <c r="BH137" s="17">
        <f t="shared" ca="1" si="2"/>
        <v>68</v>
      </c>
      <c r="BI137" s="17"/>
      <c r="BJ137" s="17"/>
    </row>
    <row r="138" spans="1:63" hidden="1">
      <c r="A138">
        <v>27201170</v>
      </c>
      <c r="B138" s="2" t="str">
        <f>HYPERLINK("http://www.windermere.com/index.cfm?fuseaction=Listing.ListingDetail&amp;ListingID=18953287","Subject To Inspection")</f>
        <v>Subject To Inspection</v>
      </c>
      <c r="D138" t="s">
        <v>968</v>
      </c>
      <c r="E138" t="s">
        <v>1105</v>
      </c>
      <c r="F138" s="10">
        <v>379950</v>
      </c>
      <c r="G138" t="s">
        <v>147</v>
      </c>
      <c r="H138" s="1">
        <v>1951</v>
      </c>
      <c r="I138">
        <v>1550</v>
      </c>
      <c r="J138">
        <v>3</v>
      </c>
      <c r="K138">
        <v>3.25</v>
      </c>
      <c r="M138" s="2" t="str">
        <f>HYPERLINK("http://www.windermere.com/index.cfm?fuseaction=Listing.MapPropertyInteractive&amp;ListingID=18953287&amp;resize=true&amp;windowWidth=800&amp;windowHeight=600","Map")</f>
        <v>Map</v>
      </c>
      <c r="O138" s="2" t="str">
        <f>HYPERLINK("http://www.windermere.com/index.cfm?fuseaction=Listing.MultiImageViewer&amp;ListingID=18953287&amp;ln=27201170&amp;pub_mls=1","More")</f>
        <v>More</v>
      </c>
      <c r="AI138" t="s">
        <v>396</v>
      </c>
      <c r="AJ138">
        <v>98155</v>
      </c>
      <c r="AS138" t="s">
        <v>1106</v>
      </c>
      <c r="AT138">
        <v>18953287</v>
      </c>
      <c r="AU138" s="12">
        <v>39495</v>
      </c>
      <c r="BB138" t="s">
        <v>912</v>
      </c>
      <c r="BC138" s="7">
        <v>39399</v>
      </c>
      <c r="BG138">
        <v>96</v>
      </c>
      <c r="BH138" s="17">
        <f t="shared" ca="1" si="2"/>
        <v>128</v>
      </c>
      <c r="BI138" s="17"/>
      <c r="BJ138" s="17"/>
      <c r="BK138" t="str">
        <f>B138</f>
        <v>Subject To Inspection</v>
      </c>
    </row>
    <row r="139" spans="1:63" hidden="1">
      <c r="A139">
        <v>27211999</v>
      </c>
      <c r="B139" s="2" t="str">
        <f>HYPERLINK("http://www.windermere.com/index.cfm?fuseaction=Listing.ListingDetail&amp;ListingID=19083952","Subject To Inspection")</f>
        <v>Subject To Inspection</v>
      </c>
      <c r="D139" t="s">
        <v>66</v>
      </c>
      <c r="E139" t="s">
        <v>1107</v>
      </c>
      <c r="F139" s="10">
        <v>379950</v>
      </c>
      <c r="G139" t="s">
        <v>147</v>
      </c>
      <c r="H139" s="1">
        <v>1951</v>
      </c>
      <c r="I139">
        <v>1560</v>
      </c>
      <c r="J139">
        <v>3</v>
      </c>
      <c r="K139">
        <v>3.25</v>
      </c>
      <c r="M139" s="2" t="str">
        <f>HYPERLINK("http://www.windermere.com/index.cfm?fuseaction=Listing.MapPropertyInteractive&amp;ListingID=19083952&amp;resize=true&amp;windowWidth=800&amp;windowHeight=600","Map")</f>
        <v>Map</v>
      </c>
      <c r="O139" s="2" t="str">
        <f>HYPERLINK("http://www.windermere.com/index.cfm?fuseaction=Listing.MultiImageViewer&amp;ListingID=19083952&amp;ln=27211999&amp;pub_mls=1","More")</f>
        <v>More</v>
      </c>
      <c r="AI139" t="s">
        <v>396</v>
      </c>
      <c r="AJ139">
        <v>98155</v>
      </c>
      <c r="AS139" t="s">
        <v>1108</v>
      </c>
      <c r="AT139">
        <v>19083952</v>
      </c>
      <c r="AU139" s="12">
        <v>39495</v>
      </c>
      <c r="BB139" t="s">
        <v>912</v>
      </c>
      <c r="BC139" s="7">
        <v>39427</v>
      </c>
      <c r="BG139">
        <v>68</v>
      </c>
      <c r="BH139" s="17">
        <f t="shared" ca="1" si="2"/>
        <v>100</v>
      </c>
      <c r="BI139" s="17"/>
      <c r="BJ139" s="17"/>
      <c r="BK139" t="str">
        <f>B139</f>
        <v>Subject To Inspection</v>
      </c>
    </row>
    <row r="140" spans="1:63" hidden="1">
      <c r="A140">
        <v>28019593</v>
      </c>
      <c r="B140" s="2" t="str">
        <f>HYPERLINK("http://www.windermere.com/index.cfm?fuseaction=Listing.ListingDetail&amp;ListingID=19310678","Active")</f>
        <v>Active</v>
      </c>
      <c r="D140" t="s">
        <v>60</v>
      </c>
      <c r="E140" t="s">
        <v>574</v>
      </c>
      <c r="F140" s="10">
        <v>379950</v>
      </c>
      <c r="G140" t="s">
        <v>247</v>
      </c>
      <c r="H140" s="1">
        <v>1470</v>
      </c>
      <c r="J140">
        <v>3</v>
      </c>
      <c r="K140">
        <v>2.75</v>
      </c>
      <c r="M140" s="2" t="str">
        <f>HYPERLINK("http://www.windermere.com/index.cfm?fuseaction=Listing.MapPropertyInteractive&amp;ListingID=19310678&amp;resize=true&amp;windowWidth=800&amp;windowHeight=600","Map")</f>
        <v>Map</v>
      </c>
      <c r="AI140" t="s">
        <v>66</v>
      </c>
      <c r="AJ140">
        <v>98103</v>
      </c>
      <c r="AS140" t="s">
        <v>575</v>
      </c>
      <c r="AT140">
        <v>19310678</v>
      </c>
      <c r="AU140" s="12">
        <v>39495</v>
      </c>
      <c r="BB140" t="s">
        <v>912</v>
      </c>
      <c r="BC140" s="7">
        <v>39479</v>
      </c>
      <c r="BG140">
        <v>16</v>
      </c>
      <c r="BH140" s="17">
        <f t="shared" ca="1" si="2"/>
        <v>48</v>
      </c>
      <c r="BI140" s="17"/>
      <c r="BJ140" s="17"/>
    </row>
    <row r="141" spans="1:63" hidden="1">
      <c r="A141">
        <v>28028005</v>
      </c>
      <c r="B141" s="2" t="str">
        <f>HYPERLINK("http://www.windermere.com/index.cfm?fuseaction=Listing.ListingDetail&amp;ListingID=19382507","Active")</f>
        <v>Active</v>
      </c>
      <c r="D141" t="s">
        <v>109</v>
      </c>
      <c r="E141" t="s">
        <v>576</v>
      </c>
      <c r="F141" s="10">
        <v>379950</v>
      </c>
      <c r="G141" t="s">
        <v>247</v>
      </c>
      <c r="H141" s="1">
        <v>1017</v>
      </c>
      <c r="I141">
        <v>980</v>
      </c>
      <c r="J141">
        <v>2</v>
      </c>
      <c r="K141">
        <v>1.5</v>
      </c>
      <c r="M141" s="2" t="str">
        <f>HYPERLINK("http://www.windermere.com/index.cfm?fuseaction=Listing.MapPropertyInteractive&amp;ListingID=19382507&amp;resize=true&amp;windowWidth=800&amp;windowHeight=600","Map")</f>
        <v>Map</v>
      </c>
      <c r="O141" s="2" t="str">
        <f>HYPERLINK("http://www.windermere.com/index.cfm?fuseaction=Listing.MultiImageViewer&amp;ListingID=19382507&amp;ln=28028005&amp;pub_mls=1","More")</f>
        <v>More</v>
      </c>
      <c r="AI141" t="s">
        <v>66</v>
      </c>
      <c r="AJ141">
        <v>98103</v>
      </c>
      <c r="AS141" t="s">
        <v>577</v>
      </c>
      <c r="AT141">
        <v>19382507</v>
      </c>
      <c r="AU141" s="12">
        <v>39495</v>
      </c>
      <c r="BB141" t="s">
        <v>912</v>
      </c>
      <c r="BC141" s="7">
        <v>39494</v>
      </c>
      <c r="BG141">
        <v>1</v>
      </c>
      <c r="BH141" s="17">
        <f t="shared" ca="1" si="2"/>
        <v>33</v>
      </c>
      <c r="BI141" s="17"/>
      <c r="BJ141" s="17"/>
    </row>
    <row r="142" spans="1:63" hidden="1">
      <c r="A142">
        <v>28005633</v>
      </c>
      <c r="B142" s="15" t="str">
        <f>HYPERLINK("http://www.windermere.com/index.cfm?fuseaction=Listing.ListingDetail&amp;ListingID=19193863","Subject To Inspection")</f>
        <v>Subject To Inspection</v>
      </c>
      <c r="D142" t="s">
        <v>88</v>
      </c>
      <c r="E142" t="s">
        <v>361</v>
      </c>
      <c r="F142" s="10">
        <v>380000</v>
      </c>
      <c r="G142" t="s">
        <v>129</v>
      </c>
      <c r="H142" s="1">
        <v>1620</v>
      </c>
      <c r="J142">
        <v>2</v>
      </c>
      <c r="K142">
        <v>1</v>
      </c>
      <c r="M142" s="2" t="str">
        <f>HYPERLINK("http://www.windermere.com/index.cfm?fuseaction=Listing.MapPropertyInteractive&amp;ListingID=19193863&amp;resize=true&amp;windowWidth=800&amp;windowHeight=600","Map")</f>
        <v>Map</v>
      </c>
      <c r="O142" s="2" t="str">
        <f>HYPERLINK("http://www.windermere.com/index.cfm?fuseaction=Listing.MultiImageViewer&amp;ListingID=19193863&amp;ln=28005633&amp;pub_mls=1","More")</f>
        <v>More</v>
      </c>
      <c r="AI142" t="s">
        <v>66</v>
      </c>
      <c r="AJ142">
        <v>98117</v>
      </c>
      <c r="AS142" t="s">
        <v>362</v>
      </c>
      <c r="AT142">
        <v>19193863</v>
      </c>
      <c r="AU142" s="12">
        <v>39495</v>
      </c>
      <c r="BB142" t="s">
        <v>912</v>
      </c>
      <c r="BC142" s="7">
        <v>39457</v>
      </c>
      <c r="BG142">
        <v>38</v>
      </c>
      <c r="BH142" s="17">
        <f t="shared" ca="1" si="2"/>
        <v>70</v>
      </c>
      <c r="BI142" s="17"/>
      <c r="BJ142" s="17"/>
    </row>
    <row r="143" spans="1:63" hidden="1">
      <c r="A143">
        <v>28012841</v>
      </c>
      <c r="B143" s="2" t="str">
        <f>HYPERLINK("http://www.windermere.com/index.cfm?fuseaction=Listing.ListingDetail&amp;ListingID=19257593","Subject To Inspection")</f>
        <v>Subject To Inspection</v>
      </c>
      <c r="D143" t="s">
        <v>218</v>
      </c>
      <c r="E143" t="s">
        <v>578</v>
      </c>
      <c r="F143" s="10">
        <v>380000</v>
      </c>
      <c r="G143" t="s">
        <v>176</v>
      </c>
      <c r="H143">
        <v>870</v>
      </c>
      <c r="I143">
        <v>7128</v>
      </c>
      <c r="J143">
        <v>2</v>
      </c>
      <c r="K143">
        <v>1</v>
      </c>
      <c r="M143" s="2" t="str">
        <f>HYPERLINK("http://www.windermere.com/index.cfm?fuseaction=Listing.MapPropertyInteractive&amp;ListingID=19257593&amp;resize=true&amp;windowWidth=800&amp;windowHeight=600","Map")</f>
        <v>Map</v>
      </c>
      <c r="O143" s="2" t="str">
        <f>HYPERLINK("http://www.windermere.com/index.cfm?fuseaction=Listing.MultiImageViewer&amp;ListingID=19257593&amp;ln=28012841&amp;pub_mls=1","More")</f>
        <v>More</v>
      </c>
      <c r="AI143" t="s">
        <v>66</v>
      </c>
      <c r="AJ143">
        <v>98115</v>
      </c>
      <c r="AS143" t="s">
        <v>579</v>
      </c>
      <c r="AT143">
        <v>19257593</v>
      </c>
      <c r="AU143" s="12">
        <v>39495</v>
      </c>
      <c r="BB143" t="s">
        <v>912</v>
      </c>
      <c r="BC143" s="7">
        <v>39468</v>
      </c>
      <c r="BG143">
        <v>27</v>
      </c>
      <c r="BH143" s="17">
        <f t="shared" ca="1" si="2"/>
        <v>59</v>
      </c>
      <c r="BI143" s="17"/>
      <c r="BJ143" s="17"/>
      <c r="BK143" t="str">
        <f>B143</f>
        <v>Subject To Inspection</v>
      </c>
    </row>
    <row r="144" spans="1:63" hidden="1">
      <c r="A144">
        <v>27173473</v>
      </c>
      <c r="B144" s="2" t="str">
        <f>HYPERLINK("http://www.windermere.com/index.cfm?fuseaction=Listing.ListingDetail&amp;ListingID=18679639","Subject To Inspection")</f>
        <v>Subject To Inspection</v>
      </c>
      <c r="D144" t="s">
        <v>920</v>
      </c>
      <c r="E144" t="s">
        <v>580</v>
      </c>
      <c r="F144" s="10">
        <v>383900</v>
      </c>
      <c r="G144" t="s">
        <v>147</v>
      </c>
      <c r="H144" s="1">
        <v>1680</v>
      </c>
      <c r="J144">
        <v>3</v>
      </c>
      <c r="K144">
        <v>3.5</v>
      </c>
      <c r="M144" s="2" t="str">
        <f>HYPERLINK("http://www.windermere.com/index.cfm?fuseaction=Listing.MapPropertyInteractive&amp;ListingID=18679639&amp;resize=true&amp;windowWidth=800&amp;windowHeight=600","Map")</f>
        <v>Map</v>
      </c>
      <c r="AI144" t="s">
        <v>66</v>
      </c>
      <c r="AJ144">
        <v>98125</v>
      </c>
      <c r="AS144" t="s">
        <v>581</v>
      </c>
      <c r="AT144">
        <v>18679639</v>
      </c>
      <c r="AU144" s="12">
        <v>39495</v>
      </c>
      <c r="BB144" t="s">
        <v>912</v>
      </c>
      <c r="BC144" s="7">
        <v>39346</v>
      </c>
      <c r="BG144">
        <v>149</v>
      </c>
      <c r="BH144" s="17">
        <f t="shared" ca="1" si="2"/>
        <v>181</v>
      </c>
      <c r="BI144" s="17"/>
      <c r="BJ144" s="17"/>
      <c r="BK144" t="str">
        <f>B144</f>
        <v>Subject To Inspection</v>
      </c>
    </row>
    <row r="145" spans="1:63" hidden="1">
      <c r="A145">
        <v>28013863</v>
      </c>
      <c r="B145" s="2" t="str">
        <f>HYPERLINK("http://www.windermere.com/index.cfm?fuseaction=Listing.ListingDetail&amp;ListingID=19264129","Subject To Inspection")</f>
        <v>Subject To Inspection</v>
      </c>
      <c r="D145" t="s">
        <v>920</v>
      </c>
      <c r="E145" t="s">
        <v>582</v>
      </c>
      <c r="F145" s="10">
        <v>383900</v>
      </c>
      <c r="G145" t="s">
        <v>147</v>
      </c>
      <c r="H145" s="1">
        <v>1680</v>
      </c>
      <c r="J145">
        <v>3</v>
      </c>
      <c r="K145">
        <v>3.5</v>
      </c>
      <c r="M145" s="2" t="str">
        <f>HYPERLINK("http://www.windermere.com/index.cfm?fuseaction=Listing.MapPropertyInteractive&amp;ListingID=19264129&amp;resize=true&amp;windowWidth=800&amp;windowHeight=600","Map")</f>
        <v>Map</v>
      </c>
      <c r="AI145" t="s">
        <v>66</v>
      </c>
      <c r="AJ145">
        <v>98125</v>
      </c>
      <c r="AS145" t="s">
        <v>583</v>
      </c>
      <c r="AT145">
        <v>19264129</v>
      </c>
      <c r="AU145" s="12">
        <v>39495</v>
      </c>
      <c r="BB145" t="s">
        <v>912</v>
      </c>
      <c r="BC145" s="7">
        <v>39469</v>
      </c>
      <c r="BG145">
        <v>26</v>
      </c>
      <c r="BH145" s="17">
        <f t="shared" ca="1" si="2"/>
        <v>58</v>
      </c>
      <c r="BI145" s="17"/>
      <c r="BJ145" s="17"/>
      <c r="BK145" t="str">
        <f>B145</f>
        <v>Subject To Inspection</v>
      </c>
    </row>
    <row r="146" spans="1:63" hidden="1">
      <c r="A146">
        <v>28015881</v>
      </c>
      <c r="B146" s="2" t="str">
        <f>HYPERLINK("http://www.windermere.com/index.cfm?fuseaction=Listing.ListingDetail&amp;ListingID=19280440","Active")</f>
        <v>Active</v>
      </c>
      <c r="D146" t="s">
        <v>920</v>
      </c>
      <c r="E146" t="s">
        <v>588</v>
      </c>
      <c r="F146" s="10">
        <v>383900</v>
      </c>
      <c r="G146" t="s">
        <v>247</v>
      </c>
      <c r="H146" s="1">
        <v>1845</v>
      </c>
      <c r="J146">
        <v>3</v>
      </c>
      <c r="K146">
        <v>3.5</v>
      </c>
      <c r="M146" s="2" t="str">
        <f>HYPERLINK("http://www.windermere.com/index.cfm?fuseaction=Listing.MapPropertyInteractive&amp;ListingID=19280440&amp;resize=true&amp;windowWidth=800&amp;windowHeight=600","Map")</f>
        <v>Map</v>
      </c>
      <c r="O146" s="2" t="str">
        <f>HYPERLINK("http://www.windermere.com/index.cfm?fuseaction=Listing.MultiImageViewer&amp;ListingID=19280440&amp;ln=28015881&amp;pub_mls=1","More")</f>
        <v>More</v>
      </c>
      <c r="AI146" t="s">
        <v>66</v>
      </c>
      <c r="AJ146">
        <v>98125</v>
      </c>
      <c r="AS146" t="s">
        <v>589</v>
      </c>
      <c r="AT146">
        <v>19280440</v>
      </c>
      <c r="AU146" s="12">
        <v>39495</v>
      </c>
      <c r="BB146" t="s">
        <v>912</v>
      </c>
      <c r="BC146" s="7">
        <v>39472</v>
      </c>
      <c r="BG146">
        <v>23</v>
      </c>
      <c r="BH146" s="17">
        <f t="shared" ca="1" si="2"/>
        <v>55</v>
      </c>
      <c r="BI146" s="17"/>
      <c r="BJ146" s="17"/>
    </row>
    <row r="147" spans="1:63" hidden="1">
      <c r="A147">
        <v>28015892</v>
      </c>
      <c r="B147" s="2" t="str">
        <f>HYPERLINK("http://www.windermere.com/index.cfm?fuseaction=Listing.ListingDetail&amp;ListingID=19280441","Active")</f>
        <v>Active</v>
      </c>
      <c r="D147" t="s">
        <v>920</v>
      </c>
      <c r="E147" t="s">
        <v>590</v>
      </c>
      <c r="F147" s="10">
        <v>383900</v>
      </c>
      <c r="G147" t="s">
        <v>247</v>
      </c>
      <c r="H147" s="1">
        <v>1845</v>
      </c>
      <c r="J147">
        <v>3</v>
      </c>
      <c r="K147">
        <v>3.5</v>
      </c>
      <c r="M147" s="2" t="str">
        <f>HYPERLINK("http://www.windermere.com/index.cfm?fuseaction=Listing.MapPropertyInteractive&amp;ListingID=19280441&amp;resize=true&amp;windowWidth=800&amp;windowHeight=600","Map")</f>
        <v>Map</v>
      </c>
      <c r="O147" s="2" t="str">
        <f>HYPERLINK("http://www.windermere.com/index.cfm?fuseaction=Listing.MultiImageViewer&amp;ListingID=19280441&amp;ln=28015892&amp;pub_mls=1","More")</f>
        <v>More</v>
      </c>
      <c r="AI147" t="s">
        <v>66</v>
      </c>
      <c r="AJ147">
        <v>98125</v>
      </c>
      <c r="AS147" t="s">
        <v>591</v>
      </c>
      <c r="AT147">
        <v>19280441</v>
      </c>
      <c r="AU147" s="12">
        <v>39495</v>
      </c>
      <c r="BB147" t="s">
        <v>912</v>
      </c>
      <c r="BC147" s="7">
        <v>39472</v>
      </c>
      <c r="BG147">
        <v>23</v>
      </c>
      <c r="BH147" s="17">
        <f t="shared" ca="1" si="2"/>
        <v>55</v>
      </c>
      <c r="BI147" s="17"/>
      <c r="BJ147" s="17"/>
    </row>
    <row r="148" spans="1:63" hidden="1">
      <c r="A148">
        <v>28021767</v>
      </c>
      <c r="B148" s="2" t="str">
        <f>HYPERLINK("http://www.windermere.com/index.cfm?fuseaction=Listing.ListingDetail&amp;ListingID=19327123","Active")</f>
        <v>Active</v>
      </c>
      <c r="D148" t="s">
        <v>920</v>
      </c>
      <c r="E148" t="s">
        <v>584</v>
      </c>
      <c r="F148" s="10">
        <v>383900</v>
      </c>
      <c r="G148" t="s">
        <v>147</v>
      </c>
      <c r="H148" s="1">
        <v>1680</v>
      </c>
      <c r="J148">
        <v>3</v>
      </c>
      <c r="K148">
        <v>3.5</v>
      </c>
      <c r="M148" s="2" t="str">
        <f>HYPERLINK("http://www.windermere.com/index.cfm?fuseaction=Listing.MapPropertyInteractive&amp;ListingID=19327123&amp;resize=true&amp;windowWidth=800&amp;windowHeight=600","Map")</f>
        <v>Map</v>
      </c>
      <c r="O148" s="2" t="str">
        <f>HYPERLINK("http://www.windermere.com/index.cfm?fuseaction=Listing.MultiImageViewer&amp;ListingID=19327123&amp;ln=28021767&amp;pub_mls=1","More")</f>
        <v>More</v>
      </c>
      <c r="AI148" t="s">
        <v>66</v>
      </c>
      <c r="AJ148">
        <v>98125</v>
      </c>
      <c r="AS148" t="s">
        <v>585</v>
      </c>
      <c r="AT148">
        <v>19327123</v>
      </c>
      <c r="AU148" s="12">
        <v>39495</v>
      </c>
      <c r="BB148" t="s">
        <v>912</v>
      </c>
      <c r="BC148" s="7">
        <v>39483</v>
      </c>
      <c r="BG148">
        <v>12</v>
      </c>
      <c r="BH148" s="17">
        <f t="shared" ca="1" si="2"/>
        <v>44</v>
      </c>
      <c r="BI148" s="17"/>
      <c r="BJ148" s="17"/>
    </row>
    <row r="149" spans="1:63" hidden="1">
      <c r="A149">
        <v>28021867</v>
      </c>
      <c r="B149" s="2" t="str">
        <f>HYPERLINK("http://www.windermere.com/index.cfm?fuseaction=Listing.ListingDetail&amp;ListingID=19327718","Active")</f>
        <v>Active</v>
      </c>
      <c r="D149" t="s">
        <v>920</v>
      </c>
      <c r="E149" t="s">
        <v>586</v>
      </c>
      <c r="F149" s="10">
        <v>383900</v>
      </c>
      <c r="G149" t="s">
        <v>147</v>
      </c>
      <c r="H149" s="1">
        <v>1680</v>
      </c>
      <c r="J149">
        <v>3</v>
      </c>
      <c r="K149">
        <v>3.5</v>
      </c>
      <c r="M149" s="2" t="str">
        <f>HYPERLINK("http://www.windermere.com/index.cfm?fuseaction=Listing.MapPropertyInteractive&amp;ListingID=19327718&amp;resize=true&amp;windowWidth=800&amp;windowHeight=600","Map")</f>
        <v>Map</v>
      </c>
      <c r="O149" s="2" t="str">
        <f>HYPERLINK("http://www.windermere.com/index.cfm?fuseaction=Listing.MultiImageViewer&amp;ListingID=19327718&amp;ln=28021867&amp;pub_mls=1","More")</f>
        <v>More</v>
      </c>
      <c r="AI149" t="s">
        <v>66</v>
      </c>
      <c r="AJ149">
        <v>98125</v>
      </c>
      <c r="AS149" t="s">
        <v>587</v>
      </c>
      <c r="AT149">
        <v>19327718</v>
      </c>
      <c r="AU149" s="12">
        <v>39495</v>
      </c>
      <c r="BB149" t="s">
        <v>912</v>
      </c>
      <c r="BC149" s="7">
        <v>39483</v>
      </c>
      <c r="BG149">
        <v>12</v>
      </c>
      <c r="BH149" s="17">
        <f t="shared" ca="1" si="2"/>
        <v>44</v>
      </c>
      <c r="BI149" s="17"/>
      <c r="BJ149" s="17"/>
    </row>
    <row r="150" spans="1:63" hidden="1">
      <c r="A150">
        <v>28000694</v>
      </c>
      <c r="B150" s="2" t="str">
        <f>HYPERLINK("http://www.windermere.com/index.cfm?fuseaction=Listing.ListingDetail&amp;ListingID=19147164","Active")</f>
        <v>Active</v>
      </c>
      <c r="D150" t="s">
        <v>1109</v>
      </c>
      <c r="E150" t="s">
        <v>592</v>
      </c>
      <c r="F150" s="10">
        <v>384950</v>
      </c>
      <c r="G150" t="s">
        <v>248</v>
      </c>
      <c r="H150" s="1">
        <v>1720</v>
      </c>
      <c r="I150">
        <v>3247</v>
      </c>
      <c r="J150">
        <v>3</v>
      </c>
      <c r="K150">
        <v>2.5</v>
      </c>
      <c r="M150" s="2" t="str">
        <f>HYPERLINK("http://www.windermere.com/index.cfm?fuseaction=Listing.MapPropertyInteractive&amp;ListingID=19147164&amp;resize=true&amp;windowWidth=800&amp;windowHeight=600","Map")</f>
        <v>Map</v>
      </c>
      <c r="O150" s="2" t="str">
        <f>HYPERLINK("http://www.windermere.com/index.cfm?fuseaction=viewGallery.Home&amp;customTourID=196131&amp;wvt=0","More")</f>
        <v>More</v>
      </c>
      <c r="AI150" t="s">
        <v>66</v>
      </c>
      <c r="AJ150">
        <v>98177</v>
      </c>
      <c r="AS150" t="s">
        <v>593</v>
      </c>
      <c r="AT150">
        <v>19147164</v>
      </c>
      <c r="AU150" s="12">
        <v>39495</v>
      </c>
      <c r="BB150" t="s">
        <v>912</v>
      </c>
      <c r="BC150" s="7">
        <v>39449</v>
      </c>
      <c r="BG150">
        <v>46</v>
      </c>
      <c r="BH150" s="17">
        <f t="shared" ca="1" si="2"/>
        <v>78</v>
      </c>
      <c r="BI150" s="17"/>
      <c r="BJ150" s="17"/>
    </row>
    <row r="151" spans="1:63" hidden="1">
      <c r="A151">
        <v>28028536</v>
      </c>
      <c r="B151" s="2" t="str">
        <f>HYPERLINK("http://www.windermere.com/index.cfm?fuseaction=Listing.ListingDetail&amp;ListingID=19382798","Active")</f>
        <v>Active</v>
      </c>
      <c r="D151" t="s">
        <v>109</v>
      </c>
      <c r="E151" t="s">
        <v>594</v>
      </c>
      <c r="F151" s="10">
        <v>384950</v>
      </c>
      <c r="G151" t="s">
        <v>247</v>
      </c>
      <c r="H151" s="1">
        <v>1045</v>
      </c>
      <c r="I151">
        <v>1000</v>
      </c>
      <c r="J151">
        <v>2</v>
      </c>
      <c r="K151">
        <v>1.5</v>
      </c>
      <c r="M151" s="2" t="str">
        <f>HYPERLINK("http://www.windermere.com/index.cfm?fuseaction=Listing.MapPropertyInteractive&amp;ListingID=19382798&amp;resize=true&amp;windowWidth=800&amp;windowHeight=600","Map")</f>
        <v>Map</v>
      </c>
      <c r="O151" s="2" t="str">
        <f>HYPERLINK("http://www.windermere.com/index.cfm?fuseaction=Listing.MultiImageViewer&amp;ListingID=19382798&amp;ln=28028536&amp;pub_mls=1","More")</f>
        <v>More</v>
      </c>
      <c r="AI151" t="s">
        <v>66</v>
      </c>
      <c r="AJ151">
        <v>98103</v>
      </c>
      <c r="AS151" t="s">
        <v>595</v>
      </c>
      <c r="AT151">
        <v>19382798</v>
      </c>
      <c r="AU151" s="12">
        <v>39495</v>
      </c>
      <c r="BB151" t="s">
        <v>912</v>
      </c>
      <c r="BC151" s="7">
        <v>39494</v>
      </c>
      <c r="BG151">
        <v>1</v>
      </c>
      <c r="BH151" s="17">
        <f t="shared" ca="1" si="2"/>
        <v>33</v>
      </c>
      <c r="BI151" s="17"/>
      <c r="BJ151" s="17"/>
    </row>
    <row r="152" spans="1:63" hidden="1">
      <c r="A152">
        <v>27194397</v>
      </c>
      <c r="B152" s="2" t="str">
        <f>HYPERLINK("http://www.windermere.com/index.cfm?fuseaction=Listing.ListingDetail&amp;ListingID=18891692","Active")</f>
        <v>Active</v>
      </c>
      <c r="D152" t="s">
        <v>60</v>
      </c>
      <c r="E152" t="s">
        <v>598</v>
      </c>
      <c r="F152" s="10">
        <v>385000</v>
      </c>
      <c r="G152" t="s">
        <v>599</v>
      </c>
      <c r="H152" s="1">
        <v>1466</v>
      </c>
      <c r="J152">
        <v>3</v>
      </c>
      <c r="K152">
        <v>2.75</v>
      </c>
      <c r="M152" s="2" t="str">
        <f>HYPERLINK("http://www.windermere.com/index.cfm?fuseaction=Listing.MapPropertyInteractive&amp;ListingID=18891692&amp;resize=true&amp;windowWidth=800&amp;windowHeight=600","Map")</f>
        <v>Map</v>
      </c>
      <c r="O152" s="2" t="str">
        <f>HYPERLINK("http://www.windermere.com/index.cfm?fuseaction=Listing.MultiImageViewer&amp;ListingID=18891692&amp;ln=27194397&amp;pub_mls=1","More")</f>
        <v>More</v>
      </c>
      <c r="AI152" t="s">
        <v>66</v>
      </c>
      <c r="AJ152">
        <v>98103</v>
      </c>
      <c r="AS152" t="s">
        <v>600</v>
      </c>
      <c r="AT152">
        <v>18891692</v>
      </c>
      <c r="AU152" s="12">
        <v>39495</v>
      </c>
      <c r="BB152" t="s">
        <v>912</v>
      </c>
      <c r="BC152" s="7">
        <v>39386</v>
      </c>
      <c r="BG152">
        <v>109</v>
      </c>
      <c r="BH152" s="17">
        <f t="shared" ca="1" si="2"/>
        <v>141</v>
      </c>
      <c r="BI152" s="17"/>
      <c r="BJ152" s="17"/>
    </row>
    <row r="153" spans="1:63" hidden="1">
      <c r="A153">
        <v>28007321</v>
      </c>
      <c r="B153" s="2" t="str">
        <f>HYPERLINK("http://www.windermere.com/index.cfm?fuseaction=Listing.ListingDetail&amp;ListingID=19206266","Active")</f>
        <v>Active</v>
      </c>
      <c r="D153" t="s">
        <v>78</v>
      </c>
      <c r="E153" t="s">
        <v>363</v>
      </c>
      <c r="F153" s="10">
        <v>385000</v>
      </c>
      <c r="G153" t="s">
        <v>256</v>
      </c>
      <c r="H153" s="1">
        <v>1330</v>
      </c>
      <c r="J153">
        <v>3</v>
      </c>
      <c r="K153">
        <v>2.5</v>
      </c>
      <c r="M153" s="2" t="str">
        <f>HYPERLINK("http://www.windermere.com/index.cfm?fuseaction=Listing.MapPropertyInteractive&amp;ListingID=19206266&amp;resize=true&amp;windowWidth=800&amp;windowHeight=600","Map")</f>
        <v>Map</v>
      </c>
      <c r="O153" s="2" t="str">
        <f>HYPERLINK("http://www.windermere.com/index.cfm?fuseaction=Listing.MultiImageViewer&amp;ListingID=19206266&amp;ln=28007321&amp;pub_mls=1","More")</f>
        <v>More</v>
      </c>
      <c r="AI153" t="s">
        <v>66</v>
      </c>
      <c r="AJ153">
        <v>98117</v>
      </c>
      <c r="AS153" t="s">
        <v>364</v>
      </c>
      <c r="AT153">
        <v>19206266</v>
      </c>
      <c r="AU153" s="12">
        <v>39495</v>
      </c>
      <c r="BB153" t="s">
        <v>912</v>
      </c>
      <c r="BC153" s="7">
        <v>39458</v>
      </c>
      <c r="BG153">
        <v>37</v>
      </c>
      <c r="BH153" s="17">
        <f t="shared" ca="1" si="2"/>
        <v>69</v>
      </c>
      <c r="BI153" s="17"/>
      <c r="BJ153" s="17"/>
    </row>
    <row r="154" spans="1:63" hidden="1">
      <c r="A154">
        <v>28022095</v>
      </c>
      <c r="B154" s="2" t="str">
        <f>HYPERLINK("http://www.windermere.com/index.cfm?fuseaction=Listing.ListingDetail&amp;ListingID=19332676","Active")</f>
        <v>Active</v>
      </c>
      <c r="C154">
        <v>705</v>
      </c>
      <c r="D154" t="s">
        <v>920</v>
      </c>
      <c r="E154" t="s">
        <v>596</v>
      </c>
      <c r="F154" s="10">
        <v>385000</v>
      </c>
      <c r="G154" t="s">
        <v>146</v>
      </c>
      <c r="H154" s="1">
        <v>1060</v>
      </c>
      <c r="I154">
        <v>6000</v>
      </c>
      <c r="J154">
        <v>2</v>
      </c>
      <c r="K154">
        <v>1</v>
      </c>
      <c r="L154">
        <v>1</v>
      </c>
      <c r="M154" s="2" t="str">
        <f>HYPERLINK("http://www.windermere.com/index.cfm?fuseaction=Listing.MapPropertyInteractive&amp;ListingID=19332676&amp;resize=true&amp;windowWidth=800&amp;windowHeight=600","Map")</f>
        <v>Map</v>
      </c>
      <c r="N154" s="2" t="str">
        <f>HYPERLINK("http://locmedia.nwmls.com/DO_NOT_LINK/bigphoto/095/28022095.jpg?tsp=20080207091702","Photo")</f>
        <v>Photo</v>
      </c>
      <c r="O154" s="2" t="str">
        <f>HYPERLINK("http://www.windermere.com/index.cfm?fuseaction=Listing.MultiImageViewer&amp;ListingID=19332676&amp;ln=28022095&amp;pub_mls=1","More")</f>
        <v>More</v>
      </c>
      <c r="Q154" t="s">
        <v>56</v>
      </c>
      <c r="R154" t="s">
        <v>67</v>
      </c>
      <c r="S154" t="s">
        <v>58</v>
      </c>
      <c r="X154" t="s">
        <v>47</v>
      </c>
      <c r="Y154" t="s">
        <v>48</v>
      </c>
      <c r="Z154" t="s">
        <v>87</v>
      </c>
      <c r="AB154">
        <v>2007</v>
      </c>
      <c r="AC154">
        <v>2863</v>
      </c>
      <c r="AD154" t="s">
        <v>921</v>
      </c>
      <c r="AE154" t="s">
        <v>922</v>
      </c>
      <c r="AF154" t="s">
        <v>923</v>
      </c>
      <c r="AG154">
        <v>47.706873999999999</v>
      </c>
      <c r="AH154">
        <v>-122.338292</v>
      </c>
      <c r="AI154" t="s">
        <v>66</v>
      </c>
      <c r="AJ154">
        <v>98133</v>
      </c>
      <c r="AK154" t="s">
        <v>41</v>
      </c>
      <c r="AL154" t="s">
        <v>40</v>
      </c>
      <c r="AM154" t="s">
        <v>40</v>
      </c>
      <c r="AO154">
        <v>0.13800000000000001</v>
      </c>
      <c r="AP154" t="s">
        <v>924</v>
      </c>
      <c r="AQ154">
        <v>505</v>
      </c>
      <c r="AR154" t="s">
        <v>925</v>
      </c>
      <c r="AS154" t="s">
        <v>597</v>
      </c>
      <c r="AT154">
        <v>19332676</v>
      </c>
      <c r="AU154" s="12">
        <v>39495</v>
      </c>
      <c r="BA154" t="s">
        <v>912</v>
      </c>
      <c r="BB154" t="s">
        <v>912</v>
      </c>
      <c r="BC154" s="7">
        <v>39484</v>
      </c>
      <c r="BG154">
        <v>11</v>
      </c>
      <c r="BH154" s="17">
        <f t="shared" ca="1" si="2"/>
        <v>43</v>
      </c>
      <c r="BI154" s="17"/>
      <c r="BJ154" s="17"/>
    </row>
    <row r="155" spans="1:63" hidden="1">
      <c r="A155">
        <v>27160662</v>
      </c>
      <c r="B155" s="2" t="str">
        <f>HYPERLINK("http://www.windermere.com/index.cfm?fuseaction=Listing.ListingDetail&amp;ListingID=18555463","Active")</f>
        <v>Active</v>
      </c>
      <c r="D155" t="s">
        <v>63</v>
      </c>
      <c r="E155" t="s">
        <v>601</v>
      </c>
      <c r="F155" s="10">
        <v>389950</v>
      </c>
      <c r="G155" t="s">
        <v>147</v>
      </c>
      <c r="H155" s="1">
        <v>1320</v>
      </c>
      <c r="J155">
        <v>2</v>
      </c>
      <c r="K155">
        <v>2.5</v>
      </c>
      <c r="M155" s="2" t="str">
        <f>HYPERLINK("http://www.windermere.com/index.cfm?fuseaction=Listing.MapPropertyInteractive&amp;ListingID=18555463&amp;resize=true&amp;windowWidth=800&amp;windowHeight=600","Map")</f>
        <v>Map</v>
      </c>
      <c r="O155" s="2" t="str">
        <f>HYPERLINK("http://www.windermere.com/index.cfm?fuseaction=Listing.MultiImageViewer&amp;ListingID=18555463&amp;ln=27160662&amp;pub_mls=1","More")</f>
        <v>More</v>
      </c>
      <c r="P155" t="s">
        <v>44</v>
      </c>
      <c r="AI155" t="s">
        <v>66</v>
      </c>
      <c r="AJ155">
        <v>98107</v>
      </c>
      <c r="AS155" t="s">
        <v>602</v>
      </c>
      <c r="AT155">
        <v>18555463</v>
      </c>
      <c r="AU155" s="12">
        <v>39495</v>
      </c>
      <c r="BB155" t="s">
        <v>912</v>
      </c>
      <c r="BC155" s="7">
        <v>39326</v>
      </c>
      <c r="BD155">
        <v>3</v>
      </c>
      <c r="BE155" s="6" t="s">
        <v>1326</v>
      </c>
      <c r="BG155">
        <v>169</v>
      </c>
      <c r="BH155" s="17">
        <f t="shared" ca="1" si="2"/>
        <v>201</v>
      </c>
      <c r="BI155" s="17"/>
      <c r="BJ155" s="17"/>
    </row>
    <row r="156" spans="1:63" hidden="1">
      <c r="A156">
        <v>27169915</v>
      </c>
      <c r="B156" s="2" t="str">
        <f>HYPERLINK("http://www.windermere.com/index.cfm?fuseaction=Listing.ListingDetail&amp;ListingID=19358299","Active")</f>
        <v>Active</v>
      </c>
      <c r="D156" t="s">
        <v>968</v>
      </c>
      <c r="E156" t="s">
        <v>1110</v>
      </c>
      <c r="F156" s="10">
        <v>389950</v>
      </c>
      <c r="G156" t="s">
        <v>180</v>
      </c>
      <c r="H156" s="1">
        <v>1780</v>
      </c>
      <c r="I156">
        <v>5815</v>
      </c>
      <c r="J156">
        <v>3</v>
      </c>
      <c r="K156">
        <v>1.75</v>
      </c>
      <c r="M156" s="2" t="str">
        <f>HYPERLINK("http://www.windermere.com/index.cfm?fuseaction=Listing.MapPropertyInteractive&amp;ListingID=19358299&amp;resize=true&amp;windowWidth=800&amp;windowHeight=600","Map")</f>
        <v>Map</v>
      </c>
      <c r="O156" s="2" t="str">
        <f>HYPERLINK("http://www.windermere.com/index.cfm?fuseaction=Listing.MultiImageViewer&amp;ListingID=19358299&amp;ln=27169915&amp;pub_mls=1","More")</f>
        <v>More</v>
      </c>
      <c r="AI156" t="s">
        <v>66</v>
      </c>
      <c r="AJ156">
        <v>98125</v>
      </c>
      <c r="AS156" t="s">
        <v>1111</v>
      </c>
      <c r="AT156">
        <v>19358299</v>
      </c>
      <c r="AU156" s="12">
        <v>39495</v>
      </c>
      <c r="BB156" t="s">
        <v>912</v>
      </c>
      <c r="BC156" s="7">
        <v>39342</v>
      </c>
      <c r="BG156">
        <v>153</v>
      </c>
      <c r="BH156" s="17">
        <f t="shared" ca="1" si="2"/>
        <v>185</v>
      </c>
      <c r="BI156" s="17"/>
      <c r="BJ156" s="17"/>
    </row>
    <row r="157" spans="1:63" hidden="1">
      <c r="A157">
        <v>27195521</v>
      </c>
      <c r="B157" s="2" t="str">
        <f>HYPERLINK("http://www.windermere.com/index.cfm?fuseaction=Listing.ListingDetail&amp;ListingID=18898391","Active")</f>
        <v>Active</v>
      </c>
      <c r="D157" t="s">
        <v>63</v>
      </c>
      <c r="E157" t="s">
        <v>366</v>
      </c>
      <c r="F157" s="10">
        <v>389950</v>
      </c>
      <c r="G157" t="s">
        <v>134</v>
      </c>
      <c r="H157">
        <v>980</v>
      </c>
      <c r="I157">
        <v>3200</v>
      </c>
      <c r="J157">
        <v>2</v>
      </c>
      <c r="K157">
        <v>1</v>
      </c>
      <c r="M157" s="2" t="str">
        <f>HYPERLINK("http://www.windermere.com/index.cfm?fuseaction=Listing.MapPropertyInteractive&amp;ListingID=18898391&amp;resize=true&amp;windowWidth=800&amp;windowHeight=600","Map")</f>
        <v>Map</v>
      </c>
      <c r="O157" s="2" t="str">
        <f>HYPERLINK("http://www.windermere.com/index.cfm?fuseaction=Listing.MultiImageViewer&amp;ListingID=18898391&amp;ln=27195521&amp;pub_mls=1","More")</f>
        <v>More</v>
      </c>
      <c r="AI157" t="s">
        <v>66</v>
      </c>
      <c r="AJ157">
        <v>98117</v>
      </c>
      <c r="AS157" t="s">
        <v>367</v>
      </c>
      <c r="AT157">
        <v>18898391</v>
      </c>
      <c r="AU157" s="12">
        <v>39495</v>
      </c>
      <c r="BB157" t="s">
        <v>912</v>
      </c>
      <c r="BC157" s="7">
        <v>39387</v>
      </c>
      <c r="BG157">
        <v>108</v>
      </c>
      <c r="BH157" s="17">
        <f t="shared" ca="1" si="2"/>
        <v>140</v>
      </c>
      <c r="BI157" s="17"/>
      <c r="BJ157" s="17"/>
    </row>
    <row r="158" spans="1:63" hidden="1">
      <c r="A158">
        <v>28020840</v>
      </c>
      <c r="B158" s="15" t="str">
        <f>HYPERLINK("http://www.windermere.com/index.cfm?fuseaction=Listing.ListingDetail&amp;ListingID=19330920","Subject To Inspection")</f>
        <v>Subject To Inspection</v>
      </c>
      <c r="C158">
        <v>705</v>
      </c>
      <c r="D158" t="s">
        <v>78</v>
      </c>
      <c r="E158" t="s">
        <v>136</v>
      </c>
      <c r="F158" s="10">
        <v>389950</v>
      </c>
      <c r="G158" t="s">
        <v>137</v>
      </c>
      <c r="H158">
        <v>800</v>
      </c>
      <c r="I158">
        <v>2880</v>
      </c>
      <c r="J158">
        <v>2</v>
      </c>
      <c r="K158">
        <v>1</v>
      </c>
      <c r="L158">
        <v>1</v>
      </c>
      <c r="M158" s="2" t="str">
        <f>HYPERLINK("http://www.windermere.com/index.cfm?fuseaction=Listing.MapPropertyInteractive&amp;ListingID=19330920&amp;resize=true&amp;windowWidth=800&amp;windowHeight=600","Map")</f>
        <v>Map</v>
      </c>
      <c r="N158" s="2" t="str">
        <f>HYPERLINK("http://locmedia.nwmls.com/DO_NOT_LINK/bigphoto/840/28020840.jpg?tsp=20080206092356","Photo")</f>
        <v>Photo</v>
      </c>
      <c r="O158" s="2" t="str">
        <f>HYPERLINK("http://www.windermere.com/index.cfm?fuseaction=viewGallery.Home&amp;customTourID=197620&amp;wvt=0","More")</f>
        <v>More</v>
      </c>
      <c r="Q158" t="s">
        <v>56</v>
      </c>
      <c r="R158" t="s">
        <v>72</v>
      </c>
      <c r="S158" t="s">
        <v>53</v>
      </c>
      <c r="U158" t="s">
        <v>44</v>
      </c>
      <c r="X158" t="s">
        <v>47</v>
      </c>
      <c r="Y158" t="s">
        <v>48</v>
      </c>
      <c r="Z158" t="s">
        <v>80</v>
      </c>
      <c r="AB158">
        <v>2007</v>
      </c>
      <c r="AC158">
        <v>3215</v>
      </c>
      <c r="AD158" t="s">
        <v>926</v>
      </c>
      <c r="AG158">
        <v>47.686762999999999</v>
      </c>
      <c r="AH158">
        <v>-122.394105</v>
      </c>
      <c r="AI158" t="s">
        <v>66</v>
      </c>
      <c r="AJ158">
        <v>98117</v>
      </c>
      <c r="AK158" t="s">
        <v>41</v>
      </c>
      <c r="AL158" t="s">
        <v>40</v>
      </c>
      <c r="AM158" t="s">
        <v>40</v>
      </c>
      <c r="AO158">
        <v>6.6000000000000003E-2</v>
      </c>
      <c r="AP158" t="s">
        <v>927</v>
      </c>
      <c r="AQ158">
        <v>534</v>
      </c>
      <c r="AR158" t="s">
        <v>79</v>
      </c>
      <c r="AS158" t="s">
        <v>365</v>
      </c>
      <c r="AT158">
        <v>19330920</v>
      </c>
      <c r="AU158" s="12">
        <v>39495</v>
      </c>
      <c r="BA158" t="s">
        <v>912</v>
      </c>
      <c r="BB158" t="s">
        <v>912</v>
      </c>
      <c r="BC158" s="7">
        <v>39484</v>
      </c>
      <c r="BG158">
        <v>11</v>
      </c>
      <c r="BH158" s="17">
        <f t="shared" ca="1" si="2"/>
        <v>43</v>
      </c>
      <c r="BI158" s="17"/>
      <c r="BJ158" s="17"/>
    </row>
    <row r="159" spans="1:63" hidden="1">
      <c r="A159">
        <v>27201655</v>
      </c>
      <c r="B159" s="2" t="str">
        <f>HYPERLINK("http://www.windermere.com/index.cfm?fuseaction=Listing.ListingDetail&amp;ListingID=18955854","Active")</f>
        <v>Active</v>
      </c>
      <c r="D159" t="s">
        <v>70</v>
      </c>
      <c r="E159" t="s">
        <v>133</v>
      </c>
      <c r="F159" s="10">
        <v>394950</v>
      </c>
      <c r="G159" t="s">
        <v>134</v>
      </c>
      <c r="H159" s="1">
        <v>1800</v>
      </c>
      <c r="I159">
        <v>5040</v>
      </c>
      <c r="J159">
        <v>4</v>
      </c>
      <c r="K159">
        <v>1.75</v>
      </c>
      <c r="M159" s="2" t="str">
        <f>HYPERLINK("http://www.windermere.com/index.cfm?fuseaction=Listing.MapPropertyInteractive&amp;ListingID=18955854&amp;resize=true&amp;windowWidth=800&amp;windowHeight=600","Map")</f>
        <v>Map</v>
      </c>
      <c r="O159" s="2" t="str">
        <f>HYPERLINK("http://www.windermere.com/index.cfm?fuseaction=Listing.MultiImageViewer&amp;ListingID=18955854&amp;ln=27201655&amp;pub_mls=1","More")</f>
        <v>More</v>
      </c>
      <c r="AI159" t="s">
        <v>66</v>
      </c>
      <c r="AJ159">
        <v>98133</v>
      </c>
      <c r="AS159" t="s">
        <v>603</v>
      </c>
      <c r="AT159">
        <v>18955854</v>
      </c>
      <c r="AU159" s="12">
        <v>39495</v>
      </c>
      <c r="BB159" t="s">
        <v>912</v>
      </c>
      <c r="BC159" s="7">
        <v>39399</v>
      </c>
      <c r="BG159">
        <v>96</v>
      </c>
      <c r="BH159" s="17">
        <f t="shared" ca="1" si="2"/>
        <v>128</v>
      </c>
      <c r="BI159" s="17"/>
      <c r="BJ159" s="17"/>
    </row>
    <row r="160" spans="1:63" hidden="1">
      <c r="A160">
        <v>27096757</v>
      </c>
      <c r="B160" s="2" t="str">
        <f>HYPERLINK("http://www.windermere.com/index.cfm?fuseaction=Listing.ListingDetail&amp;ListingID=18006149","Active")</f>
        <v>Active</v>
      </c>
      <c r="D160" t="s">
        <v>63</v>
      </c>
      <c r="E160" t="s">
        <v>604</v>
      </c>
      <c r="F160" s="10">
        <v>394990</v>
      </c>
      <c r="G160" t="s">
        <v>247</v>
      </c>
      <c r="H160" s="1">
        <v>1620</v>
      </c>
      <c r="J160">
        <v>3</v>
      </c>
      <c r="K160">
        <v>2.5</v>
      </c>
      <c r="M160" s="2" t="str">
        <f>HYPERLINK("http://www.windermere.com/index.cfm?fuseaction=Listing.MapPropertyInteractive&amp;ListingID=18006149&amp;resize=true&amp;windowWidth=800&amp;windowHeight=600","Map")</f>
        <v>Map</v>
      </c>
      <c r="O160" s="2" t="str">
        <f>HYPERLINK("http://www.windermere.com/index.cfm?fuseaction=Listing.MultiImageViewer&amp;ListingID=18006149&amp;ln=27096757&amp;pub_mls=1","More")</f>
        <v>More</v>
      </c>
      <c r="AI160" t="s">
        <v>66</v>
      </c>
      <c r="AJ160">
        <v>98107</v>
      </c>
      <c r="AS160" t="s">
        <v>605</v>
      </c>
      <c r="AT160">
        <v>18006149</v>
      </c>
      <c r="AU160" s="12">
        <v>39495</v>
      </c>
      <c r="BB160" t="s">
        <v>912</v>
      </c>
      <c r="BC160" s="7">
        <v>39233</v>
      </c>
      <c r="BD160">
        <v>1</v>
      </c>
      <c r="BG160">
        <v>262</v>
      </c>
      <c r="BH160" s="17">
        <f t="shared" ca="1" si="2"/>
        <v>294</v>
      </c>
      <c r="BI160" s="17"/>
      <c r="BJ160" s="17"/>
    </row>
    <row r="161" spans="1:63" hidden="1">
      <c r="A161">
        <v>27115725</v>
      </c>
      <c r="B161" s="2" t="str">
        <f>HYPERLINK("http://www.windermere.com/index.cfm?fuseaction=Listing.ListingDetail&amp;ListingID=18156528","Subject To Inspection")</f>
        <v>Subject To Inspection</v>
      </c>
      <c r="D161" t="s">
        <v>63</v>
      </c>
      <c r="E161" t="s">
        <v>606</v>
      </c>
      <c r="F161" s="10">
        <v>394990</v>
      </c>
      <c r="G161" t="s">
        <v>247</v>
      </c>
      <c r="H161" s="1">
        <v>1441</v>
      </c>
      <c r="J161">
        <v>3</v>
      </c>
      <c r="K161">
        <v>2.5</v>
      </c>
      <c r="M161" s="2" t="str">
        <f>HYPERLINK("http://www.windermere.com/index.cfm?fuseaction=Listing.MapPropertyInteractive&amp;ListingID=18156528&amp;resize=true&amp;windowWidth=800&amp;windowHeight=600","Map")</f>
        <v>Map</v>
      </c>
      <c r="O161" s="2" t="str">
        <f>HYPERLINK("http://www.windermere.com/index.cfm?fuseaction=Listing.MultiImageViewer&amp;ListingID=18156528&amp;ln=27115725&amp;pub_mls=1","More")</f>
        <v>More</v>
      </c>
      <c r="AI161" t="s">
        <v>66</v>
      </c>
      <c r="AJ161">
        <v>98107</v>
      </c>
      <c r="AS161" t="s">
        <v>607</v>
      </c>
      <c r="AT161">
        <v>18156528</v>
      </c>
      <c r="AU161" s="12">
        <v>39495</v>
      </c>
      <c r="BB161" t="s">
        <v>912</v>
      </c>
      <c r="BC161" s="7">
        <v>39259</v>
      </c>
      <c r="BD161">
        <v>1</v>
      </c>
      <c r="BG161">
        <v>236</v>
      </c>
      <c r="BH161" s="17">
        <f t="shared" ca="1" si="2"/>
        <v>268</v>
      </c>
      <c r="BI161" s="17"/>
      <c r="BJ161" s="17"/>
      <c r="BK161" t="str">
        <f>B161</f>
        <v>Subject To Inspection</v>
      </c>
    </row>
    <row r="162" spans="1:63" hidden="1">
      <c r="A162">
        <v>27194183</v>
      </c>
      <c r="B162" s="2" t="str">
        <f>HYPERLINK("http://www.windermere.com/index.cfm?fuseaction=Listing.ListingDetail&amp;ListingID=18887114","Active")</f>
        <v>Active</v>
      </c>
      <c r="D162" t="s">
        <v>109</v>
      </c>
      <c r="E162" t="s">
        <v>608</v>
      </c>
      <c r="F162" s="10">
        <v>395000</v>
      </c>
      <c r="G162" t="s">
        <v>186</v>
      </c>
      <c r="H162" s="1">
        <v>1740</v>
      </c>
      <c r="I162">
        <v>4000</v>
      </c>
      <c r="J162">
        <v>3</v>
      </c>
      <c r="K162">
        <v>1.5</v>
      </c>
      <c r="M162" s="2" t="str">
        <f>HYPERLINK("http://www.windermere.com/index.cfm?fuseaction=Listing.MapPropertyInteractive&amp;ListingID=18887114&amp;resize=true&amp;windowWidth=800&amp;windowHeight=600","Map")</f>
        <v>Map</v>
      </c>
      <c r="O162" s="2" t="str">
        <f>HYPERLINK("http://www.windermere.com/index.cfm?fuseaction=Listing.MultiImageViewer&amp;ListingID=18887114&amp;ln=27194183&amp;pub_mls=1","More")</f>
        <v>More</v>
      </c>
      <c r="P162" t="s">
        <v>44</v>
      </c>
      <c r="AI162" t="s">
        <v>66</v>
      </c>
      <c r="AJ162">
        <v>98105</v>
      </c>
      <c r="AS162" t="s">
        <v>609</v>
      </c>
      <c r="AT162">
        <v>18887114</v>
      </c>
      <c r="AU162" s="12">
        <v>39495</v>
      </c>
      <c r="BB162" t="s">
        <v>912</v>
      </c>
      <c r="BC162" s="7">
        <v>39385</v>
      </c>
      <c r="BG162">
        <v>110</v>
      </c>
      <c r="BH162" s="17">
        <f t="shared" ca="1" si="2"/>
        <v>142</v>
      </c>
      <c r="BI162" s="17"/>
      <c r="BJ162" s="17"/>
    </row>
    <row r="163" spans="1:63" hidden="1">
      <c r="A163">
        <v>28008808</v>
      </c>
      <c r="B163" s="2" t="str">
        <f>HYPERLINK("http://www.windermere.com/index.cfm?fuseaction=Listing.ListingDetail&amp;ListingID=19246786","Active")</f>
        <v>Active</v>
      </c>
      <c r="D163" t="s">
        <v>60</v>
      </c>
      <c r="E163" t="s">
        <v>610</v>
      </c>
      <c r="F163" s="13">
        <v>379000</v>
      </c>
      <c r="G163" t="s">
        <v>599</v>
      </c>
      <c r="H163" s="1">
        <v>1520</v>
      </c>
      <c r="J163">
        <v>3</v>
      </c>
      <c r="K163">
        <v>2.5</v>
      </c>
      <c r="M163" s="2" t="str">
        <f>HYPERLINK("http://www.windermere.com/index.cfm?fuseaction=Listing.MapPropertyInteractive&amp;ListingID=19246786&amp;resize=true&amp;windowWidth=800&amp;windowHeight=600","Map")</f>
        <v>Map</v>
      </c>
      <c r="O163" s="2" t="str">
        <f>HYPERLINK("http://www.windermere.com/index.cfm?fuseaction=viewGallery.Home&amp;customTourID=204794&amp;wvt=0","More")</f>
        <v>More</v>
      </c>
      <c r="AI163" t="s">
        <v>66</v>
      </c>
      <c r="AJ163">
        <v>98133</v>
      </c>
      <c r="AS163" t="s">
        <v>611</v>
      </c>
      <c r="AT163">
        <v>19246786</v>
      </c>
      <c r="AU163" s="12">
        <v>39495</v>
      </c>
      <c r="BB163" t="s">
        <v>912</v>
      </c>
      <c r="BC163" s="7">
        <v>39465</v>
      </c>
      <c r="BG163">
        <v>30</v>
      </c>
      <c r="BH163" s="17">
        <f t="shared" ca="1" si="2"/>
        <v>62</v>
      </c>
      <c r="BI163" s="17"/>
      <c r="BJ163" s="17"/>
    </row>
    <row r="164" spans="1:63" hidden="1">
      <c r="A164">
        <v>28021819</v>
      </c>
      <c r="B164" s="2" t="str">
        <f>HYPERLINK("http://www.windermere.com/index.cfm?fuseaction=Listing.ListingDetail&amp;ListingID=19327601","Active")</f>
        <v>Active</v>
      </c>
      <c r="C164">
        <v>710</v>
      </c>
      <c r="D164" t="s">
        <v>984</v>
      </c>
      <c r="E164" t="s">
        <v>985</v>
      </c>
      <c r="F164" s="10">
        <v>395500</v>
      </c>
      <c r="G164" t="s">
        <v>796</v>
      </c>
      <c r="H164" s="1">
        <v>1220</v>
      </c>
      <c r="I164">
        <v>3400</v>
      </c>
      <c r="J164">
        <v>3</v>
      </c>
      <c r="K164">
        <v>1.75</v>
      </c>
      <c r="L164">
        <v>1</v>
      </c>
      <c r="M164" s="2" t="str">
        <f>HYPERLINK("http://www.windermere.com/index.cfm?fuseaction=Listing.MapPropertyInteractive&amp;ListingID=19327601&amp;resize=true&amp;windowWidth=800&amp;windowHeight=600","Map")</f>
        <v>Map</v>
      </c>
      <c r="N164" s="2" t="str">
        <f>HYPERLINK("http://locmedia.nwmls.com/DO_NOT_LINK/bigphoto/819/28021819.jpg?tsp=20080205151528","Photo")</f>
        <v>Photo</v>
      </c>
      <c r="O164" s="2" t="str">
        <f>HYPERLINK("http://www.windermere.com/index.cfm?fuseaction=Listing.MultiImageViewer&amp;ListingID=19327601&amp;ln=28021819&amp;pub_mls=1","More")</f>
        <v>More</v>
      </c>
      <c r="Q164" t="s">
        <v>52</v>
      </c>
      <c r="R164" t="s">
        <v>46</v>
      </c>
      <c r="S164" t="s">
        <v>86</v>
      </c>
      <c r="U164" t="s">
        <v>44</v>
      </c>
      <c r="X164" t="s">
        <v>47</v>
      </c>
      <c r="Y164" t="s">
        <v>48</v>
      </c>
      <c r="Z164" t="s">
        <v>69</v>
      </c>
      <c r="AA164" t="s">
        <v>986</v>
      </c>
      <c r="AB164">
        <v>2007</v>
      </c>
      <c r="AC164">
        <v>2343</v>
      </c>
      <c r="AD164" t="s">
        <v>987</v>
      </c>
      <c r="AE164" t="s">
        <v>988</v>
      </c>
      <c r="AF164" t="s">
        <v>113</v>
      </c>
      <c r="AG164">
        <v>47.697977000000002</v>
      </c>
      <c r="AH164">
        <v>-122.27777399999999</v>
      </c>
      <c r="AI164" t="s">
        <v>66</v>
      </c>
      <c r="AJ164">
        <v>98115</v>
      </c>
      <c r="AK164" t="s">
        <v>41</v>
      </c>
      <c r="AL164">
        <v>16</v>
      </c>
      <c r="AM164" t="s">
        <v>40</v>
      </c>
      <c r="AO164">
        <v>7.8E-2</v>
      </c>
      <c r="AP164" t="s">
        <v>989</v>
      </c>
      <c r="AQ164">
        <v>505</v>
      </c>
      <c r="AR164" t="s">
        <v>216</v>
      </c>
      <c r="AS164" t="s">
        <v>1112</v>
      </c>
      <c r="AT164">
        <v>19327601</v>
      </c>
      <c r="AU164" s="12">
        <v>39495</v>
      </c>
      <c r="BA164" t="s">
        <v>912</v>
      </c>
      <c r="BB164" t="s">
        <v>912</v>
      </c>
      <c r="BC164" s="7">
        <v>39483</v>
      </c>
      <c r="BG164">
        <v>12</v>
      </c>
      <c r="BH164" s="17">
        <f t="shared" ca="1" si="2"/>
        <v>44</v>
      </c>
      <c r="BI164" s="17"/>
      <c r="BJ164" s="17"/>
    </row>
    <row r="165" spans="1:63" hidden="1">
      <c r="A165">
        <v>28026258</v>
      </c>
      <c r="B165" s="15" t="str">
        <f>HYPERLINK("http://www.windermere.com/index.cfm?fuseaction=Listing.ListingDetail&amp;ListingID=19385109","Subject To Inspection")</f>
        <v>Subject To Inspection</v>
      </c>
      <c r="D165" t="s">
        <v>60</v>
      </c>
      <c r="E165" t="s">
        <v>1338</v>
      </c>
      <c r="F165" s="10">
        <v>398000</v>
      </c>
      <c r="G165" t="s">
        <v>617</v>
      </c>
      <c r="H165" s="1">
        <v>1290</v>
      </c>
      <c r="I165">
        <v>6397</v>
      </c>
      <c r="J165">
        <v>3</v>
      </c>
      <c r="K165">
        <v>1.5</v>
      </c>
      <c r="M165" s="2" t="str">
        <f>HYPERLINK("http://www.windermere.com/index.cfm?fuseaction=Listing.MapPropertyInteractive&amp;ListingID=19385109&amp;resize=true&amp;windowWidth=800&amp;windowHeight=600","Map")</f>
        <v>Map</v>
      </c>
      <c r="O165" s="2" t="str">
        <f>HYPERLINK("http://www.windermere.com/index.cfm?fuseaction=Listing.MultiImageViewer&amp;ListingID=19385109&amp;ln=28026258&amp;pub_mls=1","More")</f>
        <v>More</v>
      </c>
      <c r="AI165" t="s">
        <v>66</v>
      </c>
      <c r="AJ165">
        <v>98103</v>
      </c>
      <c r="AS165" t="s">
        <v>1339</v>
      </c>
      <c r="AT165">
        <v>19385109</v>
      </c>
      <c r="AU165" s="7">
        <v>39496</v>
      </c>
      <c r="BB165" t="s">
        <v>912</v>
      </c>
      <c r="BC165" s="7">
        <v>39495</v>
      </c>
      <c r="BD165">
        <v>3</v>
      </c>
      <c r="BE165" t="s">
        <v>1347</v>
      </c>
      <c r="BF165" t="s">
        <v>1345</v>
      </c>
      <c r="BG165">
        <v>1</v>
      </c>
      <c r="BH165" s="17">
        <f t="shared" ca="1" si="2"/>
        <v>32</v>
      </c>
      <c r="BI165" s="17"/>
      <c r="BJ165" s="17"/>
    </row>
    <row r="166" spans="1:63" hidden="1">
      <c r="A166">
        <v>28026322</v>
      </c>
      <c r="B166" s="2" t="str">
        <f>HYPERLINK("http://www.windermere.com/index.cfm?fuseaction=Listing.ListingDetail&amp;ListingID=19376193","Active")</f>
        <v>Active</v>
      </c>
      <c r="D166" t="s">
        <v>184</v>
      </c>
      <c r="E166" t="s">
        <v>612</v>
      </c>
      <c r="F166" s="10">
        <v>398500</v>
      </c>
      <c r="G166" t="s">
        <v>137</v>
      </c>
      <c r="H166" s="1">
        <v>1390</v>
      </c>
      <c r="I166">
        <v>7000</v>
      </c>
      <c r="J166">
        <v>3</v>
      </c>
      <c r="K166">
        <v>1</v>
      </c>
      <c r="M166" s="2" t="str">
        <f>HYPERLINK("http://www.windermere.com/index.cfm?fuseaction=Listing.MapPropertyInteractive&amp;ListingID=19376193&amp;resize=true&amp;windowWidth=800&amp;windowHeight=600","Map")</f>
        <v>Map</v>
      </c>
      <c r="O166" s="2" t="str">
        <f>HYPERLINK("http://www.windermere.com/index.cfm?fuseaction=Listing.MultiImageViewer&amp;ListingID=19376193&amp;ln=28026322&amp;pub_mls=1","More")</f>
        <v>More</v>
      </c>
      <c r="P166" t="s">
        <v>44</v>
      </c>
      <c r="AI166" t="s">
        <v>66</v>
      </c>
      <c r="AJ166">
        <v>98125</v>
      </c>
      <c r="AS166" t="s">
        <v>613</v>
      </c>
      <c r="AT166">
        <v>19376193</v>
      </c>
      <c r="AU166" s="12">
        <v>39495</v>
      </c>
      <c r="BB166" t="s">
        <v>912</v>
      </c>
      <c r="BC166" s="7">
        <v>39493</v>
      </c>
      <c r="BG166">
        <v>2</v>
      </c>
      <c r="BH166" s="17">
        <f t="shared" ca="1" si="2"/>
        <v>34</v>
      </c>
      <c r="BI166" s="17"/>
      <c r="BJ166" s="17"/>
    </row>
    <row r="167" spans="1:63" hidden="1">
      <c r="A167">
        <v>27132490</v>
      </c>
      <c r="B167" s="2" t="str">
        <f>HYPERLINK("http://www.windermere.com/index.cfm?fuseaction=Listing.ListingDetail&amp;ListingID=18331929","Active")</f>
        <v>Active</v>
      </c>
      <c r="D167" t="s">
        <v>184</v>
      </c>
      <c r="E167" t="s">
        <v>185</v>
      </c>
      <c r="F167" s="10">
        <v>399000</v>
      </c>
      <c r="G167" t="s">
        <v>186</v>
      </c>
      <c r="H167" s="1">
        <v>1850</v>
      </c>
      <c r="I167">
        <v>9804</v>
      </c>
      <c r="J167">
        <v>3</v>
      </c>
      <c r="K167">
        <v>1</v>
      </c>
      <c r="M167" s="2" t="str">
        <f>HYPERLINK("http://www.windermere.com/index.cfm?fuseaction=Listing.MapPropertyInteractive&amp;ListingID=18331929&amp;resize=true&amp;windowWidth=800&amp;windowHeight=600","Map")</f>
        <v>Map</v>
      </c>
      <c r="O167" s="2" t="str">
        <f>HYPERLINK("http://www.windermere.com/index.cfm?fuseaction=Listing.MultiImageViewer&amp;ListingID=18331929&amp;ln=27132490&amp;pub_mls=1","More")</f>
        <v>More</v>
      </c>
      <c r="P167" t="s">
        <v>44</v>
      </c>
      <c r="AI167" t="s">
        <v>66</v>
      </c>
      <c r="AJ167">
        <v>98125</v>
      </c>
      <c r="AS167" t="s">
        <v>614</v>
      </c>
      <c r="AT167">
        <v>18331929</v>
      </c>
      <c r="AU167" s="12">
        <v>39495</v>
      </c>
      <c r="BB167" t="s">
        <v>912</v>
      </c>
      <c r="BC167" s="7">
        <v>39283</v>
      </c>
      <c r="BD167">
        <v>2</v>
      </c>
      <c r="BE167" s="6" t="s">
        <v>1317</v>
      </c>
      <c r="BG167">
        <v>212</v>
      </c>
      <c r="BH167" s="17">
        <f t="shared" ca="1" si="2"/>
        <v>244</v>
      </c>
      <c r="BI167" s="17"/>
      <c r="BJ167" s="17"/>
    </row>
    <row r="168" spans="1:63" hidden="1">
      <c r="A168">
        <v>27133411</v>
      </c>
      <c r="B168" s="2" t="str">
        <f>HYPERLINK("http://www.windermere.com/index.cfm?fuseaction=Listing.ListingDetail&amp;ListingID=18343551","Active")</f>
        <v>Active</v>
      </c>
      <c r="D168" t="s">
        <v>188</v>
      </c>
      <c r="E168" t="s">
        <v>189</v>
      </c>
      <c r="F168" s="10">
        <v>399000</v>
      </c>
      <c r="G168" t="s">
        <v>135</v>
      </c>
      <c r="H168" s="1">
        <v>1030</v>
      </c>
      <c r="I168">
        <v>8385</v>
      </c>
      <c r="J168">
        <v>3</v>
      </c>
      <c r="K168">
        <v>1</v>
      </c>
      <c r="M168" s="2" t="str">
        <f>HYPERLINK("http://www.windermere.com/index.cfm?fuseaction=Listing.MapPropertyInteractive&amp;ListingID=18343551&amp;resize=true&amp;windowWidth=800&amp;windowHeight=600","Map")</f>
        <v>Map</v>
      </c>
      <c r="O168" s="2" t="str">
        <f>HYPERLINK("http://www.windermere.com/index.cfm?fuseaction=Listing.MultiImageViewer&amp;ListingID=18343551&amp;ln=27133411&amp;pub_mls=1","More")</f>
        <v>More</v>
      </c>
      <c r="P168" t="s">
        <v>44</v>
      </c>
      <c r="AI168" t="s">
        <v>66</v>
      </c>
      <c r="AJ168">
        <v>98125</v>
      </c>
      <c r="AS168" t="s">
        <v>1113</v>
      </c>
      <c r="AT168">
        <v>18343551</v>
      </c>
      <c r="AU168" s="12">
        <v>39495</v>
      </c>
      <c r="BB168" t="s">
        <v>912</v>
      </c>
      <c r="BC168" s="7">
        <v>39286</v>
      </c>
      <c r="BD168">
        <v>2</v>
      </c>
      <c r="BE168" s="6" t="s">
        <v>1318</v>
      </c>
      <c r="BG168">
        <v>209</v>
      </c>
      <c r="BH168" s="17">
        <f t="shared" ca="1" si="2"/>
        <v>241</v>
      </c>
      <c r="BI168" s="17"/>
      <c r="BJ168" s="17"/>
    </row>
    <row r="169" spans="1:63" hidden="1">
      <c r="A169">
        <v>27184907</v>
      </c>
      <c r="B169" s="2" t="str">
        <f>HYPERLINK("http://www.windermere.com/index.cfm?fuseaction=Listing.ListingDetail&amp;ListingID=18799514","Subject To Inspection")</f>
        <v>Subject To Inspection</v>
      </c>
      <c r="D169" t="s">
        <v>55</v>
      </c>
      <c r="E169" t="s">
        <v>618</v>
      </c>
      <c r="F169" s="10">
        <v>399000</v>
      </c>
      <c r="G169" t="s">
        <v>147</v>
      </c>
      <c r="H169" s="1">
        <v>1654</v>
      </c>
      <c r="J169">
        <v>3</v>
      </c>
      <c r="K169">
        <v>3.5</v>
      </c>
      <c r="M169" s="2" t="str">
        <f>HYPERLINK("http://www.windermere.com/index.cfm?fuseaction=Listing.MapPropertyInteractive&amp;ListingID=18799514&amp;resize=true&amp;windowWidth=800&amp;windowHeight=600","Map")</f>
        <v>Map</v>
      </c>
      <c r="O169" s="2" t="str">
        <f>HYPERLINK("http://www.windermere.com/index.cfm?fuseaction=viewGallery.Home&amp;customTourID=196827&amp;wvt=0","More")</f>
        <v>More</v>
      </c>
      <c r="P169" t="s">
        <v>44</v>
      </c>
      <c r="AI169" t="s">
        <v>66</v>
      </c>
      <c r="AJ169">
        <v>98133</v>
      </c>
      <c r="AS169" t="s">
        <v>619</v>
      </c>
      <c r="AT169">
        <v>18799514</v>
      </c>
      <c r="AU169" s="12">
        <v>39495</v>
      </c>
      <c r="BB169" t="s">
        <v>912</v>
      </c>
      <c r="BC169" s="7">
        <v>39367</v>
      </c>
      <c r="BG169">
        <v>128</v>
      </c>
      <c r="BH169" s="17">
        <f t="shared" ca="1" si="2"/>
        <v>160</v>
      </c>
      <c r="BI169" s="17"/>
      <c r="BJ169" s="17"/>
      <c r="BK169" t="str">
        <f>B169</f>
        <v>Subject To Inspection</v>
      </c>
    </row>
    <row r="170" spans="1:63" hidden="1">
      <c r="A170">
        <v>28018456</v>
      </c>
      <c r="B170" s="2" t="str">
        <f>HYPERLINK("http://www.windermere.com/index.cfm?fuseaction=Listing.ListingDetail&amp;ListingID=19302977","Active")</f>
        <v>Active</v>
      </c>
      <c r="D170" t="s">
        <v>920</v>
      </c>
      <c r="E170" t="s">
        <v>615</v>
      </c>
      <c r="F170" s="13">
        <v>389000</v>
      </c>
      <c r="G170" t="s">
        <v>530</v>
      </c>
      <c r="H170" s="1">
        <v>1260</v>
      </c>
      <c r="I170">
        <v>9500</v>
      </c>
      <c r="J170">
        <v>3</v>
      </c>
      <c r="K170">
        <v>2</v>
      </c>
      <c r="M170" s="2" t="str">
        <f>HYPERLINK("http://www.windermere.com/index.cfm?fuseaction=Listing.MapPropertyInteractive&amp;ListingID=19302977&amp;resize=true&amp;windowWidth=800&amp;windowHeight=600","Map")</f>
        <v>Map</v>
      </c>
      <c r="O170" s="2" t="str">
        <f>HYPERLINK("http://www.windermere.com/index.cfm?fuseaction=Listing.MultiImageViewer&amp;ListingID=19302977&amp;ln=28018456&amp;pub_mls=1","More")</f>
        <v>More</v>
      </c>
      <c r="AI170" t="s">
        <v>66</v>
      </c>
      <c r="AJ170">
        <v>98125</v>
      </c>
      <c r="AS170" t="s">
        <v>616</v>
      </c>
      <c r="AT170">
        <v>19302977</v>
      </c>
      <c r="AU170" s="12">
        <v>39495</v>
      </c>
      <c r="BB170" t="s">
        <v>912</v>
      </c>
      <c r="BC170" s="7">
        <v>39478</v>
      </c>
      <c r="BG170">
        <v>17</v>
      </c>
      <c r="BH170" s="17">
        <f t="shared" ca="1" si="2"/>
        <v>49</v>
      </c>
      <c r="BI170" s="17"/>
      <c r="BJ170" s="17"/>
    </row>
    <row r="171" spans="1:63" hidden="1">
      <c r="A171">
        <v>27163660</v>
      </c>
      <c r="B171" s="2" t="str">
        <f>HYPERLINK("http://www.windermere.com/index.cfm?fuseaction=Listing.ListingDetail&amp;ListingID=18577293","Subject To Inspection")</f>
        <v>Subject To Inspection</v>
      </c>
      <c r="D171" t="s">
        <v>920</v>
      </c>
      <c r="E171" t="s">
        <v>622</v>
      </c>
      <c r="F171" s="10">
        <v>399500</v>
      </c>
      <c r="G171" t="s">
        <v>623</v>
      </c>
      <c r="H171" s="1">
        <v>1155</v>
      </c>
      <c r="I171">
        <v>13000</v>
      </c>
      <c r="J171">
        <v>3</v>
      </c>
      <c r="K171">
        <v>1</v>
      </c>
      <c r="M171" s="2" t="str">
        <f>HYPERLINK("http://www.windermere.com/index.cfm?fuseaction=Listing.MapPropertyInteractive&amp;ListingID=18577293&amp;resize=true&amp;windowWidth=800&amp;windowHeight=600","Map")</f>
        <v>Map</v>
      </c>
      <c r="O171" s="2" t="str">
        <f>HYPERLINK("http://www.windermere.com/index.cfm?fuseaction=Listing.MultiImageViewer&amp;ListingID=18577293&amp;ln=27163660&amp;pub_mls=1","More")</f>
        <v>More</v>
      </c>
      <c r="AI171" t="s">
        <v>66</v>
      </c>
      <c r="AJ171">
        <v>98125</v>
      </c>
      <c r="AS171" t="s">
        <v>624</v>
      </c>
      <c r="AT171">
        <v>18577293</v>
      </c>
      <c r="AU171" s="12">
        <v>39495</v>
      </c>
      <c r="BB171" t="s">
        <v>912</v>
      </c>
      <c r="BC171" s="7">
        <v>39331</v>
      </c>
      <c r="BD171">
        <v>1</v>
      </c>
      <c r="BE171" s="6" t="s">
        <v>1329</v>
      </c>
      <c r="BG171">
        <v>164</v>
      </c>
      <c r="BH171" s="17">
        <f t="shared" ca="1" si="2"/>
        <v>196</v>
      </c>
      <c r="BI171" s="17"/>
      <c r="BJ171" s="17"/>
      <c r="BK171" t="str">
        <f>B171</f>
        <v>Subject To Inspection</v>
      </c>
    </row>
    <row r="172" spans="1:63" hidden="1">
      <c r="A172">
        <v>28011168</v>
      </c>
      <c r="B172" s="2" t="str">
        <f>HYPERLINK("http://www.windermere.com/index.cfm?fuseaction=Listing.ListingDetail&amp;ListingID=19243145","Active")</f>
        <v>Active</v>
      </c>
      <c r="D172" t="s">
        <v>66</v>
      </c>
      <c r="E172" t="s">
        <v>620</v>
      </c>
      <c r="F172" s="10">
        <v>399500</v>
      </c>
      <c r="G172" t="s">
        <v>171</v>
      </c>
      <c r="H172" s="1">
        <v>1290</v>
      </c>
      <c r="I172">
        <v>7202</v>
      </c>
      <c r="J172">
        <v>3</v>
      </c>
      <c r="K172">
        <v>2</v>
      </c>
      <c r="M172" s="2" t="str">
        <f>HYPERLINK("http://www.windermere.com/index.cfm?fuseaction=Listing.MapPropertyInteractive&amp;ListingID=19243145&amp;resize=true&amp;windowWidth=800&amp;windowHeight=600","Map")</f>
        <v>Map</v>
      </c>
      <c r="O172" s="2" t="str">
        <f>HYPERLINK("http://www.windermere.com/index.cfm?fuseaction=Listing.MultiImageViewer&amp;ListingID=19243145&amp;ln=28011168&amp;pub_mls=1","More")</f>
        <v>More</v>
      </c>
      <c r="P172" t="s">
        <v>44</v>
      </c>
      <c r="AI172" t="s">
        <v>66</v>
      </c>
      <c r="AJ172">
        <v>98133</v>
      </c>
      <c r="AS172" t="s">
        <v>621</v>
      </c>
      <c r="AT172">
        <v>19243145</v>
      </c>
      <c r="AU172" s="12">
        <v>39495</v>
      </c>
      <c r="BB172" t="s">
        <v>912</v>
      </c>
      <c r="BC172" t="s">
        <v>1413</v>
      </c>
      <c r="BD172">
        <v>1</v>
      </c>
      <c r="BG172">
        <v>0</v>
      </c>
      <c r="BH172" s="17" t="e">
        <f t="shared" ca="1" si="2"/>
        <v>#VALUE!</v>
      </c>
      <c r="BI172" s="17"/>
      <c r="BJ172" s="17"/>
    </row>
    <row r="173" spans="1:63" hidden="1">
      <c r="A173">
        <v>28017296</v>
      </c>
      <c r="B173" s="2" t="str">
        <f>HYPERLINK("http://www.windermere.com/index.cfm?fuseaction=Listing.ListingDetail&amp;ListingID=19330852","Subject To Inspection")</f>
        <v>Subject To Inspection</v>
      </c>
      <c r="D173" t="s">
        <v>627</v>
      </c>
      <c r="E173" t="s">
        <v>625</v>
      </c>
      <c r="F173" s="10">
        <v>399900</v>
      </c>
      <c r="G173" t="s">
        <v>130</v>
      </c>
      <c r="I173">
        <v>8100</v>
      </c>
      <c r="J173">
        <v>3</v>
      </c>
      <c r="K173">
        <v>1</v>
      </c>
      <c r="M173" s="2" t="str">
        <f>HYPERLINK("http://www.windermere.com/index.cfm?fuseaction=Listing.MapPropertyInteractive&amp;ListingID=19330852&amp;resize=true&amp;windowWidth=800&amp;windowHeight=600","Map")</f>
        <v>Map</v>
      </c>
      <c r="O173" s="2" t="str">
        <f>HYPERLINK("http://www.windermere.com/index.cfm?fuseaction=viewGallery.Home&amp;customTourID=206911&amp;wvt=0","More")</f>
        <v>More</v>
      </c>
      <c r="AI173" t="s">
        <v>66</v>
      </c>
      <c r="AJ173">
        <v>98177</v>
      </c>
      <c r="AS173" t="s">
        <v>626</v>
      </c>
      <c r="AT173">
        <v>19330852</v>
      </c>
      <c r="AU173" s="12">
        <v>39495</v>
      </c>
      <c r="BB173" t="s">
        <v>912</v>
      </c>
      <c r="BC173" s="7">
        <v>39484</v>
      </c>
      <c r="BG173">
        <v>11</v>
      </c>
      <c r="BH173" s="17">
        <f t="shared" ca="1" si="2"/>
        <v>43</v>
      </c>
      <c r="BI173" s="17"/>
      <c r="BJ173" s="17"/>
      <c r="BK173" t="str">
        <f>B173</f>
        <v>Subject To Inspection</v>
      </c>
    </row>
    <row r="174" spans="1:63" hidden="1">
      <c r="A174">
        <v>27159884</v>
      </c>
      <c r="B174" s="2" t="str">
        <f>HYPERLINK("http://www.windermere.com/index.cfm?fuseaction=Listing.ListingDetail&amp;ListingID=19060033","Subject To Inspection")</f>
        <v>Subject To Inspection</v>
      </c>
      <c r="D174" t="s">
        <v>55</v>
      </c>
      <c r="E174" t="s">
        <v>648</v>
      </c>
      <c r="F174" s="10">
        <v>399950</v>
      </c>
      <c r="G174" t="s">
        <v>147</v>
      </c>
      <c r="J174">
        <v>3</v>
      </c>
      <c r="K174">
        <v>2.5</v>
      </c>
      <c r="M174" s="2" t="str">
        <f>HYPERLINK("http://www.windermere.com/index.cfm?fuseaction=Listing.MapPropertyInteractive&amp;ListingID=19060033&amp;resize=true&amp;windowWidth=800&amp;windowHeight=600","Map")</f>
        <v>Map</v>
      </c>
      <c r="O174" s="2" t="str">
        <f>HYPERLINK("http://www.windermere.com/index.cfm?fuseaction=Listing.MultiImageViewer&amp;ListingID=19060033&amp;ln=27159884&amp;pub_mls=1","More")</f>
        <v>More</v>
      </c>
      <c r="P174" t="s">
        <v>44</v>
      </c>
      <c r="AI174" t="s">
        <v>66</v>
      </c>
      <c r="AJ174">
        <v>98103</v>
      </c>
      <c r="AS174" t="s">
        <v>649</v>
      </c>
      <c r="AT174">
        <v>19060033</v>
      </c>
      <c r="AU174" s="12">
        <v>39495</v>
      </c>
      <c r="BB174" t="s">
        <v>912</v>
      </c>
      <c r="BC174" s="7">
        <v>39325</v>
      </c>
      <c r="BD174">
        <v>3</v>
      </c>
      <c r="BE174" s="6" t="s">
        <v>1325</v>
      </c>
      <c r="BG174">
        <v>170</v>
      </c>
      <c r="BH174" s="17">
        <f t="shared" ca="1" si="2"/>
        <v>202</v>
      </c>
      <c r="BI174" s="17"/>
      <c r="BJ174" s="17"/>
      <c r="BK174" t="str">
        <f>B174</f>
        <v>Subject To Inspection</v>
      </c>
    </row>
    <row r="175" spans="1:63" hidden="1">
      <c r="A175">
        <v>27172694</v>
      </c>
      <c r="B175" s="2" t="str">
        <f>HYPERLINK("http://www.windermere.com/index.cfm?fuseaction=Listing.ListingDetail&amp;ListingID=18672447","Active")</f>
        <v>Active</v>
      </c>
      <c r="D175" t="s">
        <v>100</v>
      </c>
      <c r="E175" t="s">
        <v>630</v>
      </c>
      <c r="F175" s="13">
        <v>375000</v>
      </c>
      <c r="G175" t="s">
        <v>147</v>
      </c>
      <c r="H175" s="1">
        <v>1165</v>
      </c>
      <c r="J175">
        <v>2</v>
      </c>
      <c r="K175">
        <v>1.75</v>
      </c>
      <c r="M175" s="2" t="str">
        <f>HYPERLINK("http://www.windermere.com/index.cfm?fuseaction=Listing.MapPropertyInteractive&amp;ListingID=18672447&amp;resize=true&amp;windowWidth=800&amp;windowHeight=600","Map")</f>
        <v>Map</v>
      </c>
      <c r="O175" s="2" t="str">
        <f>HYPERLINK("http://www.windermere.com/index.cfm?fuseaction=Listing.MultiImageViewer&amp;ListingID=18672447&amp;ln=27172694&amp;pub_mls=1","More")</f>
        <v>More</v>
      </c>
      <c r="P175" t="s">
        <v>44</v>
      </c>
      <c r="AI175" t="s">
        <v>66</v>
      </c>
      <c r="AJ175">
        <v>98103</v>
      </c>
      <c r="AS175" t="s">
        <v>631</v>
      </c>
      <c r="AT175">
        <v>18672447</v>
      </c>
      <c r="AU175" s="12">
        <v>39495</v>
      </c>
      <c r="BB175" t="s">
        <v>912</v>
      </c>
      <c r="BC175" s="7">
        <v>39345</v>
      </c>
      <c r="BG175">
        <v>150</v>
      </c>
      <c r="BH175" s="17">
        <f t="shared" ca="1" si="2"/>
        <v>182</v>
      </c>
      <c r="BI175" s="17"/>
      <c r="BJ175" s="17"/>
    </row>
    <row r="176" spans="1:63" hidden="1">
      <c r="A176">
        <v>27172700</v>
      </c>
      <c r="B176" s="2" t="str">
        <f>HYPERLINK("http://www.windermere.com/index.cfm?fuseaction=Listing.ListingDetail&amp;ListingID=18672543","Active")</f>
        <v>Active</v>
      </c>
      <c r="D176" t="s">
        <v>100</v>
      </c>
      <c r="E176" t="s">
        <v>632</v>
      </c>
      <c r="F176" s="13">
        <v>375000</v>
      </c>
      <c r="G176" t="s">
        <v>147</v>
      </c>
      <c r="H176" s="1">
        <v>1165</v>
      </c>
      <c r="J176">
        <v>2</v>
      </c>
      <c r="K176">
        <v>1.75</v>
      </c>
      <c r="M176" s="2" t="str">
        <f>HYPERLINK("http://www.windermere.com/index.cfm?fuseaction=Listing.MapPropertyInteractive&amp;ListingID=18672543&amp;resize=true&amp;windowWidth=800&amp;windowHeight=600","Map")</f>
        <v>Map</v>
      </c>
      <c r="O176" s="2" t="str">
        <f>HYPERLINK("http://www.windermere.com/index.cfm?fuseaction=Listing.MultiImageViewer&amp;ListingID=18672543&amp;ln=27172700&amp;pub_mls=1","More")</f>
        <v>More</v>
      </c>
      <c r="P176" t="s">
        <v>44</v>
      </c>
      <c r="AI176" t="s">
        <v>66</v>
      </c>
      <c r="AJ176">
        <v>98103</v>
      </c>
      <c r="AS176" t="s">
        <v>633</v>
      </c>
      <c r="AT176">
        <v>18672543</v>
      </c>
      <c r="AU176" s="12">
        <v>39495</v>
      </c>
      <c r="BB176" t="s">
        <v>912</v>
      </c>
      <c r="BC176" s="7">
        <v>39345</v>
      </c>
      <c r="BG176">
        <v>150</v>
      </c>
      <c r="BH176" s="17">
        <f t="shared" ca="1" si="2"/>
        <v>182</v>
      </c>
      <c r="BI176" s="17"/>
      <c r="BJ176" s="17"/>
    </row>
    <row r="177" spans="1:63" hidden="1">
      <c r="A177">
        <v>27211153</v>
      </c>
      <c r="B177" s="2" t="str">
        <f>HYPERLINK("http://www.windermere.com/index.cfm?fuseaction=Listing.ListingDetail&amp;ListingID=19074895","Active")</f>
        <v>Active</v>
      </c>
      <c r="D177" t="s">
        <v>218</v>
      </c>
      <c r="E177" t="s">
        <v>640</v>
      </c>
      <c r="F177" s="10">
        <v>399950</v>
      </c>
      <c r="G177" t="s">
        <v>641</v>
      </c>
      <c r="H177" s="1">
        <v>1520</v>
      </c>
      <c r="J177">
        <v>3</v>
      </c>
      <c r="K177">
        <v>1.5</v>
      </c>
      <c r="M177" s="2" t="str">
        <f>HYPERLINK("http://www.windermere.com/index.cfm?fuseaction=Listing.MapPropertyInteractive&amp;ListingID=19074895&amp;resize=true&amp;windowWidth=800&amp;windowHeight=600","Map")</f>
        <v>Map</v>
      </c>
      <c r="O177" s="2" t="str">
        <f>HYPERLINK("http://www.windermere.com/index.cfm?fuseaction=Listing.MultiImageViewer&amp;ListingID=19074895&amp;ln=27211153&amp;pub_mls=1","More")</f>
        <v>More</v>
      </c>
      <c r="P177" t="s">
        <v>44</v>
      </c>
      <c r="AI177" t="s">
        <v>66</v>
      </c>
      <c r="AJ177">
        <v>98115</v>
      </c>
      <c r="AS177" t="s">
        <v>642</v>
      </c>
      <c r="AT177">
        <v>19074895</v>
      </c>
      <c r="AU177" s="12">
        <v>39495</v>
      </c>
      <c r="BB177" t="s">
        <v>912</v>
      </c>
      <c r="BC177" s="7">
        <v>39426</v>
      </c>
      <c r="BG177">
        <v>69</v>
      </c>
      <c r="BH177" s="17">
        <f t="shared" ca="1" si="2"/>
        <v>101</v>
      </c>
      <c r="BI177" s="17"/>
      <c r="BJ177" s="17"/>
    </row>
    <row r="178" spans="1:63" hidden="1">
      <c r="A178">
        <v>27212459</v>
      </c>
      <c r="B178" s="2" t="str">
        <f>HYPERLINK("http://www.windermere.com/index.cfm?fuseaction=Listing.ListingDetail&amp;ListingID=19088653","Active")</f>
        <v>Active</v>
      </c>
      <c r="D178" t="s">
        <v>100</v>
      </c>
      <c r="E178" t="s">
        <v>634</v>
      </c>
      <c r="F178" s="10">
        <v>399950</v>
      </c>
      <c r="G178" t="s">
        <v>147</v>
      </c>
      <c r="J178">
        <v>2</v>
      </c>
      <c r="K178">
        <v>1.5</v>
      </c>
      <c r="M178" s="2" t="str">
        <f>HYPERLINK("http://www.windermere.com/index.cfm?fuseaction=Listing.MapPropertyInteractive&amp;ListingID=19088653&amp;resize=true&amp;windowWidth=800&amp;windowHeight=600","Map")</f>
        <v>Map</v>
      </c>
      <c r="O178" s="2" t="str">
        <f>HYPERLINK("http://www.windermere.com/index.cfm?fuseaction=Listing.MultiImageViewer&amp;ListingID=19088653&amp;ln=27212459&amp;pub_mls=1","More")</f>
        <v>More</v>
      </c>
      <c r="AI178" t="s">
        <v>66</v>
      </c>
      <c r="AJ178">
        <v>98103</v>
      </c>
      <c r="AS178" t="s">
        <v>635</v>
      </c>
      <c r="AT178">
        <v>19088653</v>
      </c>
      <c r="AU178" s="12">
        <v>39495</v>
      </c>
      <c r="BB178" t="s">
        <v>912</v>
      </c>
      <c r="BC178" s="7">
        <v>39428</v>
      </c>
      <c r="BG178">
        <v>67</v>
      </c>
      <c r="BH178" s="17">
        <f t="shared" ca="1" si="2"/>
        <v>99</v>
      </c>
      <c r="BI178" s="17"/>
      <c r="BJ178" s="17"/>
    </row>
    <row r="179" spans="1:63" hidden="1">
      <c r="A179">
        <v>28005258</v>
      </c>
      <c r="B179" s="2" t="str">
        <f>HYPERLINK("http://www.windermere.com/index.cfm?fuseaction=Listing.ListingDetail&amp;ListingID=19190230","Active")</f>
        <v>Active</v>
      </c>
      <c r="D179" t="s">
        <v>55</v>
      </c>
      <c r="E179" t="s">
        <v>646</v>
      </c>
      <c r="F179" s="10">
        <v>399950</v>
      </c>
      <c r="G179" t="s">
        <v>146</v>
      </c>
      <c r="H179" s="1">
        <v>1650</v>
      </c>
      <c r="I179">
        <v>5528</v>
      </c>
      <c r="J179">
        <v>3</v>
      </c>
      <c r="K179">
        <v>1</v>
      </c>
      <c r="M179" s="2" t="str">
        <f>HYPERLINK("http://www.windermere.com/index.cfm?fuseaction=Listing.MapPropertyInteractive&amp;ListingID=19190230&amp;resize=true&amp;windowWidth=800&amp;windowHeight=600","Map")</f>
        <v>Map</v>
      </c>
      <c r="O179" s="2" t="str">
        <f>HYPERLINK("http://www.windermere.com/index.cfm?fuseaction=Listing.MultiImageViewer&amp;ListingID=19190230&amp;ln=28005258&amp;pub_mls=1","More")</f>
        <v>More</v>
      </c>
      <c r="AI179" t="s">
        <v>66</v>
      </c>
      <c r="AJ179">
        <v>98177</v>
      </c>
      <c r="AS179" t="s">
        <v>647</v>
      </c>
      <c r="AT179">
        <v>19190230</v>
      </c>
      <c r="AU179" s="12">
        <v>39495</v>
      </c>
      <c r="BB179" t="s">
        <v>912</v>
      </c>
      <c r="BC179" s="7">
        <v>39456</v>
      </c>
      <c r="BG179">
        <v>39</v>
      </c>
      <c r="BH179" s="17">
        <f t="shared" ca="1" si="2"/>
        <v>71</v>
      </c>
      <c r="BI179" s="17"/>
      <c r="BJ179" s="17"/>
    </row>
    <row r="180" spans="1:63" hidden="1">
      <c r="A180">
        <v>28011718</v>
      </c>
      <c r="B180" s="2" t="str">
        <f>HYPERLINK("http://www.windermere.com/index.cfm?fuseaction=Listing.ListingDetail&amp;ListingID=19252030","Active")</f>
        <v>Active</v>
      </c>
      <c r="D180" t="s">
        <v>192</v>
      </c>
      <c r="E180" t="s">
        <v>650</v>
      </c>
      <c r="F180" s="10">
        <v>399950</v>
      </c>
      <c r="G180" t="s">
        <v>137</v>
      </c>
      <c r="H180" s="1">
        <v>2210</v>
      </c>
      <c r="I180">
        <v>8560</v>
      </c>
      <c r="J180">
        <v>3</v>
      </c>
      <c r="K180">
        <v>1.75</v>
      </c>
      <c r="M180" s="2" t="str">
        <f>HYPERLINK("http://www.windermere.com/index.cfm?fuseaction=Listing.MapPropertyInteractive&amp;ListingID=19252030&amp;resize=true&amp;windowWidth=800&amp;windowHeight=600","Map")</f>
        <v>Map</v>
      </c>
      <c r="O180" s="2" t="str">
        <f>HYPERLINK("http://www.windermere.com/index.cfm?fuseaction=viewGallery.Home&amp;customTourID=204985&amp;wvt=0","More")</f>
        <v>More</v>
      </c>
      <c r="P180" t="s">
        <v>44</v>
      </c>
      <c r="AI180" t="s">
        <v>66</v>
      </c>
      <c r="AJ180">
        <v>98115</v>
      </c>
      <c r="AS180" t="s">
        <v>651</v>
      </c>
      <c r="AT180">
        <v>19252030</v>
      </c>
      <c r="AU180" s="12">
        <v>39495</v>
      </c>
      <c r="BB180" t="s">
        <v>912</v>
      </c>
      <c r="BC180" s="7">
        <v>39466</v>
      </c>
      <c r="BG180">
        <v>29</v>
      </c>
      <c r="BH180" s="17">
        <f t="shared" ca="1" si="2"/>
        <v>61</v>
      </c>
      <c r="BI180" s="17"/>
      <c r="BJ180" s="17"/>
    </row>
    <row r="181" spans="1:63" hidden="1">
      <c r="A181">
        <v>28014797</v>
      </c>
      <c r="B181" s="2" t="str">
        <f>HYPERLINK("http://www.windermere.com/index.cfm?fuseaction=Listing.ListingDetail&amp;ListingID=19283285","Subject To Inspection")</f>
        <v>Subject To Inspection</v>
      </c>
      <c r="D181" t="s">
        <v>55</v>
      </c>
      <c r="E181" t="s">
        <v>643</v>
      </c>
      <c r="F181" s="10">
        <v>399950</v>
      </c>
      <c r="G181" t="s">
        <v>644</v>
      </c>
      <c r="H181" s="1">
        <v>1870</v>
      </c>
      <c r="I181">
        <v>3396</v>
      </c>
      <c r="J181">
        <v>4</v>
      </c>
      <c r="K181">
        <v>2.75</v>
      </c>
      <c r="M181" s="2" t="str">
        <f>HYPERLINK("http://www.windermere.com/index.cfm?fuseaction=Listing.MapPropertyInteractive&amp;ListingID=19283285&amp;resize=true&amp;windowWidth=800&amp;windowHeight=600","Map")</f>
        <v>Map</v>
      </c>
      <c r="O181" s="2" t="str">
        <f>HYPERLINK("http://www.windermere.com/index.cfm?fuseaction=Listing.MultiImageViewer&amp;ListingID=19283285&amp;ln=28014797&amp;pub_mls=1","More")</f>
        <v>More</v>
      </c>
      <c r="P181" t="s">
        <v>44</v>
      </c>
      <c r="AI181" t="s">
        <v>66</v>
      </c>
      <c r="AJ181">
        <v>98133</v>
      </c>
      <c r="AS181" t="s">
        <v>645</v>
      </c>
      <c r="AT181">
        <v>19283285</v>
      </c>
      <c r="AU181" s="12">
        <v>39495</v>
      </c>
      <c r="BB181" t="s">
        <v>912</v>
      </c>
      <c r="BC181" s="7">
        <v>39473</v>
      </c>
      <c r="BG181">
        <v>22</v>
      </c>
      <c r="BH181" s="17">
        <f t="shared" ca="1" si="2"/>
        <v>54</v>
      </c>
      <c r="BI181" s="17"/>
      <c r="BJ181" s="17"/>
      <c r="BK181" t="str">
        <f>B181</f>
        <v>Subject To Inspection</v>
      </c>
    </row>
    <row r="182" spans="1:63" hidden="1">
      <c r="A182">
        <v>28016312</v>
      </c>
      <c r="B182" s="2" t="str">
        <f>HYPERLINK("http://www.windermere.com/index.cfm?fuseaction=Listing.ListingDetail&amp;ListingID=19285694","Subject To Inspection")</f>
        <v>Subject To Inspection</v>
      </c>
      <c r="D182" t="s">
        <v>184</v>
      </c>
      <c r="E182" t="s">
        <v>628</v>
      </c>
      <c r="F182" s="10">
        <v>399950</v>
      </c>
      <c r="G182" t="s">
        <v>147</v>
      </c>
      <c r="H182" s="1">
        <v>1860</v>
      </c>
      <c r="J182">
        <v>3</v>
      </c>
      <c r="K182">
        <v>2.5</v>
      </c>
      <c r="M182" s="2" t="str">
        <f>HYPERLINK("http://www.windermere.com/index.cfm?fuseaction=Listing.MapPropertyInteractive&amp;ListingID=19285694&amp;resize=true&amp;windowWidth=800&amp;windowHeight=600","Map")</f>
        <v>Map</v>
      </c>
      <c r="O182" s="2" t="str">
        <f>HYPERLINK("http://www.windermere.com/index.cfm?fuseaction=viewGallery.Home&amp;customTourID=191417&amp;wvt=0","More")</f>
        <v>More</v>
      </c>
      <c r="AI182" t="s">
        <v>66</v>
      </c>
      <c r="AJ182">
        <v>98125</v>
      </c>
      <c r="AS182" t="s">
        <v>629</v>
      </c>
      <c r="AT182">
        <v>19285694</v>
      </c>
      <c r="AU182" s="12">
        <v>39495</v>
      </c>
      <c r="BB182" t="s">
        <v>912</v>
      </c>
      <c r="BC182" s="7">
        <v>39474</v>
      </c>
      <c r="BG182">
        <v>21</v>
      </c>
      <c r="BH182" s="17">
        <f t="shared" ca="1" si="2"/>
        <v>53</v>
      </c>
      <c r="BI182" s="17"/>
      <c r="BJ182" s="17"/>
      <c r="BK182" t="str">
        <f>B182</f>
        <v>Subject To Inspection</v>
      </c>
    </row>
    <row r="183" spans="1:63" hidden="1">
      <c r="A183">
        <v>28023200</v>
      </c>
      <c r="B183" s="2" t="str">
        <f>HYPERLINK("http://www.windermere.com/index.cfm?fuseaction=Listing.ListingDetail&amp;ListingID=19338013","Active")</f>
        <v>Active</v>
      </c>
      <c r="D183" t="s">
        <v>63</v>
      </c>
      <c r="E183" t="s">
        <v>636</v>
      </c>
      <c r="F183" s="10">
        <v>399950</v>
      </c>
      <c r="G183" t="s">
        <v>247</v>
      </c>
      <c r="H183" s="1">
        <v>1250</v>
      </c>
      <c r="J183">
        <v>2</v>
      </c>
      <c r="K183">
        <v>2.5</v>
      </c>
      <c r="M183" s="2" t="str">
        <f>HYPERLINK("http://www.windermere.com/index.cfm?fuseaction=Listing.MapPropertyInteractive&amp;ListingID=19338013&amp;resize=true&amp;windowWidth=800&amp;windowHeight=600","Map")</f>
        <v>Map</v>
      </c>
      <c r="O183" s="2" t="str">
        <f>HYPERLINK("http://www.windermere.com/index.cfm?fuseaction=Listing.MultiImageViewer&amp;ListingID=19338013&amp;ln=28023200&amp;pub_mls=1","More")</f>
        <v>More</v>
      </c>
      <c r="P183" t="s">
        <v>44</v>
      </c>
      <c r="AI183" t="s">
        <v>66</v>
      </c>
      <c r="AJ183">
        <v>98107</v>
      </c>
      <c r="AS183" t="s">
        <v>637</v>
      </c>
      <c r="AT183">
        <v>19338013</v>
      </c>
      <c r="AU183" s="12">
        <v>39495</v>
      </c>
      <c r="BB183" t="s">
        <v>912</v>
      </c>
      <c r="BC183" s="7">
        <v>39485</v>
      </c>
      <c r="BG183">
        <v>10</v>
      </c>
      <c r="BH183" s="17">
        <f t="shared" ca="1" si="2"/>
        <v>42</v>
      </c>
      <c r="BI183" s="17"/>
      <c r="BJ183" s="17"/>
    </row>
    <row r="184" spans="1:63" hidden="1">
      <c r="A184">
        <v>28024806</v>
      </c>
      <c r="B184" s="2" t="str">
        <f>HYPERLINK("http://www.windermere.com/index.cfm?fuseaction=Listing.ListingDetail&amp;ListingID=19350453","Subject To Inspection")</f>
        <v>Subject To Inspection</v>
      </c>
      <c r="D184" t="s">
        <v>60</v>
      </c>
      <c r="E184" t="s">
        <v>638</v>
      </c>
      <c r="F184" s="10">
        <v>399950</v>
      </c>
      <c r="G184" t="s">
        <v>394</v>
      </c>
      <c r="H184" s="1">
        <v>2160</v>
      </c>
      <c r="J184">
        <v>3</v>
      </c>
      <c r="K184">
        <v>1</v>
      </c>
      <c r="M184" s="2" t="str">
        <f>HYPERLINK("http://www.windermere.com/index.cfm?fuseaction=Listing.MapPropertyInteractive&amp;ListingID=19350453&amp;resize=true&amp;windowWidth=800&amp;windowHeight=600","Map")</f>
        <v>Map</v>
      </c>
      <c r="P184" t="s">
        <v>44</v>
      </c>
      <c r="AI184" t="s">
        <v>66</v>
      </c>
      <c r="AJ184">
        <v>98105</v>
      </c>
      <c r="AS184" t="s">
        <v>639</v>
      </c>
      <c r="AT184">
        <v>19350453</v>
      </c>
      <c r="AU184" s="12">
        <v>39495</v>
      </c>
      <c r="BB184" t="s">
        <v>912</v>
      </c>
      <c r="BC184" s="7">
        <v>39489</v>
      </c>
      <c r="BG184">
        <v>6</v>
      </c>
      <c r="BH184" s="17">
        <f t="shared" ca="1" si="2"/>
        <v>38</v>
      </c>
      <c r="BI184" s="17"/>
      <c r="BJ184" s="17"/>
      <c r="BK184" t="str">
        <f>B184</f>
        <v>Subject To Inspection</v>
      </c>
    </row>
    <row r="185" spans="1:63" hidden="1">
      <c r="A185">
        <v>27173156</v>
      </c>
      <c r="B185" s="2" t="str">
        <f>HYPERLINK("http://www.windermere.com/index.cfm?fuseaction=Listing.ListingDetail&amp;ListingID=19104551","Active")</f>
        <v>Active</v>
      </c>
      <c r="D185" t="s">
        <v>184</v>
      </c>
      <c r="E185" t="s">
        <v>652</v>
      </c>
      <c r="F185" s="10">
        <v>399975</v>
      </c>
      <c r="G185" t="s">
        <v>653</v>
      </c>
      <c r="H185" s="1">
        <v>2012</v>
      </c>
      <c r="I185">
        <v>8160</v>
      </c>
      <c r="J185">
        <v>4</v>
      </c>
      <c r="K185">
        <v>1.5</v>
      </c>
      <c r="M185" s="2" t="str">
        <f>HYPERLINK("http://www.windermere.com/index.cfm?fuseaction=Listing.MapPropertyInteractive&amp;ListingID=19104551&amp;resize=true&amp;windowWidth=800&amp;windowHeight=600","Map")</f>
        <v>Map</v>
      </c>
      <c r="O185" s="2" t="str">
        <f>HYPERLINK("http://www.windermere.com/index.cfm?fuseaction=Listing.MultiImageViewer&amp;ListingID=19104551&amp;ln=27173156&amp;pub_mls=1","More")</f>
        <v>More</v>
      </c>
      <c r="AI185" t="s">
        <v>66</v>
      </c>
      <c r="AJ185">
        <v>98125</v>
      </c>
      <c r="AS185" t="s">
        <v>654</v>
      </c>
      <c r="AT185">
        <v>19104551</v>
      </c>
      <c r="AU185" s="12">
        <v>39495</v>
      </c>
      <c r="BB185" t="s">
        <v>912</v>
      </c>
      <c r="BC185" s="7">
        <v>39346</v>
      </c>
      <c r="BG185">
        <v>149</v>
      </c>
      <c r="BH185" s="17">
        <f t="shared" ca="1" si="2"/>
        <v>181</v>
      </c>
      <c r="BI185" s="17"/>
      <c r="BJ185" s="17"/>
    </row>
    <row r="186" spans="1:63" hidden="1">
      <c r="A186">
        <v>27167243</v>
      </c>
      <c r="B186" s="2" t="str">
        <f>HYPERLINK("http://www.windermere.com/index.cfm?fuseaction=Listing.ListingDetail&amp;ListingID=18621558","Active")</f>
        <v>Active</v>
      </c>
      <c r="D186" t="s">
        <v>63</v>
      </c>
      <c r="E186" t="s">
        <v>655</v>
      </c>
      <c r="F186" s="10">
        <v>399990</v>
      </c>
      <c r="G186" t="s">
        <v>147</v>
      </c>
      <c r="H186" s="1">
        <v>1349</v>
      </c>
      <c r="J186">
        <v>2</v>
      </c>
      <c r="K186">
        <v>2.5</v>
      </c>
      <c r="M186" s="2" t="str">
        <f>HYPERLINK("http://www.windermere.com/index.cfm?fuseaction=Listing.MapPropertyInteractive&amp;ListingID=18621558&amp;resize=true&amp;windowWidth=800&amp;windowHeight=600","Map")</f>
        <v>Map</v>
      </c>
      <c r="O186" s="2" t="str">
        <f>HYPERLINK("http://www.windermere.com/index.cfm?fuseaction=Listing.MultiImageViewer&amp;ListingID=18621558&amp;ln=27167243&amp;pub_mls=1","More")</f>
        <v>More</v>
      </c>
      <c r="AI186" t="s">
        <v>66</v>
      </c>
      <c r="AJ186">
        <v>98107</v>
      </c>
      <c r="AS186" t="s">
        <v>656</v>
      </c>
      <c r="AT186">
        <v>18621558</v>
      </c>
      <c r="AU186" s="12">
        <v>39495</v>
      </c>
      <c r="BB186" t="s">
        <v>912</v>
      </c>
      <c r="BC186" s="7">
        <v>39337</v>
      </c>
      <c r="BG186">
        <v>158</v>
      </c>
      <c r="BH186" s="17">
        <f t="shared" ca="1" si="2"/>
        <v>190</v>
      </c>
      <c r="BI186" s="17"/>
      <c r="BJ186" s="17"/>
    </row>
    <row r="187" spans="1:63" hidden="1">
      <c r="A187">
        <v>27100755</v>
      </c>
      <c r="B187" s="2" t="str">
        <f>HYPERLINK("http://www.windermere.com/index.cfm?fuseaction=Listing.ListingDetail&amp;ListingID=18039221","")</f>
        <v/>
      </c>
      <c r="D187" t="s">
        <v>1116</v>
      </c>
      <c r="E187" t="s">
        <v>1117</v>
      </c>
      <c r="F187" s="10">
        <v>399999</v>
      </c>
      <c r="G187" t="s">
        <v>176</v>
      </c>
      <c r="I187">
        <v>6052</v>
      </c>
      <c r="J187">
        <v>2</v>
      </c>
      <c r="K187">
        <v>1</v>
      </c>
      <c r="M187" s="2" t="str">
        <f>HYPERLINK("http://www.windermere.com/index.cfm?fuseaction=Listing.MapPropertyInteractive&amp;ListingID=18039221&amp;resize=true&amp;windowWidth=800&amp;windowHeight=600","Map")</f>
        <v>Map</v>
      </c>
      <c r="O187" s="2" t="str">
        <f>HYPERLINK("http://www.windermere.com/index.cfm?fuseaction=Listing.MultiImageViewer&amp;ListingID=18039221&amp;ln=27100755&amp;pub_mls=1","More")</f>
        <v>More</v>
      </c>
      <c r="AI187" t="s">
        <v>66</v>
      </c>
      <c r="AJ187">
        <v>98115</v>
      </c>
      <c r="AS187" t="s">
        <v>1118</v>
      </c>
      <c r="AT187">
        <v>18039221</v>
      </c>
      <c r="AU187" s="12">
        <v>39495</v>
      </c>
      <c r="BB187" t="s">
        <v>912</v>
      </c>
      <c r="BC187" t="s">
        <v>1413</v>
      </c>
      <c r="BD187">
        <v>1</v>
      </c>
      <c r="BG187">
        <v>0</v>
      </c>
      <c r="BH187" s="17" t="e">
        <f t="shared" ca="1" si="2"/>
        <v>#VALUE!</v>
      </c>
      <c r="BI187" s="17"/>
      <c r="BJ187" s="17"/>
      <c r="BK187" t="str">
        <f>B187</f>
        <v/>
      </c>
    </row>
    <row r="188" spans="1:63" hidden="1">
      <c r="A188">
        <v>28015518</v>
      </c>
      <c r="B188" s="2" t="str">
        <f>HYPERLINK("http://www.windermere.com/index.cfm?fuseaction=Listing.ListingDetail&amp;ListingID=19278247","Subject To Inspection")</f>
        <v>Subject To Inspection</v>
      </c>
      <c r="D188" t="s">
        <v>194</v>
      </c>
      <c r="E188" t="s">
        <v>1114</v>
      </c>
      <c r="F188" s="10">
        <v>399999</v>
      </c>
      <c r="G188" t="s">
        <v>125</v>
      </c>
      <c r="H188" s="1">
        <v>1020</v>
      </c>
      <c r="I188">
        <v>6000</v>
      </c>
      <c r="J188">
        <v>2</v>
      </c>
      <c r="K188">
        <v>1</v>
      </c>
      <c r="M188" s="2" t="str">
        <f>HYPERLINK("http://www.windermere.com/index.cfm?fuseaction=Listing.MapPropertyInteractive&amp;ListingID=19278247&amp;resize=true&amp;windowWidth=800&amp;windowHeight=600","Map")</f>
        <v>Map</v>
      </c>
      <c r="O188" s="2" t="str">
        <f>HYPERLINK("http://www.windermere.com/index.cfm?fuseaction=Listing.MultiImageViewer&amp;ListingID=19278247&amp;ln=28015518&amp;pub_mls=1","More")</f>
        <v>More</v>
      </c>
      <c r="P188" t="s">
        <v>44</v>
      </c>
      <c r="AI188" t="s">
        <v>66</v>
      </c>
      <c r="AJ188">
        <v>98115</v>
      </c>
      <c r="AS188" t="s">
        <v>1115</v>
      </c>
      <c r="AT188">
        <v>19278247</v>
      </c>
      <c r="AU188" s="12">
        <v>39495</v>
      </c>
      <c r="BB188" t="s">
        <v>912</v>
      </c>
      <c r="BC188" s="7">
        <v>39472</v>
      </c>
      <c r="BG188">
        <v>23</v>
      </c>
      <c r="BH188" s="17">
        <f t="shared" ca="1" si="2"/>
        <v>55</v>
      </c>
      <c r="BI188" s="17"/>
      <c r="BJ188" s="17"/>
      <c r="BK188" t="str">
        <f>B188</f>
        <v>Subject To Inspection</v>
      </c>
    </row>
    <row r="189" spans="1:63" hidden="1">
      <c r="A189">
        <v>28018523</v>
      </c>
      <c r="B189" s="2" t="str">
        <f>HYPERLINK("http://www.windermere.com/index.cfm?fuseaction=Listing.ListingDetail&amp;ListingID=19303929","Active")</f>
        <v>Active</v>
      </c>
      <c r="D189" t="s">
        <v>920</v>
      </c>
      <c r="E189" t="s">
        <v>665</v>
      </c>
      <c r="F189" s="13">
        <v>350000</v>
      </c>
      <c r="G189" t="s">
        <v>617</v>
      </c>
      <c r="H189" s="1">
        <v>2440</v>
      </c>
      <c r="I189">
        <v>7395</v>
      </c>
      <c r="J189">
        <v>4</v>
      </c>
      <c r="K189">
        <v>2.25</v>
      </c>
      <c r="M189" s="2" t="str">
        <f>HYPERLINK("http://www.windermere.com/index.cfm?fuseaction=Listing.MapPropertyInteractive&amp;ListingID=19303929&amp;resize=true&amp;windowWidth=800&amp;windowHeight=600","Map")</f>
        <v>Map</v>
      </c>
      <c r="O189" s="2" t="str">
        <f>HYPERLINK("http://www.windermere.com/index.cfm?fuseaction=Listing.MultiImageViewer&amp;ListingID=19303929&amp;ln=28018523&amp;pub_mls=1","More")</f>
        <v>More</v>
      </c>
      <c r="P189" t="s">
        <v>44</v>
      </c>
      <c r="AI189" t="s">
        <v>66</v>
      </c>
      <c r="AJ189">
        <v>98133</v>
      </c>
      <c r="AS189" t="s">
        <v>666</v>
      </c>
      <c r="AT189">
        <v>19303929</v>
      </c>
      <c r="AU189" s="12">
        <v>39495</v>
      </c>
      <c r="BB189" t="s">
        <v>912</v>
      </c>
      <c r="BC189" s="7">
        <v>39478</v>
      </c>
      <c r="BG189">
        <v>17</v>
      </c>
      <c r="BH189" s="17">
        <f t="shared" ca="1" si="2"/>
        <v>49</v>
      </c>
      <c r="BI189" s="17"/>
      <c r="BJ189" s="17"/>
    </row>
    <row r="190" spans="1:63" hidden="1">
      <c r="A190">
        <v>28021013</v>
      </c>
      <c r="B190" s="2" t="str">
        <f>HYPERLINK("http://www.windermere.com/index.cfm?fuseaction=Listing.ListingDetail&amp;ListingID=19326790","Active")</f>
        <v>Active</v>
      </c>
      <c r="C190">
        <v>705</v>
      </c>
      <c r="D190" t="s">
        <v>63</v>
      </c>
      <c r="E190" t="s">
        <v>235</v>
      </c>
      <c r="F190" s="10">
        <v>400000</v>
      </c>
      <c r="G190" t="s">
        <v>124</v>
      </c>
      <c r="I190">
        <v>3000</v>
      </c>
      <c r="J190">
        <v>2</v>
      </c>
      <c r="K190">
        <v>1</v>
      </c>
      <c r="M190" s="2" t="str">
        <f>HYPERLINK("http://www.windermere.com/index.cfm?fuseaction=Listing.MapPropertyInteractive&amp;ListingID=19326790&amp;resize=true&amp;windowWidth=800&amp;windowHeight=600","Map")</f>
        <v>Map</v>
      </c>
      <c r="N190" s="2" t="str">
        <f>HYPERLINK("http://locmedia.nwmls.com/DO_NOT_LINK/bigphoto/013/28021013.jpg?tsp=20080205132648","Photo")</f>
        <v>Photo</v>
      </c>
      <c r="O190" s="2" t="str">
        <f>HYPERLINK("http://www.windermere.com/index.cfm?fuseaction=Listing.MultiImageViewer&amp;ListingID=19326790&amp;ln=28021013&amp;pub_mls=1","More")</f>
        <v>More</v>
      </c>
      <c r="Q190" t="s">
        <v>45</v>
      </c>
      <c r="R190" t="s">
        <v>46</v>
      </c>
      <c r="S190" t="s">
        <v>53</v>
      </c>
      <c r="T190" t="s">
        <v>50</v>
      </c>
      <c r="U190" t="s">
        <v>44</v>
      </c>
      <c r="X190" t="s">
        <v>47</v>
      </c>
      <c r="Y190" t="s">
        <v>48</v>
      </c>
      <c r="Z190" t="s">
        <v>931</v>
      </c>
      <c r="AA190" t="s">
        <v>932</v>
      </c>
      <c r="AB190">
        <v>2007</v>
      </c>
      <c r="AC190">
        <v>2613</v>
      </c>
      <c r="AD190" t="s">
        <v>933</v>
      </c>
      <c r="AF190" t="s">
        <v>59</v>
      </c>
      <c r="AG190">
        <v>47.680506999999999</v>
      </c>
      <c r="AH190">
        <v>-122.367285</v>
      </c>
      <c r="AI190" t="s">
        <v>66</v>
      </c>
      <c r="AJ190">
        <v>98117</v>
      </c>
      <c r="AK190" t="s">
        <v>41</v>
      </c>
      <c r="AL190" t="s">
        <v>40</v>
      </c>
      <c r="AM190" t="s">
        <v>40</v>
      </c>
      <c r="AO190">
        <v>6.9000000000000006E-2</v>
      </c>
      <c r="AP190" t="s">
        <v>934</v>
      </c>
      <c r="AQ190">
        <v>534</v>
      </c>
      <c r="AR190" t="s">
        <v>92</v>
      </c>
      <c r="AS190" t="s">
        <v>300</v>
      </c>
      <c r="AT190">
        <v>19326790</v>
      </c>
      <c r="AU190" s="12">
        <v>39495</v>
      </c>
      <c r="BA190" t="s">
        <v>912</v>
      </c>
      <c r="BB190" t="s">
        <v>912</v>
      </c>
      <c r="BC190" s="7">
        <v>39483</v>
      </c>
      <c r="BG190">
        <v>12</v>
      </c>
      <c r="BH190" s="17">
        <f t="shared" ca="1" si="2"/>
        <v>44</v>
      </c>
      <c r="BI190" s="17"/>
      <c r="BJ190" s="17"/>
    </row>
    <row r="191" spans="1:63" hidden="1">
      <c r="A191">
        <v>28021123</v>
      </c>
      <c r="B191" s="2" t="str">
        <f>HYPERLINK("http://www.windermere.com/index.cfm?fuseaction=Listing.ListingDetail&amp;ListingID=19322649","Active")</f>
        <v>Active</v>
      </c>
      <c r="C191">
        <v>705</v>
      </c>
      <c r="D191" t="s">
        <v>63</v>
      </c>
      <c r="E191" t="s">
        <v>657</v>
      </c>
      <c r="F191" s="10">
        <v>400000</v>
      </c>
      <c r="G191" t="s">
        <v>440</v>
      </c>
      <c r="H191" s="1">
        <v>1340</v>
      </c>
      <c r="I191">
        <v>3000</v>
      </c>
      <c r="J191">
        <v>2</v>
      </c>
      <c r="K191">
        <v>1</v>
      </c>
      <c r="M191" s="2" t="str">
        <f>HYPERLINK("http://www.windermere.com/index.cfm?fuseaction=Listing.MapPropertyInteractive&amp;ListingID=19322649&amp;resize=true&amp;windowWidth=800&amp;windowHeight=600","Map")</f>
        <v>Map</v>
      </c>
      <c r="N191" s="2" t="str">
        <f>HYPERLINK("http://locmedia.nwmls.com/DO_NOT_LINK/bigphoto/123/28021123.jpg?tsp=20080204155025","Photo")</f>
        <v>Photo</v>
      </c>
      <c r="O191" s="2" t="str">
        <f>HYPERLINK("http://www.windermere.com/index.cfm?fuseaction=Listing.MultiImageViewer&amp;ListingID=19322649&amp;ln=28021123&amp;pub_mls=1","More")</f>
        <v>More</v>
      </c>
      <c r="Q191" t="s">
        <v>56</v>
      </c>
      <c r="R191" t="s">
        <v>72</v>
      </c>
      <c r="S191" t="s">
        <v>58</v>
      </c>
      <c r="T191" t="s">
        <v>77</v>
      </c>
      <c r="U191" t="s">
        <v>44</v>
      </c>
      <c r="X191" t="s">
        <v>47</v>
      </c>
      <c r="Y191" t="s">
        <v>48</v>
      </c>
      <c r="Z191" t="s">
        <v>225</v>
      </c>
      <c r="AB191">
        <v>2007</v>
      </c>
      <c r="AC191">
        <v>2937</v>
      </c>
      <c r="AD191" t="s">
        <v>928</v>
      </c>
      <c r="AE191" t="s">
        <v>110</v>
      </c>
      <c r="AG191">
        <v>47.660032000000001</v>
      </c>
      <c r="AH191">
        <v>-122.361898</v>
      </c>
      <c r="AI191" t="s">
        <v>66</v>
      </c>
      <c r="AJ191">
        <v>98107</v>
      </c>
      <c r="AK191" t="s">
        <v>41</v>
      </c>
      <c r="AL191" t="s">
        <v>40</v>
      </c>
      <c r="AM191" t="s">
        <v>40</v>
      </c>
      <c r="AO191">
        <v>6.9000000000000006E-2</v>
      </c>
      <c r="AP191" t="s">
        <v>929</v>
      </c>
      <c r="AQ191">
        <v>534</v>
      </c>
      <c r="AR191" t="s">
        <v>930</v>
      </c>
      <c r="AS191" t="s">
        <v>658</v>
      </c>
      <c r="AT191">
        <v>19322649</v>
      </c>
      <c r="AU191" s="12">
        <v>39495</v>
      </c>
      <c r="BA191" t="s">
        <v>912</v>
      </c>
      <c r="BB191" t="s">
        <v>912</v>
      </c>
      <c r="BC191" s="7">
        <v>39482</v>
      </c>
      <c r="BG191">
        <v>13</v>
      </c>
      <c r="BH191" s="17">
        <f t="shared" ca="1" si="2"/>
        <v>45</v>
      </c>
      <c r="BI191" s="17"/>
      <c r="BJ191" s="17"/>
    </row>
    <row r="192" spans="1:63" hidden="1">
      <c r="A192">
        <v>28023330</v>
      </c>
      <c r="B192" s="2" t="str">
        <f>HYPERLINK("http://www.windermere.com/index.cfm?fuseaction=Listing.ListingDetail&amp;ListingID=19342125","Active")</f>
        <v>Active</v>
      </c>
      <c r="C192">
        <v>705</v>
      </c>
      <c r="D192" t="s">
        <v>70</v>
      </c>
      <c r="E192" t="s">
        <v>667</v>
      </c>
      <c r="F192" s="10">
        <v>400000</v>
      </c>
      <c r="G192" t="s">
        <v>126</v>
      </c>
      <c r="H192" s="1">
        <v>1110</v>
      </c>
      <c r="I192">
        <v>7943</v>
      </c>
      <c r="J192">
        <v>3</v>
      </c>
      <c r="K192">
        <v>1</v>
      </c>
      <c r="L192">
        <v>1</v>
      </c>
      <c r="M192" s="2" t="str">
        <f>HYPERLINK("http://www.windermere.com/index.cfm?fuseaction=Listing.MapPropertyInteractive&amp;ListingID=19342125&amp;resize=true&amp;windowWidth=800&amp;windowHeight=600","Map")</f>
        <v>Map</v>
      </c>
      <c r="N192" s="2" t="str">
        <f>HYPERLINK("http://locmedia.nwmls.com/DO_NOT_LINK/bigphoto/330/28023330.jpg?tsp=20080208115857","Photo")</f>
        <v>Photo</v>
      </c>
      <c r="O192" s="2" t="str">
        <f>HYPERLINK("http://www.windermere.com/index.cfm?fuseaction=Listing.MultiImageViewer&amp;ListingID=19342125&amp;ln=28023330&amp;pub_mls=1","More")</f>
        <v>More</v>
      </c>
      <c r="Q192" t="s">
        <v>56</v>
      </c>
      <c r="R192" t="s">
        <v>67</v>
      </c>
      <c r="S192" t="s">
        <v>58</v>
      </c>
      <c r="T192" t="s">
        <v>77</v>
      </c>
      <c r="U192" t="s">
        <v>44</v>
      </c>
      <c r="X192" t="s">
        <v>47</v>
      </c>
      <c r="Y192" t="s">
        <v>48</v>
      </c>
      <c r="Z192" t="s">
        <v>103</v>
      </c>
      <c r="AA192" t="s">
        <v>224</v>
      </c>
      <c r="AB192">
        <v>2007</v>
      </c>
      <c r="AC192">
        <v>3049</v>
      </c>
      <c r="AD192" t="s">
        <v>935</v>
      </c>
      <c r="AE192" t="s">
        <v>110</v>
      </c>
      <c r="AF192" t="s">
        <v>936</v>
      </c>
      <c r="AG192">
        <v>47.714644</v>
      </c>
      <c r="AH192">
        <v>-122.350216</v>
      </c>
      <c r="AI192" t="s">
        <v>66</v>
      </c>
      <c r="AJ192">
        <v>98133</v>
      </c>
      <c r="AK192" t="s">
        <v>41</v>
      </c>
      <c r="AL192" t="s">
        <v>40</v>
      </c>
      <c r="AM192" t="s">
        <v>40</v>
      </c>
      <c r="AO192">
        <v>0.182</v>
      </c>
      <c r="AP192" t="s">
        <v>937</v>
      </c>
      <c r="AQ192">
        <v>504</v>
      </c>
      <c r="AR192" t="s">
        <v>71</v>
      </c>
      <c r="AS192" t="s">
        <v>668</v>
      </c>
      <c r="AT192">
        <v>19342125</v>
      </c>
      <c r="AU192" s="12">
        <v>39495</v>
      </c>
      <c r="BA192" t="s">
        <v>912</v>
      </c>
      <c r="BB192" t="s">
        <v>912</v>
      </c>
      <c r="BC192" s="7">
        <v>39486</v>
      </c>
      <c r="BG192">
        <v>9</v>
      </c>
      <c r="BH192" s="17">
        <f t="shared" ca="1" si="2"/>
        <v>41</v>
      </c>
      <c r="BI192" s="17"/>
      <c r="BJ192" s="17"/>
    </row>
    <row r="193" spans="1:62" hidden="1">
      <c r="A193">
        <v>28026262</v>
      </c>
      <c r="B193" s="15" t="str">
        <f>HYPERLINK("http://www.windermere.com/index.cfm?fuseaction=Listing.ListingDetail&amp;ListingID=19360801","Subject To Inspection")</f>
        <v>Subject To Inspection</v>
      </c>
      <c r="D193" t="s">
        <v>109</v>
      </c>
      <c r="E193" t="s">
        <v>659</v>
      </c>
      <c r="F193" s="10">
        <v>400000</v>
      </c>
      <c r="G193" t="s">
        <v>660</v>
      </c>
      <c r="H193" s="1">
        <v>1450</v>
      </c>
      <c r="I193">
        <v>3354</v>
      </c>
      <c r="J193">
        <v>3</v>
      </c>
      <c r="M193" s="2" t="str">
        <f>HYPERLINK("http://www.windermere.com/index.cfm?fuseaction=Listing.MapPropertyInteractive&amp;ListingID=19360801&amp;resize=true&amp;windowWidth=800&amp;windowHeight=600","Map")</f>
        <v>Map</v>
      </c>
      <c r="P193" t="s">
        <v>44</v>
      </c>
      <c r="AI193" t="s">
        <v>66</v>
      </c>
      <c r="AJ193">
        <v>98103</v>
      </c>
      <c r="AS193" t="s">
        <v>661</v>
      </c>
      <c r="AT193">
        <v>19360801</v>
      </c>
      <c r="AU193" s="12">
        <v>39495</v>
      </c>
      <c r="BB193" t="s">
        <v>912</v>
      </c>
      <c r="BC193" s="7">
        <v>39491</v>
      </c>
      <c r="BG193">
        <v>4</v>
      </c>
      <c r="BH193" s="17">
        <f t="shared" ca="1" si="2"/>
        <v>36</v>
      </c>
      <c r="BI193" s="17"/>
      <c r="BJ193" s="17"/>
    </row>
    <row r="194" spans="1:62" hidden="1">
      <c r="A194">
        <v>28026361</v>
      </c>
      <c r="B194" s="2" t="str">
        <f>HYPERLINK("http://www.windermere.com/index.cfm?fuseaction=Listing.ListingDetail&amp;ListingID=19362856","Active")</f>
        <v>Active</v>
      </c>
      <c r="D194" t="s">
        <v>192</v>
      </c>
      <c r="E194" t="s">
        <v>662</v>
      </c>
      <c r="F194" s="10">
        <v>400000</v>
      </c>
      <c r="G194" t="s">
        <v>663</v>
      </c>
      <c r="H194" s="1">
        <v>2370</v>
      </c>
      <c r="I194">
        <v>6361</v>
      </c>
      <c r="J194">
        <v>3</v>
      </c>
      <c r="K194">
        <v>2.5</v>
      </c>
      <c r="M194" s="2" t="str">
        <f>HYPERLINK("http://www.windermere.com/index.cfm?fuseaction=Listing.MapPropertyInteractive&amp;ListingID=19362856&amp;resize=true&amp;windowWidth=800&amp;windowHeight=600","Map")</f>
        <v>Map</v>
      </c>
      <c r="AI194" t="s">
        <v>66</v>
      </c>
      <c r="AJ194">
        <v>98125</v>
      </c>
      <c r="AS194" t="s">
        <v>664</v>
      </c>
      <c r="AT194">
        <v>19362856</v>
      </c>
      <c r="AU194" s="12">
        <v>39495</v>
      </c>
      <c r="BB194" t="s">
        <v>912</v>
      </c>
      <c r="BC194" s="7">
        <v>39491</v>
      </c>
      <c r="BG194">
        <v>4</v>
      </c>
      <c r="BH194" s="17">
        <f t="shared" ca="1" si="2"/>
        <v>36</v>
      </c>
      <c r="BI194" s="17"/>
      <c r="BJ194" s="17"/>
    </row>
    <row r="195" spans="1:62" hidden="1">
      <c r="A195">
        <v>27164890</v>
      </c>
      <c r="B195" s="2" t="str">
        <f>HYPERLINK("http://www.windermere.com/index.cfm?fuseaction=Listing.ListingDetail&amp;ListingID=18588767","Active")</f>
        <v>Active</v>
      </c>
      <c r="D195" t="s">
        <v>190</v>
      </c>
      <c r="E195" t="s">
        <v>673</v>
      </c>
      <c r="F195" s="10">
        <v>405000</v>
      </c>
      <c r="G195" t="s">
        <v>674</v>
      </c>
      <c r="H195" s="1">
        <v>1350</v>
      </c>
      <c r="J195">
        <v>3</v>
      </c>
      <c r="K195">
        <v>2.25</v>
      </c>
      <c r="M195" s="2" t="str">
        <f>HYPERLINK("http://www.windermere.com/index.cfm?fuseaction=Listing.MapPropertyInteractive&amp;ListingID=18588767&amp;resize=true&amp;windowWidth=800&amp;windowHeight=600","Map")</f>
        <v>Map</v>
      </c>
      <c r="O195" s="2" t="str">
        <f>HYPERLINK("http://www.windermere.com/index.cfm?fuseaction=Listing.MultiImageViewer&amp;ListingID=18588767&amp;ln=27164890&amp;pub_mls=1","More")</f>
        <v>More</v>
      </c>
      <c r="AI195" t="s">
        <v>66</v>
      </c>
      <c r="AJ195">
        <v>98115</v>
      </c>
      <c r="AS195" t="s">
        <v>675</v>
      </c>
      <c r="AT195">
        <v>18588767</v>
      </c>
      <c r="AU195" s="12">
        <v>39495</v>
      </c>
      <c r="BB195" t="s">
        <v>912</v>
      </c>
      <c r="BC195" s="7">
        <v>39333</v>
      </c>
      <c r="BD195">
        <v>-2</v>
      </c>
      <c r="BE195" s="6" t="s">
        <v>1330</v>
      </c>
      <c r="BG195">
        <v>162</v>
      </c>
      <c r="BH195" s="17">
        <f t="shared" ref="BH195:BH258" ca="1" si="3">TODAY()-BC195</f>
        <v>194</v>
      </c>
      <c r="BI195" s="17"/>
      <c r="BJ195" s="17"/>
    </row>
    <row r="196" spans="1:62" hidden="1">
      <c r="A196">
        <v>27189674</v>
      </c>
      <c r="B196" s="2" t="str">
        <f>HYPERLINK("http://www.windermere.com/index.cfm?fuseaction=Listing.ListingDetail&amp;ListingID=18844703","Active")</f>
        <v>Active</v>
      </c>
      <c r="D196" t="s">
        <v>99</v>
      </c>
      <c r="E196" t="s">
        <v>298</v>
      </c>
      <c r="F196" s="10">
        <v>405000</v>
      </c>
      <c r="G196" t="s">
        <v>248</v>
      </c>
      <c r="H196" s="1">
        <v>1600</v>
      </c>
      <c r="J196">
        <v>3</v>
      </c>
      <c r="K196">
        <v>3.25</v>
      </c>
      <c r="M196" s="2" t="str">
        <f>HYPERLINK("http://www.windermere.com/index.cfm?fuseaction=Listing.MapPropertyInteractive&amp;ListingID=18844703&amp;resize=true&amp;windowWidth=800&amp;windowHeight=600","Map")</f>
        <v>Map</v>
      </c>
      <c r="O196" s="2" t="str">
        <f>HYPERLINK("http://www.windermere.com/index.cfm?fuseaction=Listing.MultiImageViewer&amp;ListingID=18844703&amp;ln=27189674&amp;pub_mls=1","More")</f>
        <v>More</v>
      </c>
      <c r="P196" t="s">
        <v>44</v>
      </c>
      <c r="AI196" t="s">
        <v>66</v>
      </c>
      <c r="AJ196">
        <v>98117</v>
      </c>
      <c r="AS196" t="s">
        <v>299</v>
      </c>
      <c r="AT196">
        <v>18844703</v>
      </c>
      <c r="AU196" s="12">
        <v>39495</v>
      </c>
      <c r="BB196" t="s">
        <v>912</v>
      </c>
      <c r="BC196" s="7">
        <v>39375</v>
      </c>
      <c r="BG196">
        <v>120</v>
      </c>
      <c r="BH196" s="17">
        <f t="shared" ca="1" si="3"/>
        <v>152</v>
      </c>
      <c r="BI196" s="17"/>
      <c r="BJ196" s="17"/>
    </row>
    <row r="197" spans="1:62" hidden="1">
      <c r="A197">
        <v>27214047</v>
      </c>
      <c r="B197" s="2" t="str">
        <f>HYPERLINK("http://www.windermere.com/index.cfm?fuseaction=Listing.ListingDetail&amp;ListingID=19106819","Active")</f>
        <v>Active</v>
      </c>
      <c r="D197" t="s">
        <v>226</v>
      </c>
      <c r="E197" t="s">
        <v>669</v>
      </c>
      <c r="F197" s="13">
        <v>399000</v>
      </c>
      <c r="G197" t="s">
        <v>147</v>
      </c>
      <c r="H197" s="1">
        <v>1258</v>
      </c>
      <c r="J197">
        <v>2</v>
      </c>
      <c r="K197">
        <v>1.5</v>
      </c>
      <c r="M197" s="2" t="str">
        <f>HYPERLINK("http://www.windermere.com/index.cfm?fuseaction=Listing.MapPropertyInteractive&amp;ListingID=19106819&amp;resize=true&amp;windowWidth=800&amp;windowHeight=600","Map")</f>
        <v>Map</v>
      </c>
      <c r="O197" s="2" t="str">
        <f>HYPERLINK("http://www.windermere.com/index.cfm?fuseaction=Listing.MultiImageViewer&amp;ListingID=19106819&amp;ln=27214047&amp;pub_mls=1","More")</f>
        <v>More</v>
      </c>
      <c r="P197" t="s">
        <v>44</v>
      </c>
      <c r="AI197" t="s">
        <v>66</v>
      </c>
      <c r="AJ197">
        <v>98105</v>
      </c>
      <c r="AS197" t="s">
        <v>670</v>
      </c>
      <c r="AT197">
        <v>19106819</v>
      </c>
      <c r="AU197" s="12">
        <v>39495</v>
      </c>
      <c r="BB197" t="s">
        <v>912</v>
      </c>
      <c r="BC197" s="7">
        <v>39434</v>
      </c>
      <c r="BG197">
        <v>61</v>
      </c>
      <c r="BH197" s="17">
        <f t="shared" ca="1" si="3"/>
        <v>93</v>
      </c>
      <c r="BI197" s="17"/>
      <c r="BJ197" s="17"/>
    </row>
    <row r="198" spans="1:62" hidden="1">
      <c r="A198">
        <v>28012494</v>
      </c>
      <c r="B198" s="2" t="str">
        <f>HYPERLINK("http://www.windermere.com/index.cfm?fuseaction=Listing.ListingDetail&amp;ListingID=19254875","Active")</f>
        <v>Active</v>
      </c>
      <c r="D198" t="s">
        <v>226</v>
      </c>
      <c r="E198" t="s">
        <v>671</v>
      </c>
      <c r="F198" s="10">
        <v>405000</v>
      </c>
      <c r="G198" t="s">
        <v>147</v>
      </c>
      <c r="H198" s="1">
        <v>1326</v>
      </c>
      <c r="J198">
        <v>2</v>
      </c>
      <c r="K198">
        <v>1.5</v>
      </c>
      <c r="M198" s="2" t="str">
        <f>HYPERLINK("http://www.windermere.com/index.cfm?fuseaction=Listing.MapPropertyInteractive&amp;ListingID=19254875&amp;resize=true&amp;windowWidth=800&amp;windowHeight=600","Map")</f>
        <v>Map</v>
      </c>
      <c r="O198" s="2" t="str">
        <f>HYPERLINK("http://www.windermere.com/index.cfm?fuseaction=Listing.MultiImageViewer&amp;ListingID=19254875&amp;ln=28012494&amp;pub_mls=1","More")</f>
        <v>More</v>
      </c>
      <c r="P198" t="s">
        <v>44</v>
      </c>
      <c r="AI198" t="s">
        <v>66</v>
      </c>
      <c r="AJ198">
        <v>98105</v>
      </c>
      <c r="AS198" t="s">
        <v>672</v>
      </c>
      <c r="AT198">
        <v>19254875</v>
      </c>
      <c r="AU198" s="12">
        <v>39495</v>
      </c>
      <c r="BB198" t="s">
        <v>912</v>
      </c>
      <c r="BC198" s="7">
        <v>39467</v>
      </c>
      <c r="BG198">
        <v>28</v>
      </c>
      <c r="BH198" s="17">
        <f t="shared" ca="1" si="3"/>
        <v>60</v>
      </c>
      <c r="BI198" s="17"/>
      <c r="BJ198" s="17"/>
    </row>
    <row r="199" spans="1:62" hidden="1">
      <c r="A199">
        <v>27105286</v>
      </c>
      <c r="B199" s="2" t="str">
        <f>HYPERLINK("http://www.windermere.com/index.cfm?fuseaction=Listing.ListingDetail&amp;ListingID=18076483","Active")</f>
        <v>Active</v>
      </c>
      <c r="D199" t="s">
        <v>63</v>
      </c>
      <c r="E199" t="s">
        <v>296</v>
      </c>
      <c r="F199" s="10">
        <v>409000</v>
      </c>
      <c r="G199" t="s">
        <v>288</v>
      </c>
      <c r="I199">
        <v>3311</v>
      </c>
      <c r="J199">
        <v>4</v>
      </c>
      <c r="K199">
        <v>1</v>
      </c>
      <c r="M199" s="2" t="str">
        <f>HYPERLINK("http://www.windermere.com/index.cfm?fuseaction=Listing.MapPropertyInteractive&amp;ListingID=18076483&amp;resize=true&amp;windowWidth=800&amp;windowHeight=600","Map")</f>
        <v>Map</v>
      </c>
      <c r="O199" s="2" t="str">
        <f>HYPERLINK("http://www.windermere.com/index.cfm?fuseaction=Listing.MultiImageViewer&amp;ListingID=18076483&amp;ln=27105286&amp;pub_mls=1","More")</f>
        <v>More</v>
      </c>
      <c r="P199" t="s">
        <v>44</v>
      </c>
      <c r="AI199" t="s">
        <v>66</v>
      </c>
      <c r="AJ199">
        <v>98117</v>
      </c>
      <c r="AS199" t="s">
        <v>297</v>
      </c>
      <c r="AT199">
        <v>18076483</v>
      </c>
      <c r="AU199" s="12">
        <v>39495</v>
      </c>
      <c r="BB199" t="s">
        <v>912</v>
      </c>
      <c r="BC199" s="7">
        <v>39245</v>
      </c>
      <c r="BD199">
        <v>-2</v>
      </c>
      <c r="BE199" s="6" t="s">
        <v>1313</v>
      </c>
      <c r="BG199">
        <v>250</v>
      </c>
      <c r="BH199" s="17">
        <f t="shared" ca="1" si="3"/>
        <v>282</v>
      </c>
      <c r="BI199" s="17"/>
      <c r="BJ199" s="17"/>
    </row>
    <row r="200" spans="1:62" hidden="1">
      <c r="A200">
        <v>27215720</v>
      </c>
      <c r="B200" s="2" t="str">
        <f>HYPERLINK("http://www.windermere.com/index.cfm?fuseaction=Listing.ListingDetail&amp;ListingID=19128158","Active")</f>
        <v>Active</v>
      </c>
      <c r="D200" t="s">
        <v>55</v>
      </c>
      <c r="E200" t="s">
        <v>678</v>
      </c>
      <c r="F200" s="10">
        <v>409000</v>
      </c>
      <c r="G200" t="s">
        <v>172</v>
      </c>
      <c r="H200" s="1">
        <v>1000</v>
      </c>
      <c r="I200">
        <v>3060</v>
      </c>
      <c r="J200">
        <v>2</v>
      </c>
      <c r="K200">
        <v>1</v>
      </c>
      <c r="M200" s="2" t="str">
        <f>HYPERLINK("http://www.windermere.com/index.cfm?fuseaction=Listing.MapPropertyInteractive&amp;ListingID=19128158&amp;resize=true&amp;windowWidth=800&amp;windowHeight=600","Map")</f>
        <v>Map</v>
      </c>
      <c r="O200" s="2" t="str">
        <f>HYPERLINK("http://www.windermere.com/index.cfm?fuseaction=Listing.MultiImageViewer&amp;ListingID=19128158&amp;ln=27215720&amp;pub_mls=1","More")</f>
        <v>More</v>
      </c>
      <c r="AI200" t="s">
        <v>66</v>
      </c>
      <c r="AJ200">
        <v>98103</v>
      </c>
      <c r="AS200" t="s">
        <v>679</v>
      </c>
      <c r="AT200">
        <v>19128158</v>
      </c>
      <c r="AU200" s="12">
        <v>39495</v>
      </c>
      <c r="BB200" t="s">
        <v>912</v>
      </c>
      <c r="BC200" s="7">
        <v>39442</v>
      </c>
      <c r="BG200">
        <v>53</v>
      </c>
      <c r="BH200" s="17">
        <f t="shared" ca="1" si="3"/>
        <v>85</v>
      </c>
      <c r="BI200" s="17"/>
      <c r="BJ200" s="17"/>
    </row>
    <row r="201" spans="1:62" hidden="1">
      <c r="A201">
        <v>28025815</v>
      </c>
      <c r="B201" s="2" t="str">
        <f>HYPERLINK("http://www.windermere.com/index.cfm?fuseaction=Listing.ListingDetail&amp;ListingID=19365708","Active")</f>
        <v>Active</v>
      </c>
      <c r="D201" t="s">
        <v>218</v>
      </c>
      <c r="E201" t="s">
        <v>676</v>
      </c>
      <c r="F201" s="10">
        <v>409000</v>
      </c>
      <c r="G201" t="s">
        <v>130</v>
      </c>
      <c r="H201" s="1">
        <v>1093</v>
      </c>
      <c r="I201">
        <v>4794</v>
      </c>
      <c r="J201">
        <v>3</v>
      </c>
      <c r="K201">
        <v>1</v>
      </c>
      <c r="M201" s="2" t="str">
        <f>HYPERLINK("http://www.windermere.com/index.cfm?fuseaction=Listing.MapPropertyInteractive&amp;ListingID=19365708&amp;resize=true&amp;windowWidth=800&amp;windowHeight=600","Map")</f>
        <v>Map</v>
      </c>
      <c r="O201" s="2" t="str">
        <f>HYPERLINK("http://www.windermere.com/index.cfm?fuseaction=Listing.MultiImageViewer&amp;ListingID=19365708&amp;ln=28025815&amp;pub_mls=1","More")</f>
        <v>More</v>
      </c>
      <c r="AI201" t="s">
        <v>66</v>
      </c>
      <c r="AJ201">
        <v>98115</v>
      </c>
      <c r="AS201" t="s">
        <v>677</v>
      </c>
      <c r="AT201">
        <v>19365708</v>
      </c>
      <c r="AU201" s="12">
        <v>39495</v>
      </c>
      <c r="BB201" t="s">
        <v>912</v>
      </c>
      <c r="BC201" s="7">
        <v>39491</v>
      </c>
      <c r="BG201">
        <v>4</v>
      </c>
      <c r="BH201" s="17">
        <f t="shared" ca="1" si="3"/>
        <v>36</v>
      </c>
      <c r="BI201" s="17"/>
      <c r="BJ201" s="17"/>
    </row>
    <row r="202" spans="1:62" hidden="1">
      <c r="A202">
        <v>27179196</v>
      </c>
      <c r="B202" s="2" t="str">
        <f>HYPERLINK("http://www.windermere.com/index.cfm?fuseaction=Listing.ListingDetail&amp;ListingID=18761619","Active")</f>
        <v>Active</v>
      </c>
      <c r="D202" t="s">
        <v>63</v>
      </c>
      <c r="E202" t="s">
        <v>684</v>
      </c>
      <c r="F202" s="10">
        <v>409950</v>
      </c>
      <c r="G202" t="s">
        <v>147</v>
      </c>
      <c r="J202">
        <v>3</v>
      </c>
      <c r="K202">
        <v>3</v>
      </c>
      <c r="M202" s="2" t="str">
        <f>HYPERLINK("http://www.windermere.com/index.cfm?fuseaction=Listing.MapPropertyInteractive&amp;ListingID=18761619&amp;resize=true&amp;windowWidth=800&amp;windowHeight=600","Map")</f>
        <v>Map</v>
      </c>
      <c r="O202" s="2" t="str">
        <f>HYPERLINK("http://www.windermere.com/index.cfm?fuseaction=Listing.MultiImageViewer&amp;ListingID=18761619&amp;ln=27179196&amp;pub_mls=1","More")</f>
        <v>More</v>
      </c>
      <c r="P202" t="s">
        <v>44</v>
      </c>
      <c r="AI202" t="s">
        <v>66</v>
      </c>
      <c r="AJ202">
        <v>98107</v>
      </c>
      <c r="AS202" t="s">
        <v>685</v>
      </c>
      <c r="AT202">
        <v>18761619</v>
      </c>
      <c r="AU202" s="12">
        <v>39495</v>
      </c>
      <c r="BB202" t="s">
        <v>912</v>
      </c>
      <c r="BC202" s="7">
        <v>39359</v>
      </c>
      <c r="BG202">
        <v>136</v>
      </c>
      <c r="BH202" s="17">
        <f t="shared" ca="1" si="3"/>
        <v>168</v>
      </c>
      <c r="BI202" s="17"/>
      <c r="BJ202" s="17"/>
    </row>
    <row r="203" spans="1:62" hidden="1">
      <c r="A203">
        <v>27196500</v>
      </c>
      <c r="B203" s="2" t="str">
        <f>HYPERLINK("http://www.windermere.com/index.cfm?fuseaction=Listing.ListingDetail&amp;ListingID=18907358","Active")</f>
        <v>Active</v>
      </c>
      <c r="D203" t="s">
        <v>60</v>
      </c>
      <c r="E203" t="s">
        <v>680</v>
      </c>
      <c r="F203" s="10">
        <v>409950</v>
      </c>
      <c r="G203" t="s">
        <v>147</v>
      </c>
      <c r="H203" s="1">
        <v>1295</v>
      </c>
      <c r="J203">
        <v>2</v>
      </c>
      <c r="K203">
        <v>1.5</v>
      </c>
      <c r="M203" s="2" t="str">
        <f>HYPERLINK("http://www.windermere.com/index.cfm?fuseaction=Listing.MapPropertyInteractive&amp;ListingID=18907358&amp;resize=true&amp;windowWidth=800&amp;windowHeight=600","Map")</f>
        <v>Map</v>
      </c>
      <c r="O203" s="2" t="str">
        <f>HYPERLINK("http://www.windermere.com/index.cfm?fuseaction=Listing.MultiImageViewer&amp;ListingID=18907358&amp;ln=27196500&amp;pub_mls=1","More")</f>
        <v>More</v>
      </c>
      <c r="P203" t="s">
        <v>44</v>
      </c>
      <c r="AI203" t="s">
        <v>66</v>
      </c>
      <c r="AJ203">
        <v>98115</v>
      </c>
      <c r="AS203" t="s">
        <v>681</v>
      </c>
      <c r="AT203">
        <v>18907358</v>
      </c>
      <c r="AU203" s="12">
        <v>39495</v>
      </c>
      <c r="BB203" t="s">
        <v>912</v>
      </c>
      <c r="BC203" s="7">
        <v>39388</v>
      </c>
      <c r="BG203">
        <v>107</v>
      </c>
      <c r="BH203" s="17">
        <f t="shared" ca="1" si="3"/>
        <v>139</v>
      </c>
      <c r="BI203" s="17"/>
      <c r="BJ203" s="17"/>
    </row>
    <row r="204" spans="1:62" hidden="1">
      <c r="A204">
        <v>27210417</v>
      </c>
      <c r="B204" s="2" t="str">
        <f>HYPERLINK("http://www.windermere.com/index.cfm?fuseaction=Listing.ListingDetail&amp;ListingID=19065829","Active")</f>
        <v>Active</v>
      </c>
      <c r="D204" t="s">
        <v>100</v>
      </c>
      <c r="E204" t="s">
        <v>686</v>
      </c>
      <c r="F204" s="13">
        <v>399950</v>
      </c>
      <c r="G204" t="s">
        <v>191</v>
      </c>
      <c r="H204">
        <v>800</v>
      </c>
      <c r="I204">
        <v>3880</v>
      </c>
      <c r="J204">
        <v>2</v>
      </c>
      <c r="K204">
        <v>1</v>
      </c>
      <c r="M204" s="2" t="str">
        <f>HYPERLINK("http://www.windermere.com/index.cfm?fuseaction=Listing.MapPropertyInteractive&amp;ListingID=19065829&amp;resize=true&amp;windowWidth=800&amp;windowHeight=600","Map")</f>
        <v>Map</v>
      </c>
      <c r="O204" s="2" t="str">
        <f>HYPERLINK("http://www.windermere.com/index.cfm?fuseaction=Listing.MultiImageViewer&amp;ListingID=19065829&amp;ln=27210417&amp;pub_mls=1","More")</f>
        <v>More</v>
      </c>
      <c r="AI204" t="s">
        <v>66</v>
      </c>
      <c r="AJ204">
        <v>98103</v>
      </c>
      <c r="AS204" t="s">
        <v>687</v>
      </c>
      <c r="AT204">
        <v>19065829</v>
      </c>
      <c r="AU204" s="12">
        <v>39495</v>
      </c>
      <c r="BB204" t="s">
        <v>912</v>
      </c>
      <c r="BC204" s="7">
        <v>39423</v>
      </c>
      <c r="BD204">
        <v>3</v>
      </c>
      <c r="BE204" t="s">
        <v>1440</v>
      </c>
      <c r="BG204">
        <v>72</v>
      </c>
      <c r="BH204" s="17">
        <f t="shared" ca="1" si="3"/>
        <v>104</v>
      </c>
      <c r="BI204" s="17"/>
      <c r="BJ204" s="17"/>
    </row>
    <row r="205" spans="1:62" hidden="1">
      <c r="A205">
        <v>27210670</v>
      </c>
      <c r="B205" s="2" t="str">
        <f>HYPERLINK("http://www.windermere.com/index.cfm?fuseaction=Listing.ListingDetail&amp;ListingID=19066064","Active")</f>
        <v>Active</v>
      </c>
      <c r="D205" t="s">
        <v>63</v>
      </c>
      <c r="E205" t="s">
        <v>294</v>
      </c>
      <c r="F205" s="10">
        <v>409950</v>
      </c>
      <c r="G205" t="s">
        <v>247</v>
      </c>
      <c r="H205" s="1">
        <v>1450</v>
      </c>
      <c r="J205">
        <v>3</v>
      </c>
      <c r="K205">
        <v>2.5</v>
      </c>
      <c r="M205" s="2" t="str">
        <f>HYPERLINK("http://www.windermere.com/index.cfm?fuseaction=Listing.MapPropertyInteractive&amp;ListingID=19066064&amp;resize=true&amp;windowWidth=800&amp;windowHeight=600","Map")</f>
        <v>Map</v>
      </c>
      <c r="O205" s="2" t="str">
        <f>HYPERLINK("http://www.windermere.com/index.cfm?fuseaction=Listing.MultiImageViewer&amp;ListingID=19066064&amp;ln=27210670&amp;pub_mls=1","More")</f>
        <v>More</v>
      </c>
      <c r="P205" t="s">
        <v>44</v>
      </c>
      <c r="AI205" t="s">
        <v>66</v>
      </c>
      <c r="AJ205">
        <v>98117</v>
      </c>
      <c r="AS205" t="s">
        <v>295</v>
      </c>
      <c r="AT205">
        <v>19066064</v>
      </c>
      <c r="AU205" s="12">
        <v>39495</v>
      </c>
      <c r="BB205" t="s">
        <v>912</v>
      </c>
      <c r="BC205" s="7">
        <v>39423</v>
      </c>
      <c r="BG205">
        <v>72</v>
      </c>
      <c r="BH205" s="17">
        <f t="shared" ca="1" si="3"/>
        <v>104</v>
      </c>
      <c r="BI205" s="17"/>
      <c r="BJ205" s="17"/>
    </row>
    <row r="206" spans="1:62" hidden="1">
      <c r="A206">
        <v>27216348</v>
      </c>
      <c r="B206" s="2" t="str">
        <f>HYPERLINK("http://www.windermere.com/index.cfm?fuseaction=Listing.ListingDetail&amp;ListingID=19136885","Active")</f>
        <v>Active</v>
      </c>
      <c r="D206" t="s">
        <v>63</v>
      </c>
      <c r="E206" t="s">
        <v>682</v>
      </c>
      <c r="F206" s="13">
        <v>399950</v>
      </c>
      <c r="G206" t="s">
        <v>147</v>
      </c>
      <c r="J206">
        <v>3</v>
      </c>
      <c r="K206">
        <v>3</v>
      </c>
      <c r="M206" s="2" t="str">
        <f>HYPERLINK("http://www.windermere.com/index.cfm?fuseaction=Listing.MapPropertyInteractive&amp;ListingID=19136885&amp;resize=true&amp;windowWidth=800&amp;windowHeight=600","Map")</f>
        <v>Map</v>
      </c>
      <c r="O206" s="2" t="str">
        <f>HYPERLINK("http://www.windermere.com/index.cfm?fuseaction=Listing.MultiImageViewer&amp;ListingID=19136885&amp;ln=27216348&amp;pub_mls=1","More")</f>
        <v>More</v>
      </c>
      <c r="P206" t="s">
        <v>44</v>
      </c>
      <c r="AI206" t="s">
        <v>66</v>
      </c>
      <c r="AJ206">
        <v>98107</v>
      </c>
      <c r="AS206" t="s">
        <v>683</v>
      </c>
      <c r="AT206">
        <v>19136885</v>
      </c>
      <c r="AU206" s="12">
        <v>39495</v>
      </c>
      <c r="BB206" t="s">
        <v>912</v>
      </c>
      <c r="BC206" s="7">
        <v>39445</v>
      </c>
      <c r="BG206">
        <v>50</v>
      </c>
      <c r="BH206" s="17">
        <f t="shared" ca="1" si="3"/>
        <v>82</v>
      </c>
      <c r="BI206" s="17"/>
      <c r="BJ206" s="17"/>
    </row>
    <row r="207" spans="1:62" hidden="1">
      <c r="A207">
        <v>28005248</v>
      </c>
      <c r="B207" s="2" t="str">
        <f>HYPERLINK("http://www.windermere.com/index.cfm?fuseaction=Listing.ListingDetail&amp;ListingID=19182427","Active")</f>
        <v>Active</v>
      </c>
      <c r="D207" t="s">
        <v>63</v>
      </c>
      <c r="E207" t="s">
        <v>688</v>
      </c>
      <c r="F207" s="10">
        <v>409950</v>
      </c>
      <c r="G207" t="s">
        <v>247</v>
      </c>
      <c r="H207" s="1">
        <v>1490</v>
      </c>
      <c r="J207">
        <v>3</v>
      </c>
      <c r="K207">
        <v>2.5</v>
      </c>
      <c r="M207" s="2" t="str">
        <f>HYPERLINK("http://www.windermere.com/index.cfm?fuseaction=Listing.MapPropertyInteractive&amp;ListingID=19182427&amp;resize=true&amp;windowWidth=800&amp;windowHeight=600","Map")</f>
        <v>Map</v>
      </c>
      <c r="O207" s="2" t="str">
        <f>HYPERLINK("http://www.windermere.com/index.cfm?fuseaction=Listing.MultiImageViewer&amp;ListingID=19182427&amp;ln=28005248&amp;pub_mls=1","More")</f>
        <v>More</v>
      </c>
      <c r="P207" t="s">
        <v>44</v>
      </c>
      <c r="AI207" t="s">
        <v>66</v>
      </c>
      <c r="AJ207">
        <v>98107</v>
      </c>
      <c r="AS207" t="s">
        <v>689</v>
      </c>
      <c r="AT207">
        <v>19182427</v>
      </c>
      <c r="AU207" s="12">
        <v>39495</v>
      </c>
      <c r="BB207" t="s">
        <v>912</v>
      </c>
      <c r="BC207" s="7">
        <v>39455</v>
      </c>
      <c r="BG207">
        <v>40</v>
      </c>
      <c r="BH207" s="17">
        <f t="shared" ca="1" si="3"/>
        <v>72</v>
      </c>
      <c r="BI207" s="17"/>
      <c r="BJ207" s="17"/>
    </row>
    <row r="208" spans="1:62" hidden="1">
      <c r="A208">
        <v>28006354</v>
      </c>
      <c r="B208" s="2" t="str">
        <f>HYPERLINK("http://www.windermere.com/index.cfm?fuseaction=Listing.ListingDetail&amp;ListingID=19194143","Active")</f>
        <v>Active</v>
      </c>
      <c r="D208" t="s">
        <v>70</v>
      </c>
      <c r="E208" t="s">
        <v>692</v>
      </c>
      <c r="F208" s="10">
        <v>409950</v>
      </c>
      <c r="G208" t="s">
        <v>157</v>
      </c>
      <c r="H208" s="1">
        <v>1640</v>
      </c>
      <c r="I208">
        <v>8400</v>
      </c>
      <c r="J208">
        <v>3</v>
      </c>
      <c r="K208">
        <v>1.75</v>
      </c>
      <c r="M208" s="2" t="str">
        <f>HYPERLINK("http://www.windermere.com/index.cfm?fuseaction=Listing.MapPropertyInteractive&amp;ListingID=19194143&amp;resize=true&amp;windowWidth=800&amp;windowHeight=600","Map")</f>
        <v>Map</v>
      </c>
      <c r="O208" s="2" t="str">
        <f>HYPERLINK("http://www.windermere.com/index.cfm?fuseaction=Listing.MultiImageViewer&amp;ListingID=19194143&amp;ln=28006354&amp;pub_mls=1","More")</f>
        <v>More</v>
      </c>
      <c r="P208" t="s">
        <v>44</v>
      </c>
      <c r="AI208" t="s">
        <v>66</v>
      </c>
      <c r="AJ208">
        <v>98133</v>
      </c>
      <c r="AS208" t="s">
        <v>693</v>
      </c>
      <c r="AT208">
        <v>19194143</v>
      </c>
      <c r="AU208" s="12">
        <v>39495</v>
      </c>
      <c r="BB208" t="s">
        <v>912</v>
      </c>
      <c r="BC208" s="7">
        <v>39457</v>
      </c>
      <c r="BG208">
        <v>38</v>
      </c>
      <c r="BH208" s="17">
        <f t="shared" ca="1" si="3"/>
        <v>70</v>
      </c>
      <c r="BI208" s="17"/>
      <c r="BJ208" s="17"/>
    </row>
    <row r="209" spans="1:63" hidden="1">
      <c r="A209">
        <v>28027240</v>
      </c>
      <c r="B209" s="2" t="str">
        <f>HYPERLINK("http://www.windermere.com/index.cfm?fuseaction=Listing.ListingDetail&amp;ListingID=19371422","Active")</f>
        <v>Active</v>
      </c>
      <c r="D209" t="s">
        <v>100</v>
      </c>
      <c r="E209" t="s">
        <v>690</v>
      </c>
      <c r="F209" s="10">
        <v>409950</v>
      </c>
      <c r="G209" t="s">
        <v>147</v>
      </c>
      <c r="J209">
        <v>2</v>
      </c>
      <c r="K209">
        <v>1.5</v>
      </c>
      <c r="M209" s="2" t="str">
        <f>HYPERLINK("http://www.windermere.com/index.cfm?fuseaction=Listing.MapPropertyInteractive&amp;ListingID=19371422&amp;resize=true&amp;windowWidth=800&amp;windowHeight=600","Map")</f>
        <v>Map</v>
      </c>
      <c r="O209" s="2" t="str">
        <f>HYPERLINK("http://www.windermere.com/index.cfm?fuseaction=Listing.MultiImageViewer&amp;ListingID=19371422&amp;ln=28027240&amp;pub_mls=1","More")</f>
        <v>More</v>
      </c>
      <c r="AI209" t="s">
        <v>66</v>
      </c>
      <c r="AJ209">
        <v>98103</v>
      </c>
      <c r="AS209" t="s">
        <v>691</v>
      </c>
      <c r="AT209">
        <v>19371422</v>
      </c>
      <c r="AU209" s="12">
        <v>39495</v>
      </c>
      <c r="BB209" t="s">
        <v>912</v>
      </c>
      <c r="BC209" s="7">
        <v>39492</v>
      </c>
      <c r="BG209">
        <v>3</v>
      </c>
      <c r="BH209" s="17">
        <f t="shared" ca="1" si="3"/>
        <v>35</v>
      </c>
      <c r="BI209" s="17"/>
      <c r="BJ209" s="17"/>
    </row>
    <row r="210" spans="1:63" hidden="1">
      <c r="A210">
        <v>28008313</v>
      </c>
      <c r="B210" s="2" t="str">
        <f>HYPERLINK("http://www.windermere.com/index.cfm?fuseaction=Listing.ListingDetail&amp;ListingID=19220500","Active")</f>
        <v>Active</v>
      </c>
      <c r="D210" t="s">
        <v>194</v>
      </c>
      <c r="E210" t="s">
        <v>1119</v>
      </c>
      <c r="F210" s="13">
        <v>399950</v>
      </c>
      <c r="G210" t="s">
        <v>156</v>
      </c>
      <c r="J210">
        <v>3</v>
      </c>
      <c r="K210">
        <v>1</v>
      </c>
      <c r="M210" s="2" t="str">
        <f>HYPERLINK("http://www.windermere.com/index.cfm?fuseaction=Listing.MapPropertyInteractive&amp;ListingID=19220500&amp;resize=true&amp;windowWidth=800&amp;windowHeight=600","Map")</f>
        <v>Map</v>
      </c>
      <c r="O210" s="2" t="str">
        <f>HYPERLINK("http://www.windermere.com/index.cfm?fuseaction=viewGallery.Home&amp;customTourID=195130&amp;wvt=0","More")</f>
        <v>More</v>
      </c>
      <c r="AI210" t="s">
        <v>66</v>
      </c>
      <c r="AJ210">
        <v>98115</v>
      </c>
      <c r="AS210" t="s">
        <v>1120</v>
      </c>
      <c r="AT210">
        <v>19220500</v>
      </c>
      <c r="AU210" s="12">
        <v>39495</v>
      </c>
      <c r="BB210" t="s">
        <v>912</v>
      </c>
      <c r="BC210" s="7">
        <v>39461</v>
      </c>
      <c r="BD210">
        <v>2</v>
      </c>
      <c r="BE210" t="s">
        <v>1376</v>
      </c>
      <c r="BG210">
        <v>34</v>
      </c>
      <c r="BH210" s="17">
        <f t="shared" ca="1" si="3"/>
        <v>66</v>
      </c>
      <c r="BI210" s="17"/>
      <c r="BJ210" s="17"/>
    </row>
    <row r="211" spans="1:63" hidden="1">
      <c r="A211">
        <v>28024167</v>
      </c>
      <c r="B211" s="2" t="str">
        <f>HYPERLINK("http://www.windermere.com/index.cfm?fuseaction=Listing.ListingDetail&amp;ListingID=19344194","Active")</f>
        <v>Active</v>
      </c>
      <c r="D211" t="s">
        <v>99</v>
      </c>
      <c r="E211" t="s">
        <v>292</v>
      </c>
      <c r="F211" s="10">
        <v>414500</v>
      </c>
      <c r="G211" t="s">
        <v>157</v>
      </c>
      <c r="H211" s="1">
        <v>1830</v>
      </c>
      <c r="I211">
        <v>5423</v>
      </c>
      <c r="J211">
        <v>4</v>
      </c>
      <c r="K211">
        <v>2</v>
      </c>
      <c r="M211" s="2" t="str">
        <f>HYPERLINK("http://www.windermere.com/index.cfm?fuseaction=Listing.MapPropertyInteractive&amp;ListingID=19344194&amp;resize=true&amp;windowWidth=800&amp;windowHeight=600","Map")</f>
        <v>Map</v>
      </c>
      <c r="O211" s="2" t="str">
        <f>HYPERLINK("http://www.windermere.com/index.cfm?fuseaction=Listing.MultiImageViewer&amp;ListingID=19344194&amp;ln=28024167&amp;pub_mls=1","More")</f>
        <v>More</v>
      </c>
      <c r="P211" t="s">
        <v>44</v>
      </c>
      <c r="AI211" t="s">
        <v>66</v>
      </c>
      <c r="AJ211">
        <v>98117</v>
      </c>
      <c r="AS211" t="s">
        <v>293</v>
      </c>
      <c r="AT211">
        <v>19344194</v>
      </c>
      <c r="AU211" s="12">
        <v>39495</v>
      </c>
      <c r="BB211" t="s">
        <v>912</v>
      </c>
      <c r="BC211" s="7">
        <v>39486</v>
      </c>
      <c r="BG211">
        <v>9</v>
      </c>
      <c r="BH211" s="17">
        <f t="shared" ca="1" si="3"/>
        <v>41</v>
      </c>
      <c r="BI211" s="17"/>
      <c r="BJ211" s="17"/>
    </row>
    <row r="212" spans="1:63" hidden="1">
      <c r="A212">
        <v>27171459</v>
      </c>
      <c r="B212" s="2" t="str">
        <f>HYPERLINK("http://www.windermere.com/index.cfm?fuseaction=Listing.ListingDetail&amp;ListingID=18667036","Contingent")</f>
        <v>Contingent</v>
      </c>
      <c r="D212" t="s">
        <v>188</v>
      </c>
      <c r="E212" t="s">
        <v>1121</v>
      </c>
      <c r="F212" s="10">
        <v>419000</v>
      </c>
      <c r="G212" t="s">
        <v>162</v>
      </c>
      <c r="H212" s="1">
        <v>2060</v>
      </c>
      <c r="I212">
        <v>6588</v>
      </c>
      <c r="J212">
        <v>3</v>
      </c>
      <c r="K212">
        <v>1</v>
      </c>
      <c r="M212" s="2" t="str">
        <f>HYPERLINK("http://www.windermere.com/index.cfm?fuseaction=Listing.MapPropertyInteractive&amp;ListingID=18667036&amp;resize=true&amp;windowWidth=800&amp;windowHeight=600","Map")</f>
        <v>Map</v>
      </c>
      <c r="O212" s="2" t="str">
        <f>HYPERLINK("http://www.windermere.com/index.cfm?fuseaction=Listing.MultiImageViewer&amp;ListingID=18667036&amp;ln=27171459&amp;pub_mls=1","More")</f>
        <v>More</v>
      </c>
      <c r="P212" t="s">
        <v>44</v>
      </c>
      <c r="AI212" t="s">
        <v>66</v>
      </c>
      <c r="AJ212">
        <v>98125</v>
      </c>
      <c r="AS212" t="s">
        <v>1122</v>
      </c>
      <c r="AT212">
        <v>18667036</v>
      </c>
      <c r="AU212" s="12">
        <v>39495</v>
      </c>
      <c r="BB212" t="s">
        <v>912</v>
      </c>
      <c r="BC212" s="7">
        <v>39345</v>
      </c>
      <c r="BG212">
        <v>150</v>
      </c>
      <c r="BH212" s="17">
        <f t="shared" ca="1" si="3"/>
        <v>182</v>
      </c>
      <c r="BI212" s="17"/>
      <c r="BJ212" s="17"/>
      <c r="BK212" t="str">
        <f>B212</f>
        <v>Contingent</v>
      </c>
    </row>
    <row r="213" spans="1:63" hidden="1">
      <c r="A213">
        <v>27187381</v>
      </c>
      <c r="B213" s="15" t="str">
        <f>HYPERLINK("http://www.windermere.com/index.cfm?fuseaction=Listing.ListingDetail&amp;ListingID=18819961","Subject To Inspection")</f>
        <v>Subject To Inspection</v>
      </c>
      <c r="C213">
        <v>705</v>
      </c>
      <c r="D213" t="s">
        <v>70</v>
      </c>
      <c r="E213" t="s">
        <v>698</v>
      </c>
      <c r="F213" s="10">
        <v>419000</v>
      </c>
      <c r="G213" t="s">
        <v>132</v>
      </c>
      <c r="H213" s="1">
        <v>1230</v>
      </c>
      <c r="I213">
        <v>4800</v>
      </c>
      <c r="J213">
        <v>2</v>
      </c>
      <c r="K213">
        <v>2</v>
      </c>
      <c r="L213">
        <v>1</v>
      </c>
      <c r="M213" s="2" t="str">
        <f>HYPERLINK("http://www.windermere.com/index.cfm?fuseaction=Listing.MapPropertyInteractive&amp;ListingID=18819961&amp;resize=true&amp;windowWidth=800&amp;windowHeight=600","Map")</f>
        <v>Map</v>
      </c>
      <c r="N213" s="2" t="str">
        <f>HYPERLINK("http://locmedia.nwmls.com/DO_NOT_LINK/bigphoto/381/27187381.jpg?tsp=20071023113846","Photo")</f>
        <v>Photo</v>
      </c>
      <c r="O213" s="2" t="str">
        <f>HYPERLINK("http://www.windermere.com/index.cfm?fuseaction=Listing.MultiImageViewer&amp;ListingID=18819961&amp;ln=27187381&amp;pub_mls=1","More")</f>
        <v>More</v>
      </c>
      <c r="P213" t="s">
        <v>44</v>
      </c>
      <c r="Q213" t="s">
        <v>938</v>
      </c>
      <c r="R213" t="s">
        <v>57</v>
      </c>
      <c r="S213" t="s">
        <v>58</v>
      </c>
      <c r="T213" t="s">
        <v>50</v>
      </c>
      <c r="U213" t="s">
        <v>44</v>
      </c>
      <c r="V213" t="s">
        <v>939</v>
      </c>
      <c r="X213" t="s">
        <v>47</v>
      </c>
      <c r="Y213" t="s">
        <v>48</v>
      </c>
      <c r="Z213" t="s">
        <v>940</v>
      </c>
      <c r="AB213">
        <v>2006</v>
      </c>
      <c r="AC213">
        <v>2998</v>
      </c>
      <c r="AD213" t="s">
        <v>941</v>
      </c>
      <c r="AE213" t="s">
        <v>942</v>
      </c>
      <c r="AF213" t="s">
        <v>943</v>
      </c>
      <c r="AG213">
        <v>47.714475</v>
      </c>
      <c r="AH213">
        <v>-122.35021399999999</v>
      </c>
      <c r="AI213" t="s">
        <v>66</v>
      </c>
      <c r="AJ213">
        <v>98133</v>
      </c>
      <c r="AK213" t="s">
        <v>41</v>
      </c>
      <c r="AL213">
        <v>9</v>
      </c>
      <c r="AM213" t="s">
        <v>40</v>
      </c>
      <c r="AO213">
        <v>0.11</v>
      </c>
      <c r="AP213" t="s">
        <v>944</v>
      </c>
      <c r="AQ213">
        <v>504</v>
      </c>
      <c r="AR213" t="s">
        <v>71</v>
      </c>
      <c r="AS213" t="s">
        <v>699</v>
      </c>
      <c r="AT213">
        <v>18819961</v>
      </c>
      <c r="AU213" s="12">
        <v>39495</v>
      </c>
      <c r="BA213" t="s">
        <v>912</v>
      </c>
      <c r="BB213" t="s">
        <v>912</v>
      </c>
      <c r="BC213" s="7">
        <v>39371</v>
      </c>
      <c r="BD213">
        <v>2</v>
      </c>
      <c r="BE213" t="s">
        <v>1406</v>
      </c>
      <c r="BG213">
        <v>124</v>
      </c>
      <c r="BH213" s="17">
        <f t="shared" ca="1" si="3"/>
        <v>156</v>
      </c>
      <c r="BI213" s="17"/>
      <c r="BJ213" s="17"/>
    </row>
    <row r="214" spans="1:63" hidden="1">
      <c r="A214">
        <v>28004081</v>
      </c>
      <c r="B214" s="2" t="str">
        <f>HYPERLINK("http://www.windermere.com/index.cfm?fuseaction=Listing.ListingDetail&amp;ListingID=19174355","Active")</f>
        <v>Active</v>
      </c>
      <c r="D214" t="s">
        <v>199</v>
      </c>
      <c r="E214" t="s">
        <v>696</v>
      </c>
      <c r="F214" s="10">
        <v>419000</v>
      </c>
      <c r="G214" t="s">
        <v>168</v>
      </c>
      <c r="H214" s="1">
        <v>1840</v>
      </c>
      <c r="I214">
        <v>6343</v>
      </c>
      <c r="J214">
        <v>4</v>
      </c>
      <c r="K214">
        <v>2</v>
      </c>
      <c r="M214" s="2" t="str">
        <f>HYPERLINK("http://www.windermere.com/index.cfm?fuseaction=Listing.MapPropertyInteractive&amp;ListingID=19174355&amp;resize=true&amp;windowWidth=800&amp;windowHeight=600","Map")</f>
        <v>Map</v>
      </c>
      <c r="O214" s="2" t="str">
        <f>HYPERLINK("http://www.windermere.com/index.cfm?fuseaction=Listing.MultiImageViewer&amp;ListingID=19174355&amp;ln=28004081&amp;pub_mls=1","More")</f>
        <v>More</v>
      </c>
      <c r="AI214" t="s">
        <v>66</v>
      </c>
      <c r="AJ214">
        <v>98125</v>
      </c>
      <c r="AS214" t="s">
        <v>697</v>
      </c>
      <c r="AT214">
        <v>19174355</v>
      </c>
      <c r="AU214" s="12">
        <v>39495</v>
      </c>
      <c r="BB214" t="s">
        <v>912</v>
      </c>
      <c r="BC214" s="7">
        <v>39454</v>
      </c>
      <c r="BG214">
        <v>41</v>
      </c>
      <c r="BH214" s="17">
        <f t="shared" ca="1" si="3"/>
        <v>73</v>
      </c>
      <c r="BI214" s="17"/>
      <c r="BJ214" s="17"/>
    </row>
    <row r="215" spans="1:63" hidden="1">
      <c r="A215">
        <v>28014970</v>
      </c>
      <c r="B215" s="15" t="str">
        <f>HYPERLINK("http://www.windermere.com/index.cfm?fuseaction=Listing.ListingDetail&amp;ListingID=19280733","Subject To Inspection")</f>
        <v>Subject To Inspection</v>
      </c>
      <c r="D215" t="s">
        <v>218</v>
      </c>
      <c r="E215" t="s">
        <v>694</v>
      </c>
      <c r="F215" s="10">
        <v>419000</v>
      </c>
      <c r="G215" t="s">
        <v>404</v>
      </c>
      <c r="H215" s="1">
        <v>1810</v>
      </c>
      <c r="I215">
        <v>1454</v>
      </c>
      <c r="J215">
        <v>3</v>
      </c>
      <c r="K215">
        <v>3.5</v>
      </c>
      <c r="M215" s="2" t="str">
        <f>HYPERLINK("http://www.windermere.com/index.cfm?fuseaction=Listing.MapPropertyInteractive&amp;ListingID=19280733&amp;resize=true&amp;windowWidth=800&amp;windowHeight=600","Map")</f>
        <v>Map</v>
      </c>
      <c r="O215" s="2" t="str">
        <f>HYPERLINK("http://www.windermere.com/index.cfm?fuseaction=Listing.MultiImageViewer&amp;ListingID=19280733&amp;ln=28014970&amp;pub_mls=1","More")</f>
        <v>More</v>
      </c>
      <c r="P215" t="s">
        <v>44</v>
      </c>
      <c r="AI215" t="s">
        <v>66</v>
      </c>
      <c r="AJ215">
        <v>98115</v>
      </c>
      <c r="AS215" t="s">
        <v>695</v>
      </c>
      <c r="AT215">
        <v>19280733</v>
      </c>
      <c r="AU215" s="12">
        <v>39495</v>
      </c>
      <c r="BB215" t="s">
        <v>912</v>
      </c>
      <c r="BC215" s="7">
        <v>39472</v>
      </c>
      <c r="BD215">
        <v>-3</v>
      </c>
      <c r="BE215" t="s">
        <v>1441</v>
      </c>
      <c r="BG215">
        <v>23</v>
      </c>
      <c r="BH215" s="17">
        <f t="shared" ca="1" si="3"/>
        <v>55</v>
      </c>
      <c r="BI215" s="17"/>
      <c r="BJ215" s="17"/>
    </row>
    <row r="216" spans="1:63" hidden="1">
      <c r="A216">
        <v>28024362</v>
      </c>
      <c r="B216" s="2" t="str">
        <f>HYPERLINK("http://www.windermere.com/index.cfm?fuseaction=Listing.ListingDetail&amp;ListingID=19346825","Active")</f>
        <v>Active</v>
      </c>
      <c r="D216" t="s">
        <v>100</v>
      </c>
      <c r="E216" t="s">
        <v>700</v>
      </c>
      <c r="F216" s="10">
        <v>419500</v>
      </c>
      <c r="G216" t="s">
        <v>147</v>
      </c>
      <c r="H216" s="1">
        <v>1230</v>
      </c>
      <c r="J216">
        <v>2</v>
      </c>
      <c r="K216">
        <v>2.5</v>
      </c>
      <c r="M216" s="2" t="str">
        <f>HYPERLINK("http://www.windermere.com/index.cfm?fuseaction=Listing.MapPropertyInteractive&amp;ListingID=19346825&amp;resize=true&amp;windowWidth=800&amp;windowHeight=600","Map")</f>
        <v>Map</v>
      </c>
      <c r="O216" s="2" t="str">
        <f>HYPERLINK("http://www.windermere.com/index.cfm?fuseaction=Listing.MultiImageViewer&amp;ListingID=19346825&amp;ln=28024362&amp;pub_mls=1","More")</f>
        <v>More</v>
      </c>
      <c r="P216" t="s">
        <v>44</v>
      </c>
      <c r="AI216" t="s">
        <v>66</v>
      </c>
      <c r="AJ216">
        <v>98103</v>
      </c>
      <c r="AS216" t="s">
        <v>701</v>
      </c>
      <c r="AT216">
        <v>19346825</v>
      </c>
      <c r="AU216" s="12">
        <v>39495</v>
      </c>
      <c r="BB216" t="s">
        <v>912</v>
      </c>
      <c r="BC216" s="7">
        <v>39487</v>
      </c>
      <c r="BG216">
        <v>8</v>
      </c>
      <c r="BH216" s="17">
        <f t="shared" ca="1" si="3"/>
        <v>40</v>
      </c>
      <c r="BI216" s="17"/>
      <c r="BJ216" s="17"/>
    </row>
    <row r="217" spans="1:63" hidden="1">
      <c r="A217">
        <v>27172676</v>
      </c>
      <c r="B217" s="15" t="str">
        <f>HYPERLINK("http://www.windermere.com/index.cfm?fuseaction=Listing.ListingDetail&amp;ListingID=18672444","Subject To Inspection")</f>
        <v>Subject To Inspection</v>
      </c>
      <c r="D217" t="s">
        <v>100</v>
      </c>
      <c r="E217" t="s">
        <v>702</v>
      </c>
      <c r="F217" s="10">
        <v>419950</v>
      </c>
      <c r="G217" t="s">
        <v>147</v>
      </c>
      <c r="H217" s="1">
        <v>1140</v>
      </c>
      <c r="J217">
        <v>2</v>
      </c>
      <c r="K217">
        <v>1.5</v>
      </c>
      <c r="M217" s="2" t="str">
        <f>HYPERLINK("http://www.windermere.com/index.cfm?fuseaction=Listing.MapPropertyInteractive&amp;ListingID=18672444&amp;resize=true&amp;windowWidth=800&amp;windowHeight=600","Map")</f>
        <v>Map</v>
      </c>
      <c r="O217" s="2" t="str">
        <f>HYPERLINK("http://www.windermere.com/index.cfm?fuseaction=Listing.MultiImageViewer&amp;ListingID=18672444&amp;ln=27172676&amp;pub_mls=1","More")</f>
        <v>More</v>
      </c>
      <c r="P217" t="s">
        <v>44</v>
      </c>
      <c r="AI217" t="s">
        <v>66</v>
      </c>
      <c r="AJ217">
        <v>98103</v>
      </c>
      <c r="AS217" t="s">
        <v>703</v>
      </c>
      <c r="AT217">
        <v>18672444</v>
      </c>
      <c r="AU217" s="12">
        <v>39495</v>
      </c>
      <c r="BB217" t="s">
        <v>912</v>
      </c>
      <c r="BC217" s="7">
        <v>39345</v>
      </c>
      <c r="BG217">
        <v>150</v>
      </c>
      <c r="BH217" s="17">
        <f t="shared" ca="1" si="3"/>
        <v>182</v>
      </c>
      <c r="BI217" s="17"/>
      <c r="BJ217" s="17"/>
    </row>
    <row r="218" spans="1:63" hidden="1">
      <c r="A218">
        <v>27197076</v>
      </c>
      <c r="B218" s="2" t="str">
        <f>HYPERLINK("http://www.windermere.com/index.cfm?fuseaction=Listing.ListingDetail&amp;ListingID=18915737","Active")</f>
        <v>Active</v>
      </c>
      <c r="D218" t="s">
        <v>60</v>
      </c>
      <c r="E218" t="s">
        <v>704</v>
      </c>
      <c r="F218" s="10">
        <v>419950</v>
      </c>
      <c r="G218" t="s">
        <v>147</v>
      </c>
      <c r="H218" s="1">
        <v>1285</v>
      </c>
      <c r="J218">
        <v>2</v>
      </c>
      <c r="K218">
        <v>2.5</v>
      </c>
      <c r="M218" s="2" t="str">
        <f>HYPERLINK("http://www.windermere.com/index.cfm?fuseaction=Listing.MapPropertyInteractive&amp;ListingID=18915737&amp;resize=true&amp;windowWidth=800&amp;windowHeight=600","Map")</f>
        <v>Map</v>
      </c>
      <c r="O218" s="2" t="str">
        <f>HYPERLINK("http://www.windermere.com/index.cfm?fuseaction=Listing.MultiImageViewer&amp;ListingID=18915737&amp;ln=27197076&amp;pub_mls=1","More")</f>
        <v>More</v>
      </c>
      <c r="P218" t="s">
        <v>44</v>
      </c>
      <c r="AI218" t="s">
        <v>66</v>
      </c>
      <c r="AJ218">
        <v>98115</v>
      </c>
      <c r="AS218" t="s">
        <v>705</v>
      </c>
      <c r="AT218">
        <v>18915737</v>
      </c>
      <c r="AU218" s="12">
        <v>39495</v>
      </c>
      <c r="BB218" t="s">
        <v>912</v>
      </c>
      <c r="BC218" s="7">
        <v>39391</v>
      </c>
      <c r="BG218">
        <v>104</v>
      </c>
      <c r="BH218" s="17">
        <f t="shared" ca="1" si="3"/>
        <v>136</v>
      </c>
      <c r="BI218" s="17"/>
      <c r="BJ218" s="17"/>
    </row>
    <row r="219" spans="1:63" hidden="1">
      <c r="A219">
        <v>28019953</v>
      </c>
      <c r="B219" s="2" t="str">
        <f>HYPERLINK("http://www.windermere.com/index.cfm?fuseaction=Listing.ListingDetail&amp;ListingID=19312784","Active")</f>
        <v>Active</v>
      </c>
      <c r="C219">
        <v>710</v>
      </c>
      <c r="D219" t="s">
        <v>188</v>
      </c>
      <c r="E219" t="s">
        <v>209</v>
      </c>
      <c r="F219" s="10">
        <v>419950</v>
      </c>
      <c r="G219" t="s">
        <v>176</v>
      </c>
      <c r="H219" s="1">
        <v>2540</v>
      </c>
      <c r="I219">
        <v>4950</v>
      </c>
      <c r="J219">
        <v>3</v>
      </c>
      <c r="K219">
        <v>2.75</v>
      </c>
      <c r="L219">
        <v>2</v>
      </c>
      <c r="M219" s="2" t="str">
        <f>HYPERLINK("http://www.windermere.com/index.cfm?fuseaction=Listing.MapPropertyInteractive&amp;ListingID=19312784&amp;resize=true&amp;windowWidth=800&amp;windowHeight=600","Map")</f>
        <v>Map</v>
      </c>
      <c r="N219" s="2" t="str">
        <f>HYPERLINK("http://locmedia.nwmls.com/DO_NOT_LINK/bigphoto/953/28019953.jpg?tsp=20080201191711","Photo")</f>
        <v>Photo</v>
      </c>
      <c r="O219" s="2" t="str">
        <f>HYPERLINK("http://www.windermere.com/index.cfm?fuseaction=Listing.MultiImageViewer&amp;ListingID=19312784&amp;ln=28019953&amp;pub_mls=1","More")</f>
        <v>More</v>
      </c>
      <c r="Q219" t="s">
        <v>82</v>
      </c>
      <c r="R219" t="s">
        <v>72</v>
      </c>
      <c r="S219" t="s">
        <v>53</v>
      </c>
      <c r="T219" t="s">
        <v>77</v>
      </c>
      <c r="X219" t="s">
        <v>47</v>
      </c>
      <c r="Y219" t="s">
        <v>48</v>
      </c>
      <c r="Z219" t="s">
        <v>103</v>
      </c>
      <c r="AB219">
        <v>2007</v>
      </c>
      <c r="AC219">
        <v>3200</v>
      </c>
      <c r="AD219" t="s">
        <v>993</v>
      </c>
      <c r="AE219" t="s">
        <v>210</v>
      </c>
      <c r="AF219" t="s">
        <v>75</v>
      </c>
      <c r="AG219">
        <v>47.713189</v>
      </c>
      <c r="AH219">
        <v>-122.294954</v>
      </c>
      <c r="AI219" t="s">
        <v>66</v>
      </c>
      <c r="AJ219">
        <v>98125</v>
      </c>
      <c r="AK219" t="s">
        <v>41</v>
      </c>
      <c r="AL219" t="s">
        <v>40</v>
      </c>
      <c r="AM219" t="s">
        <v>40</v>
      </c>
      <c r="AO219">
        <v>0.114</v>
      </c>
      <c r="AP219" t="s">
        <v>994</v>
      </c>
      <c r="AQ219">
        <v>505</v>
      </c>
      <c r="AR219" t="s">
        <v>211</v>
      </c>
      <c r="AS219" t="s">
        <v>1123</v>
      </c>
      <c r="AT219">
        <v>19312784</v>
      </c>
      <c r="AU219" s="12">
        <v>39495</v>
      </c>
      <c r="BA219" t="s">
        <v>912</v>
      </c>
      <c r="BB219" t="s">
        <v>912</v>
      </c>
      <c r="BC219" s="7">
        <v>39479</v>
      </c>
      <c r="BG219">
        <v>16</v>
      </c>
      <c r="BH219" s="17">
        <f t="shared" ca="1" si="3"/>
        <v>48</v>
      </c>
      <c r="BI219" s="17"/>
      <c r="BJ219" s="17"/>
    </row>
    <row r="220" spans="1:63" hidden="1">
      <c r="A220">
        <v>28021761</v>
      </c>
      <c r="B220" s="2" t="str">
        <f>HYPERLINK("http://www.windermere.com/index.cfm?fuseaction=Listing.ListingDetail&amp;ListingID=19327024","Active")</f>
        <v>Active</v>
      </c>
      <c r="C220">
        <v>710</v>
      </c>
      <c r="D220" t="s">
        <v>199</v>
      </c>
      <c r="E220" t="s">
        <v>706</v>
      </c>
      <c r="F220" s="10">
        <v>419950</v>
      </c>
      <c r="G220" t="s">
        <v>156</v>
      </c>
      <c r="H220" s="1">
        <v>2200</v>
      </c>
      <c r="I220">
        <v>4684</v>
      </c>
      <c r="J220">
        <v>4</v>
      </c>
      <c r="K220">
        <v>1.75</v>
      </c>
      <c r="L220">
        <v>2</v>
      </c>
      <c r="M220" s="2" t="str">
        <f>HYPERLINK("http://www.windermere.com/index.cfm?fuseaction=Listing.MapPropertyInteractive&amp;ListingID=19327024&amp;resize=true&amp;windowWidth=800&amp;windowHeight=600","Map")</f>
        <v>Map</v>
      </c>
      <c r="N220" s="2" t="str">
        <f>HYPERLINK("http://locmedia.nwmls.com/DO_NOT_LINK/bigphoto/761/28021761.jpg?tsp=20080206124209","Photo")</f>
        <v>Photo</v>
      </c>
      <c r="O220" s="2" t="str">
        <f>HYPERLINK("http://www.windermere.com/index.cfm?fuseaction=Listing.MultiImageViewer&amp;ListingID=19327024&amp;ln=28021761&amp;pub_mls=1","More")</f>
        <v>More</v>
      </c>
      <c r="Q220" t="s">
        <v>56</v>
      </c>
      <c r="R220" t="s">
        <v>67</v>
      </c>
      <c r="S220" t="s">
        <v>212</v>
      </c>
      <c r="T220" t="s">
        <v>62</v>
      </c>
      <c r="U220" t="s">
        <v>44</v>
      </c>
      <c r="X220" t="s">
        <v>47</v>
      </c>
      <c r="Y220" t="s">
        <v>48</v>
      </c>
      <c r="Z220" t="s">
        <v>68</v>
      </c>
      <c r="AA220" t="s">
        <v>107</v>
      </c>
      <c r="AB220">
        <v>2007</v>
      </c>
      <c r="AC220">
        <v>2770</v>
      </c>
      <c r="AD220" t="s">
        <v>990</v>
      </c>
      <c r="AE220" t="s">
        <v>51</v>
      </c>
      <c r="AF220" t="s">
        <v>991</v>
      </c>
      <c r="AG220">
        <v>47.727043000000002</v>
      </c>
      <c r="AH220">
        <v>-122.304028</v>
      </c>
      <c r="AI220" t="s">
        <v>66</v>
      </c>
      <c r="AJ220">
        <v>98125</v>
      </c>
      <c r="AK220" t="s">
        <v>41</v>
      </c>
      <c r="AL220">
        <v>8</v>
      </c>
      <c r="AM220" t="s">
        <v>40</v>
      </c>
      <c r="AO220">
        <v>0.108</v>
      </c>
      <c r="AP220" t="s">
        <v>992</v>
      </c>
      <c r="AQ220">
        <v>505</v>
      </c>
      <c r="AR220" t="s">
        <v>105</v>
      </c>
      <c r="AS220" t="s">
        <v>707</v>
      </c>
      <c r="AT220">
        <v>19327024</v>
      </c>
      <c r="AU220" s="12">
        <v>39495</v>
      </c>
      <c r="BA220" t="s">
        <v>912</v>
      </c>
      <c r="BB220" t="s">
        <v>912</v>
      </c>
      <c r="BC220" s="7">
        <v>39483</v>
      </c>
      <c r="BG220">
        <v>12</v>
      </c>
      <c r="BH220" s="17">
        <f t="shared" ca="1" si="3"/>
        <v>44</v>
      </c>
      <c r="BI220" s="17"/>
      <c r="BJ220" s="17"/>
    </row>
    <row r="221" spans="1:63" hidden="1">
      <c r="A221">
        <v>28003703</v>
      </c>
      <c r="B221" s="2" t="str">
        <f>HYPERLINK("http://www.windermere.com/index.cfm?fuseaction=Listing.ListingDetail&amp;ListingID=19172134","Active")</f>
        <v>Active</v>
      </c>
      <c r="D221" t="s">
        <v>63</v>
      </c>
      <c r="E221" t="s">
        <v>708</v>
      </c>
      <c r="F221" s="10">
        <v>420000</v>
      </c>
      <c r="G221" t="s">
        <v>147</v>
      </c>
      <c r="J221">
        <v>2</v>
      </c>
      <c r="K221">
        <v>1.5</v>
      </c>
      <c r="M221" s="2" t="str">
        <f>HYPERLINK("http://www.windermere.com/index.cfm?fuseaction=Listing.MapPropertyInteractive&amp;ListingID=19172134&amp;resize=true&amp;windowWidth=800&amp;windowHeight=600","Map")</f>
        <v>Map</v>
      </c>
      <c r="O221" s="2" t="str">
        <f>HYPERLINK("http://www.windermere.com/index.cfm?fuseaction=Listing.MultiImageViewer&amp;ListingID=19172134&amp;ln=28003703&amp;pub_mls=1","More")</f>
        <v>More</v>
      </c>
      <c r="AI221" t="s">
        <v>66</v>
      </c>
      <c r="AJ221">
        <v>98107</v>
      </c>
      <c r="AS221" t="s">
        <v>709</v>
      </c>
      <c r="AT221">
        <v>19172134</v>
      </c>
      <c r="AU221" s="12">
        <v>39495</v>
      </c>
      <c r="BB221" t="s">
        <v>912</v>
      </c>
      <c r="BC221" s="7">
        <v>39453</v>
      </c>
      <c r="BG221">
        <v>42</v>
      </c>
      <c r="BH221" s="17">
        <f t="shared" ca="1" si="3"/>
        <v>74</v>
      </c>
      <c r="BI221" s="17"/>
      <c r="BJ221" s="17"/>
    </row>
    <row r="222" spans="1:63" hidden="1">
      <c r="A222">
        <v>28023230</v>
      </c>
      <c r="B222" s="2" t="str">
        <f>HYPERLINK("http://www.windermere.com/index.cfm?fuseaction=Listing.ListingDetail&amp;ListingID=19341714","Active")</f>
        <v>Active</v>
      </c>
      <c r="C222">
        <v>705</v>
      </c>
      <c r="D222" t="s">
        <v>63</v>
      </c>
      <c r="E222" t="s">
        <v>710</v>
      </c>
      <c r="F222" s="10">
        <v>420000</v>
      </c>
      <c r="G222" t="s">
        <v>162</v>
      </c>
      <c r="H222" s="1">
        <v>1700</v>
      </c>
      <c r="I222">
        <v>3135</v>
      </c>
      <c r="J222">
        <v>3</v>
      </c>
      <c r="K222">
        <v>1.5</v>
      </c>
      <c r="L222">
        <v>1</v>
      </c>
      <c r="M222" s="2" t="str">
        <f>HYPERLINK("http://www.windermere.com/index.cfm?fuseaction=Listing.MapPropertyInteractive&amp;ListingID=19341714&amp;resize=true&amp;windowWidth=800&amp;windowHeight=600","Map")</f>
        <v>Map</v>
      </c>
      <c r="N222" s="2" t="str">
        <f>HYPERLINK("http://locmedia.nwmls.com/DO_NOT_LINK/bigphoto/230/28023230.jpg?tsp=20080209142617","Photo")</f>
        <v>Photo</v>
      </c>
      <c r="O222" s="2" t="str">
        <f>HYPERLINK("http://www.windermere.com/index.cfm?fuseaction=Listing.MultiImageViewer&amp;ListingID=19341714&amp;ln=28023230&amp;pub_mls=1","More")</f>
        <v>More</v>
      </c>
      <c r="P222" t="s">
        <v>44</v>
      </c>
      <c r="Q222" t="s">
        <v>56</v>
      </c>
      <c r="R222" t="s">
        <v>67</v>
      </c>
      <c r="S222" t="s">
        <v>945</v>
      </c>
      <c r="T222" t="s">
        <v>54</v>
      </c>
      <c r="U222" t="s">
        <v>44</v>
      </c>
      <c r="X222" t="s">
        <v>47</v>
      </c>
      <c r="Y222" t="s">
        <v>48</v>
      </c>
      <c r="Z222" t="s">
        <v>87</v>
      </c>
      <c r="AA222" t="s">
        <v>33</v>
      </c>
      <c r="AB222">
        <v>2007</v>
      </c>
      <c r="AC222">
        <v>3104</v>
      </c>
      <c r="AD222" t="s">
        <v>946</v>
      </c>
      <c r="AF222" t="s">
        <v>111</v>
      </c>
      <c r="AG222">
        <v>47.669441999999997</v>
      </c>
      <c r="AH222">
        <v>-122.370991</v>
      </c>
      <c r="AI222" t="s">
        <v>66</v>
      </c>
      <c r="AJ222">
        <v>98107</v>
      </c>
      <c r="AK222" t="s">
        <v>41</v>
      </c>
      <c r="AL222" t="s">
        <v>40</v>
      </c>
      <c r="AM222" t="s">
        <v>40</v>
      </c>
      <c r="AO222">
        <v>7.1999999999999995E-2</v>
      </c>
      <c r="AP222" t="s">
        <v>947</v>
      </c>
      <c r="AQ222">
        <v>534</v>
      </c>
      <c r="AR222" t="s">
        <v>948</v>
      </c>
      <c r="AS222" t="s">
        <v>711</v>
      </c>
      <c r="AT222">
        <v>19341714</v>
      </c>
      <c r="AU222" s="12">
        <v>39495</v>
      </c>
      <c r="BA222" t="s">
        <v>912</v>
      </c>
      <c r="BB222" t="s">
        <v>912</v>
      </c>
      <c r="BC222" s="7">
        <v>39486</v>
      </c>
      <c r="BG222">
        <v>9</v>
      </c>
      <c r="BH222" s="17">
        <f t="shared" ca="1" si="3"/>
        <v>41</v>
      </c>
      <c r="BI222" s="17"/>
      <c r="BJ222" s="17"/>
    </row>
    <row r="223" spans="1:63" hidden="1">
      <c r="A223">
        <v>28028089</v>
      </c>
      <c r="B223" s="15" t="str">
        <f>HYPERLINK("http://www.windermere.com/index.cfm?fuseaction=Listing.ListingDetail&amp;ListingID=19377990","Subject To Inspection")</f>
        <v>Subject To Inspection</v>
      </c>
      <c r="D223" t="s">
        <v>63</v>
      </c>
      <c r="E223" t="s">
        <v>290</v>
      </c>
      <c r="F223" s="10">
        <v>424500</v>
      </c>
      <c r="G223" t="s">
        <v>247</v>
      </c>
      <c r="H223" s="1">
        <v>1500</v>
      </c>
      <c r="J223">
        <v>3</v>
      </c>
      <c r="K223">
        <v>3.25</v>
      </c>
      <c r="M223" s="2" t="str">
        <f>HYPERLINK("http://www.windermere.com/index.cfm?fuseaction=Listing.MapPropertyInteractive&amp;ListingID=19377990&amp;resize=true&amp;windowWidth=800&amp;windowHeight=600","Map")</f>
        <v>Map</v>
      </c>
      <c r="O223" s="2" t="str">
        <f>HYPERLINK("http://www.windermere.com/index.cfm?fuseaction=Listing.MultiImageViewer&amp;ListingID=19377990&amp;ln=28028089&amp;pub_mls=1","More")</f>
        <v>More</v>
      </c>
      <c r="P223" t="s">
        <v>44</v>
      </c>
      <c r="AI223" t="s">
        <v>66</v>
      </c>
      <c r="AJ223">
        <v>98117</v>
      </c>
      <c r="AS223" t="s">
        <v>291</v>
      </c>
      <c r="AT223">
        <v>19377990</v>
      </c>
      <c r="AU223" s="12">
        <v>39495</v>
      </c>
      <c r="BB223" t="s">
        <v>912</v>
      </c>
      <c r="BC223" s="7">
        <v>39493</v>
      </c>
      <c r="BD223">
        <v>-3</v>
      </c>
      <c r="BE223" t="s">
        <v>1407</v>
      </c>
      <c r="BG223" s="6">
        <v>2</v>
      </c>
      <c r="BH223" s="17">
        <f t="shared" ca="1" si="3"/>
        <v>34</v>
      </c>
      <c r="BI223" s="17"/>
      <c r="BJ223" s="17"/>
    </row>
    <row r="224" spans="1:63" hidden="1">
      <c r="A224">
        <v>28000429</v>
      </c>
      <c r="B224" s="2" t="str">
        <f>HYPERLINK("http://www.windermere.com/index.cfm?fuseaction=Listing.ListingDetail&amp;ListingID=19145144","Active")</f>
        <v>Active</v>
      </c>
      <c r="D224" t="s">
        <v>204</v>
      </c>
      <c r="E224" s="3" t="s">
        <v>1548</v>
      </c>
      <c r="F224" s="13">
        <v>399950</v>
      </c>
      <c r="G224" t="s">
        <v>147</v>
      </c>
      <c r="H224" s="1">
        <v>1822</v>
      </c>
      <c r="J224">
        <v>3</v>
      </c>
      <c r="K224">
        <v>3</v>
      </c>
      <c r="M224" s="2" t="str">
        <f>HYPERLINK("http://www.windermere.com/index.cfm?fuseaction=Listing.MapPropertyInteractive&amp;ListingID=19145144&amp;resize=true&amp;windowWidth=800&amp;windowHeight=600","Map")</f>
        <v>Map</v>
      </c>
      <c r="O224" s="2" t="str">
        <f>HYPERLINK("http://www.windermere.com/index.cfm?fuseaction=Listing.MultiImageViewer&amp;ListingID=19145144&amp;ln=28000429&amp;pub_mls=1","More")</f>
        <v>More</v>
      </c>
      <c r="AI224" t="s">
        <v>66</v>
      </c>
      <c r="AJ224">
        <v>98125</v>
      </c>
      <c r="AS224" t="s">
        <v>712</v>
      </c>
      <c r="AT224">
        <v>19145144</v>
      </c>
      <c r="AU224" s="12">
        <v>39495</v>
      </c>
      <c r="BB224" t="s">
        <v>912</v>
      </c>
      <c r="BC224" s="7">
        <v>39449</v>
      </c>
      <c r="BD224">
        <v>-3</v>
      </c>
      <c r="BE224" t="s">
        <v>1563</v>
      </c>
      <c r="BG224" s="6">
        <v>46</v>
      </c>
      <c r="BH224" s="17">
        <f t="shared" ca="1" si="3"/>
        <v>78</v>
      </c>
      <c r="BI224" s="17"/>
      <c r="BJ224" s="17"/>
    </row>
    <row r="225" spans="1:62" hidden="1">
      <c r="A225">
        <v>28008476</v>
      </c>
      <c r="B225" s="2" t="str">
        <f>HYPERLINK("http://www.windermere.com/index.cfm?fuseaction=Listing.ListingDetail&amp;ListingID=19221188","Active")</f>
        <v>Active</v>
      </c>
      <c r="D225" t="s">
        <v>60</v>
      </c>
      <c r="E225" t="s">
        <v>713</v>
      </c>
      <c r="F225" s="10">
        <v>424950</v>
      </c>
      <c r="G225" t="s">
        <v>247</v>
      </c>
      <c r="H225" s="14">
        <v>1800</v>
      </c>
      <c r="I225">
        <v>1120</v>
      </c>
      <c r="J225">
        <v>3</v>
      </c>
      <c r="K225">
        <v>3</v>
      </c>
      <c r="M225" s="2" t="str">
        <f>HYPERLINK("http://www.windermere.com/index.cfm?fuseaction=Listing.MapPropertyInteractive&amp;ListingID=19221188&amp;resize=true&amp;windowWidth=800&amp;windowHeight=600","Map")</f>
        <v>Map</v>
      </c>
      <c r="P225" t="s">
        <v>44</v>
      </c>
      <c r="AI225" t="s">
        <v>66</v>
      </c>
      <c r="AJ225">
        <v>98103</v>
      </c>
      <c r="AS225" t="s">
        <v>714</v>
      </c>
      <c r="AT225">
        <v>19221188</v>
      </c>
      <c r="AU225" s="12">
        <v>39495</v>
      </c>
      <c r="BB225" t="s">
        <v>912</v>
      </c>
      <c r="BC225" s="7">
        <v>39461</v>
      </c>
      <c r="BG225">
        <v>34</v>
      </c>
      <c r="BH225" s="17">
        <f t="shared" ca="1" si="3"/>
        <v>66</v>
      </c>
      <c r="BI225" s="17"/>
      <c r="BJ225" s="17"/>
    </row>
    <row r="226" spans="1:62" hidden="1">
      <c r="A226">
        <v>28019710</v>
      </c>
      <c r="B226" s="2" t="str">
        <f>HYPERLINK("http://www.windermere.com/index.cfm?fuseaction=Listing.ListingDetail&amp;ListingID=19311311","Active")</f>
        <v>Active</v>
      </c>
      <c r="D226" t="s">
        <v>194</v>
      </c>
      <c r="E226" t="s">
        <v>197</v>
      </c>
      <c r="F226" s="10">
        <v>424950</v>
      </c>
      <c r="G226" t="s">
        <v>124</v>
      </c>
      <c r="H226">
        <v>930</v>
      </c>
      <c r="I226">
        <v>8280</v>
      </c>
      <c r="J226">
        <v>2</v>
      </c>
      <c r="K226">
        <v>1</v>
      </c>
      <c r="M226" s="2" t="str">
        <f>HYPERLINK("http://www.windermere.com/index.cfm?fuseaction=Listing.MapPropertyInteractive&amp;ListingID=19311311&amp;resize=true&amp;windowWidth=800&amp;windowHeight=600","Map")</f>
        <v>Map</v>
      </c>
      <c r="O226" s="2" t="str">
        <f>HYPERLINK("http://www.windermere.com/index.cfm?fuseaction=Listing.MultiImageViewer&amp;ListingID=19311311&amp;ln=28019710&amp;pub_mls=1","More")</f>
        <v>More</v>
      </c>
      <c r="AI226" t="s">
        <v>66</v>
      </c>
      <c r="AJ226">
        <v>98125</v>
      </c>
      <c r="AS226" t="s">
        <v>1124</v>
      </c>
      <c r="AT226">
        <v>19311311</v>
      </c>
      <c r="AU226" s="12">
        <v>39495</v>
      </c>
      <c r="BB226" t="s">
        <v>912</v>
      </c>
      <c r="BC226" s="7">
        <v>39479</v>
      </c>
      <c r="BG226">
        <v>16</v>
      </c>
      <c r="BH226" s="17">
        <f t="shared" ca="1" si="3"/>
        <v>48</v>
      </c>
      <c r="BI226" s="17"/>
      <c r="BJ226" s="17"/>
    </row>
    <row r="227" spans="1:62" hidden="1">
      <c r="A227">
        <v>28012553</v>
      </c>
      <c r="B227" s="2" t="str">
        <f>HYPERLINK("http://www.windermere.com/index.cfm?fuseaction=Listing.ListingDetail&amp;ListingID=19255159","Active")</f>
        <v>Active</v>
      </c>
      <c r="D227" t="s">
        <v>88</v>
      </c>
      <c r="E227" t="s">
        <v>717</v>
      </c>
      <c r="F227" s="10">
        <v>425000</v>
      </c>
      <c r="G227" t="s">
        <v>718</v>
      </c>
      <c r="H227" s="1">
        <v>1920</v>
      </c>
      <c r="J227">
        <v>2</v>
      </c>
      <c r="K227">
        <v>1</v>
      </c>
      <c r="M227" s="2" t="str">
        <f>HYPERLINK("http://www.windermere.com/index.cfm?fuseaction=Listing.MapPropertyInteractive&amp;ListingID=19255159&amp;resize=true&amp;windowWidth=800&amp;windowHeight=600","Map")</f>
        <v>Map</v>
      </c>
      <c r="O227" s="2" t="str">
        <f>HYPERLINK("http://www.windermere.com/index.cfm?fuseaction=viewGallery.Home&amp;customTourID=204986&amp;wvt=0","More")</f>
        <v>More</v>
      </c>
      <c r="AI227" t="s">
        <v>66</v>
      </c>
      <c r="AJ227">
        <v>98103</v>
      </c>
      <c r="AS227" t="s">
        <v>719</v>
      </c>
      <c r="AT227">
        <v>19255159</v>
      </c>
      <c r="AU227" s="12">
        <v>39495</v>
      </c>
      <c r="BB227" t="s">
        <v>912</v>
      </c>
      <c r="BC227" s="7">
        <v>39467</v>
      </c>
      <c r="BG227">
        <v>28</v>
      </c>
      <c r="BH227" s="17">
        <f t="shared" ca="1" si="3"/>
        <v>60</v>
      </c>
      <c r="BI227" s="17"/>
      <c r="BJ227" s="17"/>
    </row>
    <row r="228" spans="1:62" hidden="1">
      <c r="A228">
        <v>28013811</v>
      </c>
      <c r="B228" s="2" t="str">
        <f>HYPERLINK("http://www.windermere.com/index.cfm?fuseaction=Listing.ListingDetail&amp;ListingID=19267253","Active")</f>
        <v>Active</v>
      </c>
      <c r="D228" t="s">
        <v>99</v>
      </c>
      <c r="E228" t="s">
        <v>145</v>
      </c>
      <c r="F228" s="13">
        <v>400000</v>
      </c>
      <c r="G228" t="s">
        <v>146</v>
      </c>
      <c r="H228" s="1">
        <v>1380</v>
      </c>
      <c r="I228">
        <v>5400</v>
      </c>
      <c r="J228">
        <v>2</v>
      </c>
      <c r="K228">
        <v>2.25</v>
      </c>
      <c r="M228" s="2" t="str">
        <f>HYPERLINK("http://www.windermere.com/index.cfm?fuseaction=Listing.MapPropertyInteractive&amp;ListingID=19267253&amp;resize=true&amp;windowWidth=800&amp;windowHeight=600","Map")</f>
        <v>Map</v>
      </c>
      <c r="O228" s="2" t="str">
        <f>HYPERLINK("http://www.windermere.com/index.cfm?fuseaction=Listing.MultiImageViewer&amp;ListingID=19267253&amp;ln=28013811&amp;pub_mls=1","More")</f>
        <v>More</v>
      </c>
      <c r="AI228" t="s">
        <v>66</v>
      </c>
      <c r="AJ228">
        <v>98117</v>
      </c>
      <c r="AS228" t="s">
        <v>312</v>
      </c>
      <c r="AT228">
        <v>19267253</v>
      </c>
      <c r="AU228" s="12">
        <v>39495</v>
      </c>
      <c r="BB228" t="s">
        <v>912</v>
      </c>
      <c r="BC228" s="7">
        <v>39470</v>
      </c>
      <c r="BG228">
        <v>25</v>
      </c>
      <c r="BH228" s="17">
        <f t="shared" ca="1" si="3"/>
        <v>57</v>
      </c>
      <c r="BI228" s="17"/>
      <c r="BJ228" s="17"/>
    </row>
    <row r="229" spans="1:62" hidden="1">
      <c r="A229">
        <v>28014246</v>
      </c>
      <c r="B229" s="2" t="str">
        <f>HYPERLINK("http://www.windermere.com/index.cfm?fuseaction=Listing.ListingDetail&amp;ListingID=19275831","Active")</f>
        <v>Active</v>
      </c>
      <c r="D229" t="s">
        <v>213</v>
      </c>
      <c r="E229" t="s">
        <v>1125</v>
      </c>
      <c r="F229" s="10">
        <v>425000</v>
      </c>
      <c r="G229" t="s">
        <v>1126</v>
      </c>
      <c r="H229" s="1">
        <v>2180</v>
      </c>
      <c r="I229">
        <v>4120</v>
      </c>
      <c r="J229">
        <v>4</v>
      </c>
      <c r="K229">
        <v>1.75</v>
      </c>
      <c r="M229" s="2" t="str">
        <f>HYPERLINK("http://www.windermere.com/index.cfm?fuseaction=Listing.MapPropertyInteractive&amp;ListingID=19275831&amp;resize=true&amp;windowWidth=800&amp;windowHeight=600","Map")</f>
        <v>Map</v>
      </c>
      <c r="O229" s="2" t="str">
        <f>HYPERLINK("http://www.windermere.com/index.cfm?fuseaction=viewGallery.Home&amp;customTourID=205538&amp;wvt=0","More")</f>
        <v>More</v>
      </c>
      <c r="AI229" t="s">
        <v>66</v>
      </c>
      <c r="AJ229">
        <v>98125</v>
      </c>
      <c r="AS229" t="s">
        <v>1127</v>
      </c>
      <c r="AT229">
        <v>19275831</v>
      </c>
      <c r="AU229" s="12">
        <v>39495</v>
      </c>
      <c r="BB229" t="s">
        <v>912</v>
      </c>
      <c r="BC229" s="7">
        <v>39471</v>
      </c>
      <c r="BG229">
        <v>24</v>
      </c>
      <c r="BH229" s="17">
        <f t="shared" ca="1" si="3"/>
        <v>56</v>
      </c>
      <c r="BI229" s="17"/>
      <c r="BJ229" s="17"/>
    </row>
    <row r="230" spans="1:62" hidden="1">
      <c r="A230">
        <v>28019939</v>
      </c>
      <c r="B230" s="2" t="str">
        <f>HYPERLINK("http://www.windermere.com/index.cfm?fuseaction=Listing.ListingDetail&amp;ListingID=19315502","Active")</f>
        <v>Active</v>
      </c>
      <c r="C230">
        <v>710</v>
      </c>
      <c r="D230" t="s">
        <v>920</v>
      </c>
      <c r="E230" t="s">
        <v>720</v>
      </c>
      <c r="F230" s="10">
        <v>425000</v>
      </c>
      <c r="G230" t="s">
        <v>419</v>
      </c>
      <c r="H230" s="1">
        <v>1640</v>
      </c>
      <c r="I230">
        <v>6600</v>
      </c>
      <c r="J230">
        <v>3</v>
      </c>
      <c r="K230">
        <v>1.75</v>
      </c>
      <c r="L230">
        <v>1</v>
      </c>
      <c r="M230" s="2" t="str">
        <f>HYPERLINK("http://www.windermere.com/index.cfm?fuseaction=Listing.MapPropertyInteractive&amp;ListingID=19315502&amp;resize=true&amp;windowWidth=800&amp;windowHeight=600","Map")</f>
        <v>Map</v>
      </c>
      <c r="N230" s="2" t="str">
        <f>HYPERLINK("http://locmedia.nwmls.com/DO_NOT_LINK/bigphoto/939/28019939.jpg?tsp=20080202225008","Photo")</f>
        <v>Photo</v>
      </c>
      <c r="O230" s="2" t="str">
        <f>HYPERLINK("http://www.windermere.com/index.cfm?fuseaction=Listing.MultiImageViewer&amp;ListingID=19315502&amp;ln=28019939&amp;pub_mls=1","More")</f>
        <v>More</v>
      </c>
      <c r="Q230" t="s">
        <v>198</v>
      </c>
      <c r="R230" t="s">
        <v>67</v>
      </c>
      <c r="S230" t="s">
        <v>995</v>
      </c>
      <c r="T230" t="s">
        <v>54</v>
      </c>
      <c r="U230" t="s">
        <v>44</v>
      </c>
      <c r="X230" t="s">
        <v>47</v>
      </c>
      <c r="Y230" t="s">
        <v>48</v>
      </c>
      <c r="Z230" t="s">
        <v>85</v>
      </c>
      <c r="AB230">
        <v>2007</v>
      </c>
      <c r="AC230">
        <v>2761</v>
      </c>
      <c r="AD230" t="s">
        <v>996</v>
      </c>
      <c r="AF230" t="s">
        <v>997</v>
      </c>
      <c r="AG230">
        <v>47.713388000000002</v>
      </c>
      <c r="AH230">
        <v>-122.32479499999999</v>
      </c>
      <c r="AI230" t="s">
        <v>66</v>
      </c>
      <c r="AJ230">
        <v>98125</v>
      </c>
      <c r="AK230" t="s">
        <v>41</v>
      </c>
      <c r="AL230">
        <v>3</v>
      </c>
      <c r="AM230" t="s">
        <v>40</v>
      </c>
      <c r="AO230">
        <v>0.152</v>
      </c>
      <c r="AP230" t="s">
        <v>998</v>
      </c>
      <c r="AQ230">
        <v>505</v>
      </c>
      <c r="AR230" t="s">
        <v>999</v>
      </c>
      <c r="AS230" t="s">
        <v>721</v>
      </c>
      <c r="AT230">
        <v>19315502</v>
      </c>
      <c r="AU230" s="12">
        <v>39495</v>
      </c>
      <c r="BA230" t="s">
        <v>912</v>
      </c>
      <c r="BB230" t="s">
        <v>912</v>
      </c>
      <c r="BC230" s="7">
        <v>39480</v>
      </c>
      <c r="BG230">
        <v>15</v>
      </c>
      <c r="BH230" s="17">
        <f t="shared" ca="1" si="3"/>
        <v>47</v>
      </c>
      <c r="BI230" s="17"/>
      <c r="BJ230" s="17"/>
    </row>
    <row r="231" spans="1:62" hidden="1">
      <c r="A231">
        <v>28022244</v>
      </c>
      <c r="B231" s="15" t="str">
        <f>HYPERLINK("http://www.windermere.com/index.cfm?fuseaction=Listing.ListingDetail&amp;ListingID=19331172","Subject To Inspection")</f>
        <v>Subject To Inspection</v>
      </c>
      <c r="C231">
        <v>705</v>
      </c>
      <c r="D231" t="s">
        <v>99</v>
      </c>
      <c r="E231" t="s">
        <v>310</v>
      </c>
      <c r="F231" s="10">
        <v>425000</v>
      </c>
      <c r="G231" t="s">
        <v>236</v>
      </c>
      <c r="H231" s="1">
        <v>1650</v>
      </c>
      <c r="I231">
        <v>6788</v>
      </c>
      <c r="J231">
        <v>3</v>
      </c>
      <c r="K231">
        <v>1.5</v>
      </c>
      <c r="L231">
        <v>2</v>
      </c>
      <c r="M231" s="2" t="str">
        <f>HYPERLINK("http://www.windermere.com/index.cfm?fuseaction=Listing.MapPropertyInteractive&amp;ListingID=19331172&amp;resize=true&amp;windowWidth=800&amp;windowHeight=600","Map")</f>
        <v>Map</v>
      </c>
      <c r="N231" s="2" t="str">
        <f>HYPERLINK("http://locmedia.nwmls.com/DO_NOT_LINK/bigphoto/244/28022244.jpg?tsp=20080206135406","Photo")</f>
        <v>Photo</v>
      </c>
      <c r="O231" s="2" t="str">
        <f>HYPERLINK("http://www.windermere.com/index.cfm?fuseaction=Listing.MultiImageViewer&amp;ListingID=19331172&amp;ln=28022244&amp;pub_mls=1","More")</f>
        <v>More</v>
      </c>
      <c r="Q231" t="s">
        <v>56</v>
      </c>
      <c r="R231" t="s">
        <v>72</v>
      </c>
      <c r="S231" t="s">
        <v>76</v>
      </c>
      <c r="T231" t="s">
        <v>77</v>
      </c>
      <c r="U231" t="s">
        <v>44</v>
      </c>
      <c r="V231">
        <v>28</v>
      </c>
      <c r="X231" t="s">
        <v>47</v>
      </c>
      <c r="Y231" t="s">
        <v>48</v>
      </c>
      <c r="Z231" t="s">
        <v>949</v>
      </c>
      <c r="AA231" t="s">
        <v>96</v>
      </c>
      <c r="AB231">
        <v>2007</v>
      </c>
      <c r="AC231">
        <v>3021</v>
      </c>
      <c r="AD231" t="s">
        <v>950</v>
      </c>
      <c r="AE231" t="s">
        <v>51</v>
      </c>
      <c r="AF231" t="s">
        <v>951</v>
      </c>
      <c r="AG231">
        <v>47.695498000000001</v>
      </c>
      <c r="AH231">
        <v>-122.367361</v>
      </c>
      <c r="AI231" t="s">
        <v>66</v>
      </c>
      <c r="AJ231">
        <v>98117</v>
      </c>
      <c r="AK231" t="s">
        <v>41</v>
      </c>
      <c r="AL231">
        <v>4</v>
      </c>
      <c r="AM231" t="s">
        <v>40</v>
      </c>
      <c r="AO231">
        <v>0.156</v>
      </c>
      <c r="AP231" t="s">
        <v>952</v>
      </c>
      <c r="AQ231">
        <v>504</v>
      </c>
      <c r="AR231" t="s">
        <v>91</v>
      </c>
      <c r="AS231" t="s">
        <v>311</v>
      </c>
      <c r="AT231">
        <v>19331172</v>
      </c>
      <c r="AU231" s="12">
        <v>39495</v>
      </c>
      <c r="BA231" t="s">
        <v>912</v>
      </c>
      <c r="BB231" t="s">
        <v>912</v>
      </c>
      <c r="BC231" s="7">
        <v>39484</v>
      </c>
      <c r="BD231">
        <v>2</v>
      </c>
      <c r="BE231" t="s">
        <v>1408</v>
      </c>
      <c r="BG231">
        <v>11</v>
      </c>
      <c r="BH231" s="17">
        <f t="shared" ca="1" si="3"/>
        <v>43</v>
      </c>
      <c r="BI231" s="17"/>
      <c r="BJ231" s="17"/>
    </row>
    <row r="232" spans="1:62" hidden="1">
      <c r="A232">
        <v>28028065</v>
      </c>
      <c r="B232" s="15" t="str">
        <f>HYPERLINK("http://www.windermere.com/index.cfm?fuseaction=Listing.ListingDetail&amp;ListingID=19378564","Subject To Inspection")</f>
        <v>Subject To Inspection</v>
      </c>
      <c r="D232" t="s">
        <v>194</v>
      </c>
      <c r="E232" t="s">
        <v>715</v>
      </c>
      <c r="F232" s="10">
        <v>425000</v>
      </c>
      <c r="G232" t="s">
        <v>168</v>
      </c>
      <c r="H232" s="1">
        <v>1250</v>
      </c>
      <c r="I232">
        <v>8293</v>
      </c>
      <c r="J232">
        <v>2</v>
      </c>
      <c r="K232">
        <v>1</v>
      </c>
      <c r="M232" s="2" t="str">
        <f>HYPERLINK("http://www.windermere.com/index.cfm?fuseaction=Listing.MapPropertyInteractive&amp;ListingID=19378564&amp;resize=true&amp;windowWidth=800&amp;windowHeight=600","Map")</f>
        <v>Map</v>
      </c>
      <c r="O232" s="2" t="str">
        <f>HYPERLINK("http://www.windermere.com/index.cfm?fuseaction=viewGallery.Home&amp;customTourID=207795&amp;wvt=0","More")</f>
        <v>More</v>
      </c>
      <c r="AI232" t="s">
        <v>66</v>
      </c>
      <c r="AJ232">
        <v>98115</v>
      </c>
      <c r="AS232" t="s">
        <v>716</v>
      </c>
      <c r="AT232">
        <v>19378564</v>
      </c>
      <c r="AU232" s="12">
        <v>39495</v>
      </c>
      <c r="BB232" t="s">
        <v>912</v>
      </c>
      <c r="BC232" s="7">
        <v>39493</v>
      </c>
      <c r="BD232">
        <v>3</v>
      </c>
      <c r="BE232" t="s">
        <v>1377</v>
      </c>
      <c r="BG232">
        <v>2</v>
      </c>
      <c r="BH232" s="17">
        <f t="shared" ca="1" si="3"/>
        <v>34</v>
      </c>
      <c r="BI232" s="17"/>
      <c r="BJ232" s="17"/>
    </row>
    <row r="233" spans="1:62" hidden="1">
      <c r="A233">
        <v>27211711</v>
      </c>
      <c r="B233" s="2" t="str">
        <f>HYPERLINK("http://www.windermere.com/index.cfm?fuseaction=Listing.ListingDetail&amp;ListingID=19082312","Active")</f>
        <v>Active</v>
      </c>
      <c r="D233" t="s">
        <v>109</v>
      </c>
      <c r="E233" t="s">
        <v>722</v>
      </c>
      <c r="F233" s="10">
        <v>425950</v>
      </c>
      <c r="G233" t="s">
        <v>142</v>
      </c>
      <c r="H233" s="1">
        <v>1370</v>
      </c>
      <c r="I233">
        <v>5031</v>
      </c>
      <c r="J233">
        <v>3</v>
      </c>
      <c r="K233">
        <v>1</v>
      </c>
      <c r="M233" s="2" t="str">
        <f>HYPERLINK("http://www.windermere.com/index.cfm?fuseaction=Listing.MapPropertyInteractive&amp;ListingID=19082312&amp;resize=true&amp;windowWidth=800&amp;windowHeight=600","Map")</f>
        <v>Map</v>
      </c>
      <c r="O233" s="2" t="str">
        <f>HYPERLINK("http://www.windermere.com/index.cfm?fuseaction=Listing.MultiImageViewer&amp;ListingID=19082312&amp;ln=27211711&amp;pub_mls=1","More")</f>
        <v>More</v>
      </c>
      <c r="P233" t="s">
        <v>44</v>
      </c>
      <c r="AI233" t="s">
        <v>66</v>
      </c>
      <c r="AJ233">
        <v>98015</v>
      </c>
      <c r="AS233" t="s">
        <v>723</v>
      </c>
      <c r="AT233">
        <v>19082312</v>
      </c>
      <c r="AU233" s="12">
        <v>39495</v>
      </c>
      <c r="BB233" t="s">
        <v>912</v>
      </c>
      <c r="BC233" s="7">
        <v>39427</v>
      </c>
      <c r="BG233">
        <v>68</v>
      </c>
      <c r="BH233" s="17">
        <f t="shared" ca="1" si="3"/>
        <v>100</v>
      </c>
      <c r="BI233" s="17"/>
      <c r="BJ233" s="17"/>
    </row>
    <row r="234" spans="1:62" hidden="1">
      <c r="A234">
        <v>27213586</v>
      </c>
      <c r="B234" s="2" t="str">
        <f>HYPERLINK("http://www.windermere.com/index.cfm?fuseaction=Listing.ListingDetail&amp;ListingID=19102324","Active")</f>
        <v>Active</v>
      </c>
      <c r="D234" t="s">
        <v>202</v>
      </c>
      <c r="E234" t="s">
        <v>724</v>
      </c>
      <c r="F234" s="10">
        <v>426950</v>
      </c>
      <c r="G234" t="s">
        <v>124</v>
      </c>
      <c r="H234" s="1">
        <v>1610</v>
      </c>
      <c r="I234">
        <v>7500</v>
      </c>
      <c r="J234">
        <v>3</v>
      </c>
      <c r="K234">
        <v>1</v>
      </c>
      <c r="M234" s="2" t="str">
        <f>HYPERLINK("http://www.windermere.com/index.cfm?fuseaction=Listing.MapPropertyInteractive&amp;ListingID=19102324&amp;resize=true&amp;windowWidth=800&amp;windowHeight=600","Map")</f>
        <v>Map</v>
      </c>
      <c r="O234" s="2" t="str">
        <f>HYPERLINK("http://www.windermere.com/index.cfm?fuseaction=Listing.MultiImageViewer&amp;ListingID=19102324&amp;ln=27213586&amp;pub_mls=1","More")</f>
        <v>More</v>
      </c>
      <c r="AI234" t="s">
        <v>66</v>
      </c>
      <c r="AJ234">
        <v>98125</v>
      </c>
      <c r="AS234" t="s">
        <v>725</v>
      </c>
      <c r="AT234">
        <v>19102324</v>
      </c>
      <c r="AU234" s="12">
        <v>39495</v>
      </c>
      <c r="BB234" t="s">
        <v>912</v>
      </c>
      <c r="BC234" s="7">
        <v>39432</v>
      </c>
      <c r="BG234">
        <v>63</v>
      </c>
      <c r="BH234" s="17">
        <f t="shared" ca="1" si="3"/>
        <v>95</v>
      </c>
      <c r="BI234" s="17"/>
      <c r="BJ234" s="17"/>
    </row>
    <row r="235" spans="1:62" hidden="1">
      <c r="A235">
        <v>28020999</v>
      </c>
      <c r="B235" s="2" t="str">
        <f>HYPERLINK("http://www.windermere.com/index.cfm?fuseaction=Listing.ListingDetail&amp;ListingID=19321801","Active")</f>
        <v>Active</v>
      </c>
      <c r="C235">
        <v>705</v>
      </c>
      <c r="D235" t="s">
        <v>66</v>
      </c>
      <c r="E235" t="s">
        <v>308</v>
      </c>
      <c r="F235" s="10">
        <v>428000</v>
      </c>
      <c r="G235" t="s">
        <v>191</v>
      </c>
      <c r="H235" s="1">
        <v>1960</v>
      </c>
      <c r="I235">
        <v>4800</v>
      </c>
      <c r="J235">
        <v>3</v>
      </c>
      <c r="K235">
        <v>2.5</v>
      </c>
      <c r="L235">
        <v>1</v>
      </c>
      <c r="M235" s="2" t="str">
        <f>HYPERLINK("http://www.windermere.com/index.cfm?fuseaction=Listing.MapPropertyInteractive&amp;ListingID=19321801&amp;resize=true&amp;windowWidth=800&amp;windowHeight=600","Map")</f>
        <v>Map</v>
      </c>
      <c r="N235" s="2" t="str">
        <f>HYPERLINK("http://locmedia.nwmls.com/DO_NOT_LINK/bigphoto/999/28020999.jpg?tsp=20080204204440","Photo")</f>
        <v>Photo</v>
      </c>
      <c r="O235" s="2" t="str">
        <f>HYPERLINK("http://www.windermere.com/index.cfm?fuseaction=Listing.MultiImageViewer&amp;ListingID=19321801&amp;ln=28020999&amp;pub_mls=1","More")</f>
        <v>More</v>
      </c>
      <c r="Q235" t="s">
        <v>56</v>
      </c>
      <c r="R235" t="s">
        <v>94</v>
      </c>
      <c r="S235" t="s">
        <v>58</v>
      </c>
      <c r="T235" t="s">
        <v>62</v>
      </c>
      <c r="U235" t="s">
        <v>44</v>
      </c>
      <c r="X235" t="s">
        <v>47</v>
      </c>
      <c r="Y235" t="s">
        <v>48</v>
      </c>
      <c r="Z235" t="s">
        <v>108</v>
      </c>
      <c r="AA235" t="s">
        <v>33</v>
      </c>
      <c r="AB235">
        <v>2007</v>
      </c>
      <c r="AC235">
        <v>3865</v>
      </c>
      <c r="AD235" t="s">
        <v>953</v>
      </c>
      <c r="AE235" t="s">
        <v>110</v>
      </c>
      <c r="AF235" t="s">
        <v>75</v>
      </c>
      <c r="AG235">
        <v>47.686495999999998</v>
      </c>
      <c r="AH235">
        <v>-122.378922</v>
      </c>
      <c r="AI235" t="s">
        <v>66</v>
      </c>
      <c r="AJ235">
        <v>98117</v>
      </c>
      <c r="AK235" t="s">
        <v>41</v>
      </c>
      <c r="AL235">
        <v>4</v>
      </c>
      <c r="AM235" t="s">
        <v>40</v>
      </c>
      <c r="AO235">
        <v>0.11</v>
      </c>
      <c r="AP235" t="s">
        <v>954</v>
      </c>
      <c r="AQ235">
        <v>534</v>
      </c>
      <c r="AR235" t="s">
        <v>64</v>
      </c>
      <c r="AS235" t="s">
        <v>309</v>
      </c>
      <c r="AT235">
        <v>19321801</v>
      </c>
      <c r="AU235" s="12">
        <v>39495</v>
      </c>
      <c r="BA235" t="s">
        <v>912</v>
      </c>
      <c r="BB235" t="s">
        <v>912</v>
      </c>
      <c r="BC235" s="7">
        <v>39482</v>
      </c>
      <c r="BG235">
        <v>13</v>
      </c>
      <c r="BH235" s="17">
        <f t="shared" ca="1" si="3"/>
        <v>45</v>
      </c>
      <c r="BI235" s="17"/>
      <c r="BJ235" s="17"/>
    </row>
    <row r="236" spans="1:62" hidden="1">
      <c r="A236">
        <v>28023571</v>
      </c>
      <c r="B236" s="2" t="str">
        <f>HYPERLINK("http://www.windermere.com/index.cfm?fuseaction=Listing.ListingDetail&amp;ListingID=19340919","Active")</f>
        <v>Active</v>
      </c>
      <c r="D236" t="s">
        <v>63</v>
      </c>
      <c r="E236" t="s">
        <v>727</v>
      </c>
      <c r="F236" s="10">
        <v>429000</v>
      </c>
      <c r="G236" t="s">
        <v>674</v>
      </c>
      <c r="H236" s="1">
        <v>1525</v>
      </c>
      <c r="I236">
        <v>1473</v>
      </c>
      <c r="J236">
        <v>3</v>
      </c>
      <c r="K236">
        <v>2.25</v>
      </c>
      <c r="M236" s="2" t="str">
        <f>HYPERLINK("http://www.windermere.com/index.cfm?fuseaction=Listing.MapPropertyInteractive&amp;ListingID=19340919&amp;resize=true&amp;windowWidth=800&amp;windowHeight=600","Map")</f>
        <v>Map</v>
      </c>
      <c r="O236" s="2" t="str">
        <f>HYPERLINK("http://www.windermere.com/index.cfm?fuseaction=Listing.MultiImageViewer&amp;ListingID=19340919&amp;ln=28023571&amp;pub_mls=1","More")</f>
        <v>More</v>
      </c>
      <c r="AI236" t="s">
        <v>66</v>
      </c>
      <c r="AJ236">
        <v>98107</v>
      </c>
      <c r="AS236" t="s">
        <v>728</v>
      </c>
      <c r="AT236">
        <v>19340919</v>
      </c>
      <c r="AU236" s="12">
        <v>39495</v>
      </c>
      <c r="BB236" t="s">
        <v>912</v>
      </c>
      <c r="BC236" s="7">
        <v>39486</v>
      </c>
      <c r="BG236">
        <v>9</v>
      </c>
      <c r="BH236" s="17">
        <f t="shared" ca="1" si="3"/>
        <v>41</v>
      </c>
      <c r="BI236" s="17"/>
      <c r="BJ236" s="17"/>
    </row>
    <row r="237" spans="1:62" hidden="1">
      <c r="A237">
        <v>28025980</v>
      </c>
      <c r="B237" s="2" t="str">
        <f>HYPERLINK("http://www.windermere.com/index.cfm?fuseaction=Listing.ListingDetail&amp;ListingID=19357984","Active")</f>
        <v>Active</v>
      </c>
      <c r="D237" t="s">
        <v>194</v>
      </c>
      <c r="E237" s="3" t="s">
        <v>1365</v>
      </c>
      <c r="F237" s="10">
        <v>429000</v>
      </c>
      <c r="G237" t="s">
        <v>161</v>
      </c>
      <c r="H237" s="1">
        <v>2030</v>
      </c>
      <c r="I237">
        <v>5209</v>
      </c>
      <c r="J237">
        <v>3</v>
      </c>
      <c r="K237">
        <v>1.75</v>
      </c>
      <c r="M237" s="2" t="str">
        <f>HYPERLINK("http://www.windermere.com/index.cfm?fuseaction=Listing.MapPropertyInteractive&amp;ListingID=19357984&amp;resize=true&amp;windowWidth=800&amp;windowHeight=600","Map")</f>
        <v>Map</v>
      </c>
      <c r="O237" s="2" t="str">
        <f>HYPERLINK("http://www.windermere.com/index.cfm?fuseaction=viewGallery.Home&amp;customTourID=205644&amp;wvt=0","More")</f>
        <v>More</v>
      </c>
      <c r="AI237" t="s">
        <v>66</v>
      </c>
      <c r="AJ237">
        <v>98115</v>
      </c>
      <c r="AS237" t="s">
        <v>726</v>
      </c>
      <c r="AT237">
        <v>19357984</v>
      </c>
      <c r="AU237" s="12">
        <v>39495</v>
      </c>
      <c r="BB237" t="s">
        <v>912</v>
      </c>
      <c r="BC237" s="7">
        <v>39490</v>
      </c>
      <c r="BG237">
        <v>5</v>
      </c>
      <c r="BH237" s="17">
        <f t="shared" ca="1" si="3"/>
        <v>37</v>
      </c>
      <c r="BI237" s="17"/>
      <c r="BJ237" s="17"/>
    </row>
    <row r="238" spans="1:62" hidden="1">
      <c r="A238">
        <v>27186914</v>
      </c>
      <c r="B238" s="2" t="str">
        <f>HYPERLINK("http://www.windermere.com/index.cfm?fuseaction=Listing.ListingDetail&amp;ListingID=18817368","Active")</f>
        <v>Active</v>
      </c>
      <c r="D238" t="s">
        <v>63</v>
      </c>
      <c r="E238" t="s">
        <v>141</v>
      </c>
      <c r="F238" s="10">
        <v>429500</v>
      </c>
      <c r="G238" t="s">
        <v>142</v>
      </c>
      <c r="H238" s="1">
        <v>1350</v>
      </c>
      <c r="I238">
        <v>5100</v>
      </c>
      <c r="J238">
        <v>2</v>
      </c>
      <c r="K238">
        <v>1</v>
      </c>
      <c r="M238" s="2" t="str">
        <f>HYPERLINK("http://www.windermere.com/index.cfm?fuseaction=Listing.MapPropertyInteractive&amp;ListingID=18817368&amp;resize=true&amp;windowWidth=800&amp;windowHeight=600","Map")</f>
        <v>Map</v>
      </c>
      <c r="O238" s="2" t="str">
        <f>HYPERLINK("http://www.windermere.com/index.cfm?fuseaction=Listing.MultiImageViewer&amp;ListingID=18817368&amp;ln=27186914&amp;pub_mls=1","More")</f>
        <v>More</v>
      </c>
      <c r="P238" t="s">
        <v>44</v>
      </c>
      <c r="AI238" t="s">
        <v>66</v>
      </c>
      <c r="AJ238">
        <v>98117</v>
      </c>
      <c r="AS238" t="s">
        <v>289</v>
      </c>
      <c r="AT238">
        <v>18817368</v>
      </c>
      <c r="AU238" s="12">
        <v>39495</v>
      </c>
      <c r="BB238" t="s">
        <v>912</v>
      </c>
      <c r="BC238" s="7">
        <v>39371</v>
      </c>
      <c r="BG238">
        <v>124</v>
      </c>
      <c r="BH238" s="17">
        <f t="shared" ca="1" si="3"/>
        <v>156</v>
      </c>
      <c r="BI238" s="17"/>
      <c r="BJ238" s="17"/>
    </row>
    <row r="239" spans="1:62" hidden="1">
      <c r="A239">
        <v>28024113</v>
      </c>
      <c r="B239" s="2" t="str">
        <f>HYPERLINK("http://www.windermere.com/index.cfm?fuseaction=Listing.ListingDetail&amp;ListingID=19347523","Active")</f>
        <v>Active</v>
      </c>
      <c r="D239" t="s">
        <v>192</v>
      </c>
      <c r="E239" t="s">
        <v>729</v>
      </c>
      <c r="F239" s="10">
        <v>429850</v>
      </c>
      <c r="G239" t="s">
        <v>176</v>
      </c>
      <c r="H239" s="1">
        <v>1600</v>
      </c>
      <c r="I239">
        <v>6380</v>
      </c>
      <c r="J239">
        <v>3</v>
      </c>
      <c r="K239">
        <v>1</v>
      </c>
      <c r="M239" s="2" t="str">
        <f>HYPERLINK("http://www.windermere.com/index.cfm?fuseaction=Listing.MapPropertyInteractive&amp;ListingID=19347523&amp;resize=true&amp;windowWidth=800&amp;windowHeight=600","Map")</f>
        <v>Map</v>
      </c>
      <c r="O239" s="2" t="str">
        <f>HYPERLINK("http://www.windermere.com/index.cfm?fuseaction=viewGallery.Home&amp;customTourID=207160&amp;wvt=0","More")</f>
        <v>More</v>
      </c>
      <c r="P239" t="s">
        <v>44</v>
      </c>
      <c r="AI239" t="s">
        <v>66</v>
      </c>
      <c r="AJ239">
        <v>98125</v>
      </c>
      <c r="AS239" t="s">
        <v>730</v>
      </c>
      <c r="AT239">
        <v>19347523</v>
      </c>
      <c r="AU239" s="12">
        <v>39495</v>
      </c>
      <c r="BB239" t="s">
        <v>912</v>
      </c>
      <c r="BC239" s="7">
        <v>39487</v>
      </c>
      <c r="BG239">
        <v>8</v>
      </c>
      <c r="BH239" s="17">
        <f t="shared" ca="1" si="3"/>
        <v>40</v>
      </c>
      <c r="BI239" s="17"/>
      <c r="BJ239" s="17"/>
    </row>
    <row r="240" spans="1:62" hidden="1">
      <c r="A240">
        <v>28004294</v>
      </c>
      <c r="B240" s="2" t="str">
        <f>HYPERLINK("http://www.windermere.com/index.cfm?fuseaction=Listing.ListingDetail&amp;ListingID=19198666","Active")</f>
        <v>Active</v>
      </c>
      <c r="D240" t="s">
        <v>70</v>
      </c>
      <c r="E240" t="s">
        <v>732</v>
      </c>
      <c r="F240" s="10">
        <v>429950</v>
      </c>
      <c r="G240" t="s">
        <v>146</v>
      </c>
      <c r="H240" s="1">
        <v>1530</v>
      </c>
      <c r="I240">
        <v>6750</v>
      </c>
      <c r="J240">
        <v>3</v>
      </c>
      <c r="K240">
        <v>1</v>
      </c>
      <c r="M240" s="2" t="str">
        <f>HYPERLINK("http://www.windermere.com/index.cfm?fuseaction=Listing.MapPropertyInteractive&amp;ListingID=19198666&amp;resize=true&amp;windowWidth=800&amp;windowHeight=600","Map")</f>
        <v>Map</v>
      </c>
      <c r="O240" s="2" t="str">
        <f>HYPERLINK("http://www.windermere.com/index.cfm?fuseaction=viewGallery.Home&amp;customTourID=204172&amp;wvt=0","More")</f>
        <v>More</v>
      </c>
      <c r="AI240" t="s">
        <v>66</v>
      </c>
      <c r="AJ240">
        <v>98177</v>
      </c>
      <c r="AS240" t="s">
        <v>733</v>
      </c>
      <c r="AT240">
        <v>19198666</v>
      </c>
      <c r="AU240" s="12">
        <v>39495</v>
      </c>
      <c r="BB240" t="s">
        <v>912</v>
      </c>
      <c r="BC240" s="7">
        <v>39458</v>
      </c>
      <c r="BG240">
        <v>37</v>
      </c>
      <c r="BH240" s="17">
        <f t="shared" ca="1" si="3"/>
        <v>69</v>
      </c>
      <c r="BI240" s="17"/>
      <c r="BJ240" s="17"/>
    </row>
    <row r="241" spans="1:63" hidden="1">
      <c r="A241">
        <v>26060501</v>
      </c>
      <c r="B241" s="2" t="str">
        <f>HYPERLINK("http://www.windermere.com/index.cfm?fuseaction=Listing.ListingDetail&amp;ListingID=7018919","Subject To Inspection")</f>
        <v>Subject To Inspection</v>
      </c>
      <c r="D241" t="s">
        <v>188</v>
      </c>
      <c r="E241" t="s">
        <v>1128</v>
      </c>
      <c r="F241" s="10">
        <v>430000</v>
      </c>
      <c r="G241" t="s">
        <v>154</v>
      </c>
      <c r="I241">
        <v>13680</v>
      </c>
      <c r="J241">
        <v>3</v>
      </c>
      <c r="K241">
        <v>1</v>
      </c>
      <c r="M241" s="2" t="str">
        <f>HYPERLINK("http://www.windermere.com/index.cfm?fuseaction=Listing.MapPropertyInteractive&amp;ListingID=7018919&amp;resize=true&amp;windowWidth=800&amp;windowHeight=600","Map")</f>
        <v>Map</v>
      </c>
      <c r="AI241" t="s">
        <v>66</v>
      </c>
      <c r="AJ241">
        <v>98125</v>
      </c>
      <c r="AS241" t="s">
        <v>1129</v>
      </c>
      <c r="AT241">
        <v>7018919</v>
      </c>
      <c r="AU241" s="12">
        <v>39495</v>
      </c>
      <c r="BB241" t="s">
        <v>912</v>
      </c>
      <c r="BC241" s="7">
        <v>38832</v>
      </c>
      <c r="BD241">
        <v>-1</v>
      </c>
      <c r="BG241">
        <v>663</v>
      </c>
      <c r="BH241" s="17">
        <f t="shared" ca="1" si="3"/>
        <v>695</v>
      </c>
      <c r="BI241" s="17"/>
      <c r="BJ241" s="17"/>
      <c r="BK241" t="str">
        <f>B241</f>
        <v>Subject To Inspection</v>
      </c>
    </row>
    <row r="242" spans="1:63" hidden="1">
      <c r="A242">
        <v>27193790</v>
      </c>
      <c r="B242" s="2" t="str">
        <f>HYPERLINK("http://www.windermere.com/index.cfm?fuseaction=Listing.ListingDetail&amp;ListingID=18882240","Active")</f>
        <v>Active</v>
      </c>
      <c r="D242" t="s">
        <v>192</v>
      </c>
      <c r="E242" t="s">
        <v>193</v>
      </c>
      <c r="F242" s="13">
        <v>424950</v>
      </c>
      <c r="G242" t="s">
        <v>135</v>
      </c>
      <c r="H242" s="1">
        <v>1600</v>
      </c>
      <c r="I242">
        <v>5080</v>
      </c>
      <c r="J242">
        <v>3</v>
      </c>
      <c r="K242">
        <v>2</v>
      </c>
      <c r="M242" s="2" t="str">
        <f>HYPERLINK("http://www.windermere.com/index.cfm?fuseaction=Listing.MapPropertyInteractive&amp;ListingID=18882240&amp;resize=true&amp;windowWidth=800&amp;windowHeight=600","Map")</f>
        <v>Map</v>
      </c>
      <c r="O242" s="2" t="str">
        <f>HYPERLINK("http://www.windermere.com/index.cfm?fuseaction=Listing.MultiImageViewer&amp;ListingID=18882240&amp;ln=27193790&amp;pub_mls=1","More")</f>
        <v>More</v>
      </c>
      <c r="P242" t="s">
        <v>44</v>
      </c>
      <c r="AI242" t="s">
        <v>66</v>
      </c>
      <c r="AJ242">
        <v>98115</v>
      </c>
      <c r="AS242" t="s">
        <v>734</v>
      </c>
      <c r="AT242">
        <v>18882240</v>
      </c>
      <c r="AU242" s="12">
        <v>39495</v>
      </c>
      <c r="BB242" t="s">
        <v>912</v>
      </c>
      <c r="BC242" s="7">
        <v>39384</v>
      </c>
      <c r="BG242">
        <v>111</v>
      </c>
      <c r="BH242" s="17">
        <f t="shared" ca="1" si="3"/>
        <v>143</v>
      </c>
      <c r="BI242" s="17"/>
      <c r="BJ242" s="17"/>
    </row>
    <row r="243" spans="1:63" hidden="1">
      <c r="A243">
        <v>28012862</v>
      </c>
      <c r="B243" s="2" t="str">
        <f>HYPERLINK("http://www.windermere.com/index.cfm?fuseaction=Listing.ListingDetail&amp;ListingID=19280257","Active")</f>
        <v>Active</v>
      </c>
      <c r="D243" t="s">
        <v>60</v>
      </c>
      <c r="E243" t="s">
        <v>737</v>
      </c>
      <c r="F243" s="10">
        <v>430000</v>
      </c>
      <c r="G243" t="s">
        <v>154</v>
      </c>
      <c r="H243">
        <v>860</v>
      </c>
      <c r="I243">
        <v>2526</v>
      </c>
      <c r="J243">
        <v>2</v>
      </c>
      <c r="K243">
        <v>1</v>
      </c>
      <c r="M243" s="2" t="str">
        <f>HYPERLINK("http://www.windermere.com/index.cfm?fuseaction=Listing.MapPropertyInteractive&amp;ListingID=19280257&amp;resize=true&amp;windowWidth=800&amp;windowHeight=600","Map")</f>
        <v>Map</v>
      </c>
      <c r="O243" s="2" t="str">
        <f>HYPERLINK("http://www.windermere.com/index.cfm?fuseaction=Listing.MultiImageViewer&amp;ListingID=19280257&amp;ln=28012862&amp;pub_mls=1","More")</f>
        <v>More</v>
      </c>
      <c r="AI243" t="s">
        <v>66</v>
      </c>
      <c r="AJ243">
        <v>98115</v>
      </c>
      <c r="AS243" t="s">
        <v>738</v>
      </c>
      <c r="AT243">
        <v>19280257</v>
      </c>
      <c r="AU243" s="12">
        <v>39495</v>
      </c>
      <c r="BB243" t="s">
        <v>912</v>
      </c>
      <c r="BC243" s="7">
        <v>39472</v>
      </c>
      <c r="BG243">
        <v>23</v>
      </c>
      <c r="BH243" s="17">
        <f t="shared" ca="1" si="3"/>
        <v>55</v>
      </c>
      <c r="BI243" s="17"/>
      <c r="BJ243" s="17"/>
    </row>
    <row r="244" spans="1:63" hidden="1">
      <c r="A244">
        <v>28018831</v>
      </c>
      <c r="B244" s="2" t="str">
        <f>HYPERLINK("http://www.windermere.com/index.cfm?fuseaction=Listing.ListingDetail&amp;ListingID=19320055","Active")</f>
        <v>Active</v>
      </c>
      <c r="C244">
        <v>705</v>
      </c>
      <c r="D244" t="s">
        <v>55</v>
      </c>
      <c r="E244" t="s">
        <v>735</v>
      </c>
      <c r="F244" s="10">
        <v>430000</v>
      </c>
      <c r="G244" t="s">
        <v>135</v>
      </c>
      <c r="H244" s="1">
        <v>2300</v>
      </c>
      <c r="I244">
        <v>5060</v>
      </c>
      <c r="J244">
        <v>5</v>
      </c>
      <c r="K244">
        <v>1.75</v>
      </c>
      <c r="L244">
        <v>1</v>
      </c>
      <c r="M244" s="2" t="str">
        <f>HYPERLINK("http://www.windermere.com/index.cfm?fuseaction=Listing.MapPropertyInteractive&amp;ListingID=19320055&amp;resize=true&amp;windowWidth=800&amp;windowHeight=600","Map")</f>
        <v>Map</v>
      </c>
      <c r="N244" s="2" t="str">
        <f>HYPERLINK("http://locmedia.nwmls.com/DO_NOT_LINK/bigphoto/831/28018831.jpg?tsp=20080205145011","Photo")</f>
        <v>Photo</v>
      </c>
      <c r="O244" s="2" t="str">
        <f>HYPERLINK("http://www.windermere.com/index.cfm?fuseaction=Listing.MultiImageViewer&amp;ListingID=19320055&amp;ln=28018831&amp;pub_mls=1","More")</f>
        <v>More</v>
      </c>
      <c r="Q244" t="s">
        <v>93</v>
      </c>
      <c r="R244" t="s">
        <v>955</v>
      </c>
      <c r="S244" t="s">
        <v>53</v>
      </c>
      <c r="T244" t="s">
        <v>90</v>
      </c>
      <c r="U244" t="s">
        <v>44</v>
      </c>
      <c r="V244">
        <v>358</v>
      </c>
      <c r="X244" t="s">
        <v>47</v>
      </c>
      <c r="Y244" t="s">
        <v>48</v>
      </c>
      <c r="Z244" t="s">
        <v>956</v>
      </c>
      <c r="AA244" t="s">
        <v>957</v>
      </c>
      <c r="AB244">
        <v>2007</v>
      </c>
      <c r="AC244">
        <v>3420</v>
      </c>
      <c r="AD244" t="s">
        <v>958</v>
      </c>
      <c r="AE244" t="s">
        <v>206</v>
      </c>
      <c r="AF244" t="s">
        <v>959</v>
      </c>
      <c r="AG244">
        <v>47.695656999999997</v>
      </c>
      <c r="AH244">
        <v>-122.34629200000001</v>
      </c>
      <c r="AI244" t="s">
        <v>66</v>
      </c>
      <c r="AJ244">
        <v>98103</v>
      </c>
      <c r="AK244" t="s">
        <v>41</v>
      </c>
      <c r="AL244">
        <v>8</v>
      </c>
      <c r="AM244" t="s">
        <v>40</v>
      </c>
      <c r="AO244">
        <v>0.11600000000000001</v>
      </c>
      <c r="AP244" t="s">
        <v>960</v>
      </c>
      <c r="AQ244">
        <v>504</v>
      </c>
      <c r="AR244" t="s">
        <v>61</v>
      </c>
      <c r="AS244" t="s">
        <v>736</v>
      </c>
      <c r="AT244">
        <v>19320055</v>
      </c>
      <c r="AU244" s="12">
        <v>39495</v>
      </c>
      <c r="BA244" t="s">
        <v>912</v>
      </c>
      <c r="BB244" t="s">
        <v>912</v>
      </c>
      <c r="BC244" s="7">
        <v>39482</v>
      </c>
      <c r="BG244">
        <v>13</v>
      </c>
      <c r="BH244" s="17">
        <f t="shared" ca="1" si="3"/>
        <v>45</v>
      </c>
      <c r="BI244" s="17"/>
      <c r="BJ244" s="17"/>
    </row>
    <row r="245" spans="1:63" hidden="1">
      <c r="A245">
        <v>28022935</v>
      </c>
      <c r="B245" s="2" t="str">
        <f>HYPERLINK("http://www.windermere.com/index.cfm?fuseaction=Listing.ListingDetail&amp;ListingID=19336679","Subject To Inspection")</f>
        <v>Subject To Inspection</v>
      </c>
      <c r="D245" t="s">
        <v>55</v>
      </c>
      <c r="E245" t="s">
        <v>739</v>
      </c>
      <c r="F245" s="10">
        <v>434950</v>
      </c>
      <c r="G245" t="s">
        <v>288</v>
      </c>
      <c r="H245" s="1">
        <v>5461</v>
      </c>
      <c r="I245">
        <v>5445</v>
      </c>
      <c r="J245">
        <v>4</v>
      </c>
      <c r="K245">
        <v>2</v>
      </c>
      <c r="M245" s="2" t="str">
        <f>HYPERLINK("http://www.windermere.com/index.cfm?fuseaction=Listing.MapPropertyInteractive&amp;ListingID=19336679&amp;resize=true&amp;windowWidth=800&amp;windowHeight=600","Map")</f>
        <v>Map</v>
      </c>
      <c r="O245" s="2" t="str">
        <f>HYPERLINK("http://www.windermere.com/index.cfm?fuseaction=Listing.MultiImageViewer&amp;ListingID=19336679&amp;ln=28022935&amp;pub_mls=1","More")</f>
        <v>More</v>
      </c>
      <c r="AI245" t="s">
        <v>66</v>
      </c>
      <c r="AJ245">
        <v>98103</v>
      </c>
      <c r="AS245" t="s">
        <v>740</v>
      </c>
      <c r="AT245">
        <v>19336679</v>
      </c>
      <c r="AU245" s="12">
        <v>39495</v>
      </c>
      <c r="BB245" t="s">
        <v>912</v>
      </c>
      <c r="BC245" s="7">
        <v>39485</v>
      </c>
      <c r="BG245">
        <v>10</v>
      </c>
      <c r="BH245" s="17">
        <f t="shared" ca="1" si="3"/>
        <v>42</v>
      </c>
      <c r="BI245" s="17"/>
      <c r="BJ245" s="17"/>
      <c r="BK245" t="str">
        <f>B245</f>
        <v>Subject To Inspection</v>
      </c>
    </row>
    <row r="246" spans="1:63" hidden="1">
      <c r="A246">
        <v>27203347</v>
      </c>
      <c r="B246" s="2" t="str">
        <f>HYPERLINK("http://www.windermere.com/index.cfm?fuseaction=Listing.ListingDetail&amp;ListingID=18986871","Subject To Inspection")</f>
        <v>Subject To Inspection</v>
      </c>
      <c r="D246" t="s">
        <v>1130</v>
      </c>
      <c r="E246" t="s">
        <v>1131</v>
      </c>
      <c r="F246" s="10">
        <v>435000</v>
      </c>
      <c r="G246" t="s">
        <v>137</v>
      </c>
      <c r="H246" s="1">
        <v>2000</v>
      </c>
      <c r="I246">
        <v>6000</v>
      </c>
      <c r="J246">
        <v>3</v>
      </c>
      <c r="K246">
        <v>1</v>
      </c>
      <c r="M246" s="2" t="str">
        <f>HYPERLINK("http://www.windermere.com/index.cfm?fuseaction=Listing.MapPropertyInteractive&amp;ListingID=18986871&amp;resize=true&amp;windowWidth=800&amp;windowHeight=600","Map")</f>
        <v>Map</v>
      </c>
      <c r="O246" s="2" t="str">
        <f>HYPERLINK("http://www.windermere.com/index.cfm?fuseaction=Listing.MultiImageViewer&amp;ListingID=18986871&amp;ln=27203347&amp;pub_mls=1","More")</f>
        <v>More</v>
      </c>
      <c r="AI246" t="s">
        <v>66</v>
      </c>
      <c r="AJ246">
        <v>98115</v>
      </c>
      <c r="AS246" t="s">
        <v>1132</v>
      </c>
      <c r="AT246">
        <v>18986871</v>
      </c>
      <c r="AU246" s="12">
        <v>39495</v>
      </c>
      <c r="BB246" t="s">
        <v>912</v>
      </c>
      <c r="BC246" s="7">
        <v>39402</v>
      </c>
      <c r="BG246">
        <v>93</v>
      </c>
      <c r="BH246" s="17">
        <f t="shared" ca="1" si="3"/>
        <v>125</v>
      </c>
      <c r="BI246" s="17"/>
      <c r="BJ246" s="17"/>
      <c r="BK246" t="str">
        <f>B246</f>
        <v>Subject To Inspection</v>
      </c>
    </row>
    <row r="247" spans="1:63" hidden="1">
      <c r="A247">
        <v>28021527</v>
      </c>
      <c r="B247" s="2" t="str">
        <f>HYPERLINK("http://www.windermere.com/index.cfm?fuseaction=Listing.ListingDetail&amp;ListingID=19325789","Active")</f>
        <v>Active</v>
      </c>
      <c r="C247">
        <v>705</v>
      </c>
      <c r="D247" t="s">
        <v>63</v>
      </c>
      <c r="E247" t="s">
        <v>237</v>
      </c>
      <c r="F247" s="10">
        <v>435000</v>
      </c>
      <c r="G247" t="s">
        <v>164</v>
      </c>
      <c r="H247" s="1">
        <v>1640</v>
      </c>
      <c r="I247">
        <v>4700</v>
      </c>
      <c r="J247">
        <v>2</v>
      </c>
      <c r="K247">
        <v>1</v>
      </c>
      <c r="L247">
        <v>1</v>
      </c>
      <c r="M247" s="2" t="str">
        <f>HYPERLINK("http://www.windermere.com/index.cfm?fuseaction=Listing.MapPropertyInteractive&amp;ListingID=19325789&amp;resize=true&amp;windowWidth=800&amp;windowHeight=600","Map")</f>
        <v>Map</v>
      </c>
      <c r="N247" s="2" t="str">
        <f>HYPERLINK("http://locmedia.nwmls.com/DO_NOT_LINK/bigphoto/527/28021527.jpg?tsp=20080205102832","Photo")</f>
        <v>Photo</v>
      </c>
      <c r="O247" s="2" t="str">
        <f>HYPERLINK("http://www.windermere.com/index.cfm?fuseaction=Listing.MultiImageViewer&amp;ListingID=19325789&amp;ln=28021527&amp;pub_mls=1","More")</f>
        <v>More</v>
      </c>
      <c r="Q247" t="s">
        <v>56</v>
      </c>
      <c r="R247" t="s">
        <v>72</v>
      </c>
      <c r="S247" t="s">
        <v>58</v>
      </c>
      <c r="X247" t="s">
        <v>47</v>
      </c>
      <c r="Y247" t="s">
        <v>48</v>
      </c>
      <c r="Z247" t="s">
        <v>80</v>
      </c>
      <c r="AB247">
        <v>2007</v>
      </c>
      <c r="AC247">
        <v>3030</v>
      </c>
      <c r="AD247" t="s">
        <v>961</v>
      </c>
      <c r="AE247" t="s">
        <v>221</v>
      </c>
      <c r="AG247">
        <v>47.689808999999997</v>
      </c>
      <c r="AH247">
        <v>-122.367267</v>
      </c>
      <c r="AI247" t="s">
        <v>66</v>
      </c>
      <c r="AJ247">
        <v>98117</v>
      </c>
      <c r="AK247" t="s">
        <v>41</v>
      </c>
      <c r="AL247" t="s">
        <v>40</v>
      </c>
      <c r="AM247" t="s">
        <v>40</v>
      </c>
      <c r="AO247">
        <v>0.108</v>
      </c>
      <c r="AP247" t="s">
        <v>962</v>
      </c>
      <c r="AQ247">
        <v>534</v>
      </c>
      <c r="AR247" t="s">
        <v>97</v>
      </c>
      <c r="AS247" t="s">
        <v>287</v>
      </c>
      <c r="AT247">
        <v>19325789</v>
      </c>
      <c r="AU247" s="12">
        <v>39495</v>
      </c>
      <c r="BA247" t="s">
        <v>912</v>
      </c>
      <c r="BB247" t="s">
        <v>912</v>
      </c>
      <c r="BC247" s="7">
        <v>39483</v>
      </c>
      <c r="BG247">
        <v>12</v>
      </c>
      <c r="BH247" s="17">
        <f t="shared" ca="1" si="3"/>
        <v>44</v>
      </c>
      <c r="BI247" s="17"/>
      <c r="BJ247" s="17"/>
    </row>
    <row r="248" spans="1:63" hidden="1">
      <c r="A248">
        <v>27115997</v>
      </c>
      <c r="B248" s="15" t="str">
        <f>HYPERLINK("http://www.windermere.com/index.cfm?fuseaction=Listing.ListingDetail&amp;ListingID=18779507","Contingent")</f>
        <v>Contingent</v>
      </c>
      <c r="D248" t="s">
        <v>194</v>
      </c>
      <c r="E248" t="s">
        <v>741</v>
      </c>
      <c r="F248" s="10">
        <v>436000</v>
      </c>
      <c r="G248" t="s">
        <v>147</v>
      </c>
      <c r="H248" s="1">
        <v>2046</v>
      </c>
      <c r="J248">
        <v>3</v>
      </c>
      <c r="K248">
        <v>2</v>
      </c>
      <c r="M248" s="2" t="str">
        <f>HYPERLINK("http://www.windermere.com/index.cfm?fuseaction=Listing.MapPropertyInteractive&amp;ListingID=18779507&amp;resize=true&amp;windowWidth=800&amp;windowHeight=600","Map")</f>
        <v>Map</v>
      </c>
      <c r="O248" s="2" t="str">
        <f>HYPERLINK("http://www.windermere.com/index.cfm?fuseaction=Listing.MultiImageViewer&amp;ListingID=18779507&amp;ln=27115997&amp;pub_mls=1","More")</f>
        <v>More</v>
      </c>
      <c r="AI248" t="s">
        <v>66</v>
      </c>
      <c r="AJ248">
        <v>98115</v>
      </c>
      <c r="AS248" t="s">
        <v>742</v>
      </c>
      <c r="AT248">
        <v>18779507</v>
      </c>
      <c r="AU248" s="12">
        <v>39495</v>
      </c>
      <c r="BB248" t="s">
        <v>912</v>
      </c>
      <c r="BC248" s="7">
        <v>39260</v>
      </c>
      <c r="BD248">
        <v>1</v>
      </c>
      <c r="BE248" s="6" t="s">
        <v>1315</v>
      </c>
      <c r="BG248">
        <v>235</v>
      </c>
      <c r="BH248" s="17">
        <f t="shared" ca="1" si="3"/>
        <v>267</v>
      </c>
      <c r="BI248" s="17"/>
      <c r="BJ248" s="17"/>
      <c r="BK248" t="str">
        <f>B248</f>
        <v>Contingent</v>
      </c>
    </row>
    <row r="249" spans="1:63" hidden="1">
      <c r="A249">
        <v>27165900</v>
      </c>
      <c r="B249" s="2" t="str">
        <f>HYPERLINK("http://www.windermere.com/index.cfm?fuseaction=Listing.ListingDetail&amp;ListingID=19342196","Subject To Inspection")</f>
        <v>Subject To Inspection</v>
      </c>
      <c r="D249" t="s">
        <v>194</v>
      </c>
      <c r="E249" t="s">
        <v>196</v>
      </c>
      <c r="F249" s="10">
        <v>439000</v>
      </c>
      <c r="G249" t="s">
        <v>132</v>
      </c>
      <c r="H249" s="1">
        <v>1435</v>
      </c>
      <c r="I249">
        <v>12506</v>
      </c>
      <c r="J249">
        <v>3</v>
      </c>
      <c r="K249">
        <v>1.75</v>
      </c>
      <c r="M249" s="2" t="str">
        <f>HYPERLINK("http://www.windermere.com/index.cfm?fuseaction=Listing.MapPropertyInteractive&amp;ListingID=19342196&amp;resize=true&amp;windowWidth=800&amp;windowHeight=600","Map")</f>
        <v>Map</v>
      </c>
      <c r="O249" s="2" t="str">
        <f>HYPERLINK("http://www.windermere.com/index.cfm?fuseaction=Listing.MultiImageViewer&amp;ListingID=19342196&amp;ln=27165900&amp;pub_mls=1","More")</f>
        <v>More</v>
      </c>
      <c r="P249" t="s">
        <v>44</v>
      </c>
      <c r="AI249" t="s">
        <v>66</v>
      </c>
      <c r="AJ249">
        <v>98115</v>
      </c>
      <c r="AS249" t="s">
        <v>1133</v>
      </c>
      <c r="AT249">
        <v>19342196</v>
      </c>
      <c r="AU249" s="12">
        <v>39495</v>
      </c>
      <c r="BB249" t="s">
        <v>912</v>
      </c>
      <c r="BC249" s="7">
        <v>39335</v>
      </c>
      <c r="BD249">
        <v>1</v>
      </c>
      <c r="BE249" s="6" t="s">
        <v>1332</v>
      </c>
      <c r="BG249">
        <v>160</v>
      </c>
      <c r="BH249" s="17">
        <f t="shared" ca="1" si="3"/>
        <v>192</v>
      </c>
      <c r="BI249" s="17"/>
      <c r="BJ249" s="17"/>
      <c r="BK249" t="str">
        <f>B249</f>
        <v>Subject To Inspection</v>
      </c>
    </row>
    <row r="250" spans="1:63" hidden="1">
      <c r="A250">
        <v>27205426</v>
      </c>
      <c r="B250" s="2" t="str">
        <f>HYPERLINK("http://www.windermere.com/index.cfm?fuseaction=Listing.ListingDetail&amp;ListingID=19016079","Subject To Inspection")</f>
        <v>Subject To Inspection</v>
      </c>
      <c r="D250" t="s">
        <v>42</v>
      </c>
      <c r="E250" t="s">
        <v>743</v>
      </c>
      <c r="F250" s="10">
        <v>439000</v>
      </c>
      <c r="G250" t="s">
        <v>156</v>
      </c>
      <c r="H250" s="1">
        <v>1510</v>
      </c>
      <c r="I250">
        <v>9000</v>
      </c>
      <c r="J250">
        <v>3</v>
      </c>
      <c r="K250">
        <v>1.5</v>
      </c>
      <c r="M250" s="2" t="str">
        <f>HYPERLINK("http://www.windermere.com/index.cfm?fuseaction=Listing.MapPropertyInteractive&amp;ListingID=19016079&amp;resize=true&amp;windowWidth=800&amp;windowHeight=600","Map")</f>
        <v>Map</v>
      </c>
      <c r="O250" s="2" t="str">
        <f>HYPERLINK("http://www.windermere.com/index.cfm?fuseaction=Listing.MultiImageViewer&amp;ListingID=19016079&amp;ln=27205426&amp;pub_mls=1","More")</f>
        <v>More</v>
      </c>
      <c r="AI250" t="s">
        <v>66</v>
      </c>
      <c r="AJ250">
        <v>98133</v>
      </c>
      <c r="AS250" t="s">
        <v>744</v>
      </c>
      <c r="AT250">
        <v>19016079</v>
      </c>
      <c r="AU250" s="12">
        <v>39495</v>
      </c>
      <c r="BB250" t="s">
        <v>912</v>
      </c>
      <c r="BC250" s="7">
        <v>39413</v>
      </c>
      <c r="BG250">
        <v>82</v>
      </c>
      <c r="BH250" s="17">
        <f t="shared" ca="1" si="3"/>
        <v>114</v>
      </c>
      <c r="BI250" s="17"/>
      <c r="BJ250" s="17"/>
      <c r="BK250" t="str">
        <f>B250</f>
        <v>Subject To Inspection</v>
      </c>
    </row>
    <row r="251" spans="1:63" hidden="1">
      <c r="A251">
        <v>28003907</v>
      </c>
      <c r="B251" s="2" t="str">
        <f>HYPERLINK("http://www.windermere.com/index.cfm?fuseaction=Listing.ListingDetail&amp;ListingID=19190530","Active")</f>
        <v>Active</v>
      </c>
      <c r="D251" t="s">
        <v>192</v>
      </c>
      <c r="E251" t="s">
        <v>747</v>
      </c>
      <c r="F251" s="10">
        <v>439500</v>
      </c>
      <c r="G251" t="s">
        <v>748</v>
      </c>
      <c r="H251" s="1">
        <v>1560</v>
      </c>
      <c r="I251">
        <v>5220</v>
      </c>
      <c r="J251">
        <v>3</v>
      </c>
      <c r="K251">
        <v>1.75</v>
      </c>
      <c r="M251" s="2" t="str">
        <f>HYPERLINK("http://www.windermere.com/index.cfm?fuseaction=Listing.MapPropertyInteractive&amp;ListingID=19190530&amp;resize=true&amp;windowWidth=800&amp;windowHeight=600","Map")</f>
        <v>Map</v>
      </c>
      <c r="O251" s="2" t="str">
        <f>HYPERLINK("http://www.windermere.com/index.cfm?fuseaction=Listing.MultiImageViewer&amp;ListingID=19190530&amp;ln=28003907&amp;pub_mls=1","More")</f>
        <v>More</v>
      </c>
      <c r="P251" t="s">
        <v>44</v>
      </c>
      <c r="AI251" t="s">
        <v>66</v>
      </c>
      <c r="AJ251">
        <v>98125</v>
      </c>
      <c r="AS251" t="s">
        <v>749</v>
      </c>
      <c r="AT251">
        <v>19190530</v>
      </c>
      <c r="AU251" s="12">
        <v>39495</v>
      </c>
      <c r="BB251" t="s">
        <v>912</v>
      </c>
      <c r="BC251" s="7">
        <v>39457</v>
      </c>
      <c r="BG251">
        <v>38</v>
      </c>
      <c r="BH251" s="17">
        <f t="shared" ca="1" si="3"/>
        <v>70</v>
      </c>
      <c r="BI251" s="17"/>
      <c r="BJ251" s="17"/>
    </row>
    <row r="252" spans="1:63" hidden="1">
      <c r="A252">
        <v>28025572</v>
      </c>
      <c r="B252" s="2" t="str">
        <f>HYPERLINK("http://www.windermere.com/index.cfm?fuseaction=Listing.ListingDetail&amp;ListingID=19373774","Active")</f>
        <v>Active</v>
      </c>
      <c r="D252" t="s">
        <v>63</v>
      </c>
      <c r="E252" t="s">
        <v>745</v>
      </c>
      <c r="F252" s="10">
        <v>439500</v>
      </c>
      <c r="G252" t="s">
        <v>248</v>
      </c>
      <c r="H252" s="1">
        <v>1330</v>
      </c>
      <c r="J252">
        <v>3</v>
      </c>
      <c r="K252">
        <v>2.25</v>
      </c>
      <c r="M252" s="2" t="str">
        <f>HYPERLINK("http://www.windermere.com/index.cfm?fuseaction=Listing.MapPropertyInteractive&amp;ListingID=19373774&amp;resize=true&amp;windowWidth=800&amp;windowHeight=600","Map")</f>
        <v>Map</v>
      </c>
      <c r="O252" s="2" t="str">
        <f>HYPERLINK("http://www.windermere.com/index.cfm?fuseaction=Listing.MultiImageViewer&amp;ListingID=19373774&amp;ln=28025572&amp;pub_mls=1","More")</f>
        <v>More</v>
      </c>
      <c r="P252" t="s">
        <v>44</v>
      </c>
      <c r="AI252" t="s">
        <v>66</v>
      </c>
      <c r="AJ252">
        <v>98107</v>
      </c>
      <c r="AS252" t="s">
        <v>746</v>
      </c>
      <c r="AT252">
        <v>19373774</v>
      </c>
      <c r="AU252" s="12">
        <v>39495</v>
      </c>
      <c r="BB252" t="s">
        <v>912</v>
      </c>
      <c r="BC252" s="7">
        <v>39493</v>
      </c>
      <c r="BG252">
        <v>2</v>
      </c>
      <c r="BH252" s="17">
        <f t="shared" ca="1" si="3"/>
        <v>34</v>
      </c>
      <c r="BI252" s="17"/>
      <c r="BJ252" s="17"/>
    </row>
    <row r="253" spans="1:63" hidden="1">
      <c r="A253">
        <v>28013118</v>
      </c>
      <c r="B253" s="2" t="str">
        <f>HYPERLINK("http://www.windermere.com/index.cfm?fuseaction=Listing.ListingDetail&amp;ListingID=19258580","Subject To Inspection")</f>
        <v>Subject To Inspection</v>
      </c>
      <c r="D253" t="s">
        <v>55</v>
      </c>
      <c r="E253" t="s">
        <v>167</v>
      </c>
      <c r="F253" s="10">
        <v>439900</v>
      </c>
      <c r="G253" t="s">
        <v>159</v>
      </c>
      <c r="H253" s="1">
        <v>1740</v>
      </c>
      <c r="I253">
        <v>4800</v>
      </c>
      <c r="J253">
        <v>4</v>
      </c>
      <c r="K253">
        <v>2</v>
      </c>
      <c r="M253" s="2" t="str">
        <f>HYPERLINK("http://www.windermere.com/index.cfm?fuseaction=Listing.MapPropertyInteractive&amp;ListingID=19258580&amp;resize=true&amp;windowWidth=800&amp;windowHeight=600","Map")</f>
        <v>Map</v>
      </c>
      <c r="O253" s="2" t="str">
        <f>HYPERLINK("http://www.windermere.com/index.cfm?fuseaction=Listing.MultiImageViewer&amp;ListingID=19258580&amp;ln=28013118&amp;pub_mls=1","More")</f>
        <v>More</v>
      </c>
      <c r="P253" t="s">
        <v>44</v>
      </c>
      <c r="AI253" t="s">
        <v>66</v>
      </c>
      <c r="AJ253">
        <v>98117</v>
      </c>
      <c r="AS253" t="s">
        <v>286</v>
      </c>
      <c r="AT253">
        <v>19258580</v>
      </c>
      <c r="AU253" s="12">
        <v>39495</v>
      </c>
      <c r="BB253" t="s">
        <v>912</v>
      </c>
      <c r="BC253" s="7">
        <v>39468</v>
      </c>
      <c r="BG253">
        <v>27</v>
      </c>
      <c r="BH253" s="17">
        <f t="shared" ca="1" si="3"/>
        <v>59</v>
      </c>
      <c r="BI253" s="17"/>
      <c r="BJ253" s="17"/>
      <c r="BK253" t="str">
        <f>B253</f>
        <v>Subject To Inspection</v>
      </c>
    </row>
    <row r="254" spans="1:63" hidden="1">
      <c r="A254">
        <v>27198496</v>
      </c>
      <c r="B254" s="2" t="str">
        <f>HYPERLINK("http://www.windermere.com/index.cfm?fuseaction=Listing.ListingDetail&amp;ListingID=18928855","Active")</f>
        <v>Active</v>
      </c>
      <c r="D254" t="s">
        <v>60</v>
      </c>
      <c r="E254" t="s">
        <v>752</v>
      </c>
      <c r="F254" s="10">
        <v>439950</v>
      </c>
      <c r="G254" t="s">
        <v>126</v>
      </c>
      <c r="H254" s="1">
        <v>1660</v>
      </c>
      <c r="I254">
        <v>3000</v>
      </c>
      <c r="J254">
        <v>3</v>
      </c>
      <c r="K254">
        <v>1.75</v>
      </c>
      <c r="M254" s="2" t="str">
        <f>HYPERLINK("http://www.windermere.com/index.cfm?fuseaction=Listing.MapPropertyInteractive&amp;ListingID=18928855&amp;resize=true&amp;windowWidth=800&amp;windowHeight=600","Map")</f>
        <v>Map</v>
      </c>
      <c r="AI254" t="s">
        <v>66</v>
      </c>
      <c r="AJ254">
        <v>98103</v>
      </c>
      <c r="AS254" t="s">
        <v>753</v>
      </c>
      <c r="AT254">
        <v>18928855</v>
      </c>
      <c r="AU254" s="12">
        <v>39495</v>
      </c>
      <c r="BB254" t="s">
        <v>912</v>
      </c>
      <c r="BC254" s="7">
        <v>39393</v>
      </c>
      <c r="BG254">
        <v>102</v>
      </c>
      <c r="BH254" s="17">
        <f t="shared" ca="1" si="3"/>
        <v>134</v>
      </c>
      <c r="BI254" s="17"/>
      <c r="BJ254" s="17"/>
    </row>
    <row r="255" spans="1:63" hidden="1">
      <c r="A255">
        <v>27205781</v>
      </c>
      <c r="B255" s="2" t="str">
        <f>HYPERLINK("http://www.windermere.com/index.cfm?fuseaction=Listing.ListingDetail&amp;ListingID=19013768","Active")</f>
        <v>Active</v>
      </c>
      <c r="D255" t="s">
        <v>968</v>
      </c>
      <c r="E255" t="s">
        <v>1136</v>
      </c>
      <c r="F255" s="10">
        <v>439950</v>
      </c>
      <c r="G255" t="s">
        <v>1137</v>
      </c>
      <c r="H255" s="1">
        <v>2600</v>
      </c>
      <c r="I255">
        <v>6760</v>
      </c>
      <c r="J255">
        <v>4</v>
      </c>
      <c r="K255">
        <v>2</v>
      </c>
      <c r="M255" s="2" t="str">
        <f>HYPERLINK("http://www.windermere.com/index.cfm?fuseaction=Listing.MapPropertyInteractive&amp;ListingID=19013768&amp;resize=true&amp;windowWidth=800&amp;windowHeight=600","Map")</f>
        <v>Map</v>
      </c>
      <c r="O255" s="2" t="str">
        <f>HYPERLINK("http://www.windermere.com/index.cfm?fuseaction=Listing.MultiImageViewer&amp;ListingID=19013768&amp;ln=27205781&amp;pub_mls=1","More")</f>
        <v>More</v>
      </c>
      <c r="P255" t="s">
        <v>44</v>
      </c>
      <c r="AI255" t="s">
        <v>66</v>
      </c>
      <c r="AJ255">
        <v>98125</v>
      </c>
      <c r="AS255" t="s">
        <v>1138</v>
      </c>
      <c r="AT255">
        <v>19013768</v>
      </c>
      <c r="AU255" s="12">
        <v>39495</v>
      </c>
      <c r="BB255" t="s">
        <v>912</v>
      </c>
      <c r="BC255" s="7">
        <v>39412</v>
      </c>
      <c r="BG255">
        <v>83</v>
      </c>
      <c r="BH255" s="17">
        <f t="shared" ca="1" si="3"/>
        <v>115</v>
      </c>
      <c r="BI255" s="17"/>
      <c r="BJ255" s="17"/>
    </row>
    <row r="256" spans="1:63" hidden="1">
      <c r="A256">
        <v>28000527</v>
      </c>
      <c r="B256" s="2" t="str">
        <f>HYPERLINK("http://www.windermere.com/index.cfm?fuseaction=Listing.ListingDetail&amp;ListingID=19146140","Active")</f>
        <v>Active</v>
      </c>
      <c r="D256" t="s">
        <v>63</v>
      </c>
      <c r="E256" t="s">
        <v>750</v>
      </c>
      <c r="F256" s="10">
        <v>439950</v>
      </c>
      <c r="G256" t="s">
        <v>674</v>
      </c>
      <c r="H256" s="1">
        <v>1750</v>
      </c>
      <c r="J256">
        <v>3</v>
      </c>
      <c r="K256">
        <v>2.5</v>
      </c>
      <c r="M256" s="2" t="str">
        <f>HYPERLINK("http://www.windermere.com/index.cfm?fuseaction=Listing.MapPropertyInteractive&amp;ListingID=19146140&amp;resize=true&amp;windowWidth=800&amp;windowHeight=600","Map")</f>
        <v>Map</v>
      </c>
      <c r="O256" s="2" t="str">
        <f>HYPERLINK("http://www.windermere.com/index.cfm?fuseaction=Listing.MultiImageViewer&amp;ListingID=19146140&amp;ln=28000527&amp;pub_mls=1","More")</f>
        <v>More</v>
      </c>
      <c r="AI256" t="s">
        <v>66</v>
      </c>
      <c r="AJ256">
        <v>98107</v>
      </c>
      <c r="AS256" t="s">
        <v>751</v>
      </c>
      <c r="AT256">
        <v>19146140</v>
      </c>
      <c r="AU256" s="12">
        <v>39495</v>
      </c>
      <c r="BB256" t="s">
        <v>912</v>
      </c>
      <c r="BC256" s="7">
        <v>39449</v>
      </c>
      <c r="BG256">
        <v>46</v>
      </c>
      <c r="BH256" s="17">
        <f t="shared" ca="1" si="3"/>
        <v>78</v>
      </c>
      <c r="BI256" s="17"/>
      <c r="BJ256" s="17"/>
    </row>
    <row r="257" spans="1:63" hidden="1">
      <c r="A257">
        <v>28026167</v>
      </c>
      <c r="B257" s="2" t="str">
        <f>HYPERLINK("http://www.windermere.com/index.cfm?fuseaction=Listing.ListingDetail&amp;ListingID=19359305","Active")</f>
        <v>Active</v>
      </c>
      <c r="D257" t="s">
        <v>194</v>
      </c>
      <c r="E257" t="s">
        <v>1134</v>
      </c>
      <c r="F257" s="10">
        <v>439950</v>
      </c>
      <c r="G257" t="s">
        <v>161</v>
      </c>
      <c r="H257">
        <v>990</v>
      </c>
      <c r="I257">
        <v>6393</v>
      </c>
      <c r="J257">
        <v>2</v>
      </c>
      <c r="K257">
        <v>1</v>
      </c>
      <c r="M257" s="2" t="str">
        <f>HYPERLINK("http://www.windermere.com/index.cfm?fuseaction=Listing.MapPropertyInteractive&amp;ListingID=19359305&amp;resize=true&amp;windowWidth=800&amp;windowHeight=600","Map")</f>
        <v>Map</v>
      </c>
      <c r="O257" s="2" t="str">
        <f>HYPERLINK("http://www.windermere.com/index.cfm?fuseaction=Listing.MultiImageViewer&amp;ListingID=19359305&amp;ln=28026167&amp;pub_mls=1","More")</f>
        <v>More</v>
      </c>
      <c r="P257" t="s">
        <v>44</v>
      </c>
      <c r="AI257" t="s">
        <v>66</v>
      </c>
      <c r="AJ257">
        <v>98115</v>
      </c>
      <c r="AS257" t="s">
        <v>1135</v>
      </c>
      <c r="AT257">
        <v>19359305</v>
      </c>
      <c r="AU257" s="12">
        <v>39495</v>
      </c>
      <c r="BB257" t="s">
        <v>912</v>
      </c>
      <c r="BC257" s="7">
        <v>39490</v>
      </c>
      <c r="BG257">
        <v>5</v>
      </c>
      <c r="BH257" s="17">
        <f t="shared" ca="1" si="3"/>
        <v>37</v>
      </c>
      <c r="BI257" s="17"/>
      <c r="BJ257" s="17"/>
    </row>
    <row r="258" spans="1:63" hidden="1">
      <c r="A258">
        <v>28012364</v>
      </c>
      <c r="B258" s="2" t="str">
        <f>HYPERLINK("http://www.windermere.com/index.cfm?fuseaction=Listing.ListingDetail&amp;ListingID=19253521","Active")</f>
        <v>Active</v>
      </c>
      <c r="D258" t="s">
        <v>63</v>
      </c>
      <c r="E258" t="s">
        <v>1139</v>
      </c>
      <c r="F258" s="10">
        <v>440000</v>
      </c>
      <c r="G258" t="s">
        <v>227</v>
      </c>
      <c r="I258">
        <v>3496</v>
      </c>
      <c r="J258">
        <v>2</v>
      </c>
      <c r="K258">
        <v>1</v>
      </c>
      <c r="M258" s="2" t="str">
        <f>HYPERLINK("http://www.windermere.com/index.cfm?fuseaction=Listing.MapPropertyInteractive&amp;ListingID=19253521&amp;resize=true&amp;windowWidth=800&amp;windowHeight=600","Map")</f>
        <v>Map</v>
      </c>
      <c r="O258" s="2" t="str">
        <f>HYPERLINK("http://www.windermere.com/index.cfm?fuseaction=Listing.MultiImageViewer&amp;ListingID=19253521&amp;ln=28012364&amp;pub_mls=1","More")</f>
        <v>More</v>
      </c>
      <c r="P258" t="s">
        <v>44</v>
      </c>
      <c r="AI258" t="s">
        <v>66</v>
      </c>
      <c r="AJ258">
        <v>98117</v>
      </c>
      <c r="AS258" t="s">
        <v>1140</v>
      </c>
      <c r="AT258">
        <v>19253521</v>
      </c>
      <c r="AU258" s="12">
        <v>39495</v>
      </c>
      <c r="BB258" t="s">
        <v>912</v>
      </c>
      <c r="BC258" s="7">
        <v>39467</v>
      </c>
      <c r="BG258">
        <v>28</v>
      </c>
      <c r="BH258" s="17">
        <f t="shared" ca="1" si="3"/>
        <v>60</v>
      </c>
      <c r="BI258" s="17"/>
      <c r="BJ258" s="17"/>
    </row>
    <row r="259" spans="1:63" hidden="1">
      <c r="A259">
        <v>28005823</v>
      </c>
      <c r="B259" s="2" t="str">
        <f>HYPERLINK("http://www.windermere.com/index.cfm?fuseaction=Listing.ListingDetail&amp;ListingID=19228455","Active")</f>
        <v>Active</v>
      </c>
      <c r="D259" t="s">
        <v>60</v>
      </c>
      <c r="E259" t="s">
        <v>754</v>
      </c>
      <c r="F259" s="13">
        <v>435000</v>
      </c>
      <c r="G259" t="s">
        <v>170</v>
      </c>
      <c r="H259" s="1">
        <v>1090</v>
      </c>
      <c r="J259">
        <v>2</v>
      </c>
      <c r="K259">
        <v>1</v>
      </c>
      <c r="M259" s="2" t="str">
        <f>HYPERLINK("http://www.windermere.com/index.cfm?fuseaction=Listing.MapPropertyInteractive&amp;ListingID=19228455&amp;resize=true&amp;windowWidth=800&amp;windowHeight=600","Map")</f>
        <v>Map</v>
      </c>
      <c r="O259" s="2" t="str">
        <f>HYPERLINK("http://www.windermere.com/index.cfm?fuseaction=Listing.MultiImageViewer&amp;ListingID=19228455&amp;ln=28005823&amp;pub_mls=1","More")</f>
        <v>More</v>
      </c>
      <c r="P259" t="s">
        <v>44</v>
      </c>
      <c r="AI259" t="s">
        <v>66</v>
      </c>
      <c r="AJ259">
        <v>98115</v>
      </c>
      <c r="AS259" t="s">
        <v>755</v>
      </c>
      <c r="AT259">
        <v>19228455</v>
      </c>
      <c r="AU259" s="12">
        <v>39495</v>
      </c>
      <c r="BB259" t="s">
        <v>912</v>
      </c>
      <c r="BC259" s="7">
        <v>39463</v>
      </c>
      <c r="BD259">
        <v>3</v>
      </c>
      <c r="BE259" t="s">
        <v>1442</v>
      </c>
      <c r="BF259" t="s">
        <v>1345</v>
      </c>
      <c r="BG259">
        <v>32</v>
      </c>
      <c r="BH259" s="17">
        <f t="shared" ref="BH259:BH322" ca="1" si="4">TODAY()-BC259</f>
        <v>64</v>
      </c>
      <c r="BI259" s="17"/>
      <c r="BJ259" s="17"/>
    </row>
    <row r="260" spans="1:63" hidden="1">
      <c r="A260">
        <v>28028056</v>
      </c>
      <c r="B260" s="2" t="str">
        <f>HYPERLINK("http://www.windermere.com/index.cfm?fuseaction=Listing.ListingDetail&amp;ListingID=19377706","Active")</f>
        <v>Active</v>
      </c>
      <c r="D260" t="s">
        <v>60</v>
      </c>
      <c r="E260" t="s">
        <v>756</v>
      </c>
      <c r="F260" s="10">
        <v>444500</v>
      </c>
      <c r="G260" t="s">
        <v>663</v>
      </c>
      <c r="H260" s="1">
        <v>1420</v>
      </c>
      <c r="I260">
        <v>3375</v>
      </c>
      <c r="J260">
        <v>3</v>
      </c>
      <c r="K260">
        <v>2</v>
      </c>
      <c r="M260" s="2" t="str">
        <f>HYPERLINK("http://www.windermere.com/index.cfm?fuseaction=Listing.MapPropertyInteractive&amp;ListingID=19377706&amp;resize=true&amp;windowWidth=800&amp;windowHeight=600","Map")</f>
        <v>Map</v>
      </c>
      <c r="O260" s="2" t="str">
        <f>HYPERLINK("http://www.windermere.com/index.cfm?fuseaction=Listing.MultiImageViewer&amp;ListingID=19377706&amp;ln=28028056&amp;pub_mls=1","More")</f>
        <v>More</v>
      </c>
      <c r="P260" t="s">
        <v>44</v>
      </c>
      <c r="AI260" t="s">
        <v>66</v>
      </c>
      <c r="AJ260">
        <v>98103</v>
      </c>
      <c r="AS260" t="s">
        <v>757</v>
      </c>
      <c r="AT260">
        <v>19377706</v>
      </c>
      <c r="AU260" s="12">
        <v>39495</v>
      </c>
      <c r="BB260" t="s">
        <v>912</v>
      </c>
      <c r="BC260" s="7">
        <v>39493</v>
      </c>
      <c r="BG260">
        <v>2</v>
      </c>
      <c r="BH260" s="17">
        <f t="shared" ca="1" si="4"/>
        <v>34</v>
      </c>
      <c r="BI260" s="17"/>
      <c r="BJ260" s="17"/>
    </row>
    <row r="261" spans="1:63" hidden="1">
      <c r="A261">
        <v>27180210</v>
      </c>
      <c r="B261" s="2" t="str">
        <f>HYPERLINK("http://www.windermere.com/index.cfm?fuseaction=Listing.ListingDetail&amp;ListingID=18768523","Active")</f>
        <v>Active</v>
      </c>
      <c r="D261" t="s">
        <v>204</v>
      </c>
      <c r="E261" t="s">
        <v>205</v>
      </c>
      <c r="F261" s="10">
        <v>448000</v>
      </c>
      <c r="G261" t="s">
        <v>124</v>
      </c>
      <c r="H261" s="1">
        <v>2500</v>
      </c>
      <c r="I261">
        <v>7749</v>
      </c>
      <c r="J261">
        <v>4</v>
      </c>
      <c r="K261">
        <v>2</v>
      </c>
      <c r="M261" s="2" t="str">
        <f>HYPERLINK("http://www.windermere.com/index.cfm?fuseaction=Listing.MapPropertyInteractive&amp;ListingID=18768523&amp;resize=true&amp;windowWidth=800&amp;windowHeight=600","Map")</f>
        <v>Map</v>
      </c>
      <c r="O261" s="2" t="str">
        <f>HYPERLINK("http://www.windermere.com/index.cfm?fuseaction=Listing.MultiImageViewer&amp;ListingID=18768523&amp;ln=27180210&amp;pub_mls=1","More")</f>
        <v>More</v>
      </c>
      <c r="P261" t="s">
        <v>44</v>
      </c>
      <c r="AI261" t="s">
        <v>66</v>
      </c>
      <c r="AJ261">
        <v>98125</v>
      </c>
      <c r="AS261" t="s">
        <v>758</v>
      </c>
      <c r="AT261">
        <v>18768523</v>
      </c>
      <c r="AU261" s="12">
        <v>39495</v>
      </c>
      <c r="BB261" t="s">
        <v>912</v>
      </c>
      <c r="BC261" s="7">
        <v>39360</v>
      </c>
      <c r="BG261">
        <v>135</v>
      </c>
      <c r="BH261" s="17">
        <f t="shared" ca="1" si="4"/>
        <v>167</v>
      </c>
      <c r="BI261" s="17"/>
      <c r="BJ261" s="17"/>
    </row>
    <row r="262" spans="1:63" hidden="1">
      <c r="A262">
        <v>28017471</v>
      </c>
      <c r="B262" s="2" t="str">
        <f>HYPERLINK("http://www.windermere.com/index.cfm?fuseaction=Listing.ListingDetail&amp;ListingID=19322432","Active")</f>
        <v>Active</v>
      </c>
      <c r="D262" t="s">
        <v>63</v>
      </c>
      <c r="E262" t="s">
        <v>761</v>
      </c>
      <c r="F262" s="13">
        <v>439000</v>
      </c>
      <c r="G262" t="s">
        <v>147</v>
      </c>
      <c r="H262" s="1">
        <v>1459</v>
      </c>
      <c r="J262">
        <v>2</v>
      </c>
      <c r="K262">
        <v>1.5</v>
      </c>
      <c r="M262" s="2" t="str">
        <f>HYPERLINK("http://www.windermere.com/index.cfm?fuseaction=Listing.MapPropertyInteractive&amp;ListingID=19322432&amp;resize=true&amp;windowWidth=800&amp;windowHeight=600","Map")</f>
        <v>Map</v>
      </c>
      <c r="O262" s="2" t="str">
        <f>HYPERLINK("http://www.windermere.com/index.cfm?fuseaction=Listing.MultiImageViewer&amp;ListingID=19322432&amp;ln=28017471&amp;pub_mls=1","More")</f>
        <v>More</v>
      </c>
      <c r="AI262" t="s">
        <v>66</v>
      </c>
      <c r="AJ262">
        <v>98107</v>
      </c>
      <c r="AS262" t="s">
        <v>762</v>
      </c>
      <c r="AT262">
        <v>19322432</v>
      </c>
      <c r="AU262" s="12">
        <v>39495</v>
      </c>
      <c r="BB262" t="s">
        <v>912</v>
      </c>
      <c r="BC262" s="7">
        <v>39482</v>
      </c>
      <c r="BD262">
        <v>2</v>
      </c>
      <c r="BE262" t="s">
        <v>1378</v>
      </c>
      <c r="BG262">
        <v>13</v>
      </c>
      <c r="BH262" s="17">
        <f t="shared" ca="1" si="4"/>
        <v>45</v>
      </c>
      <c r="BI262" s="17"/>
      <c r="BJ262" s="17"/>
    </row>
    <row r="263" spans="1:63" hidden="1">
      <c r="A263">
        <v>28017956</v>
      </c>
      <c r="B263" s="2" t="str">
        <f>HYPERLINK("http://www.windermere.com/index.cfm?fuseaction=Listing.ListingDetail&amp;ListingID=19327829","Subject To Inspection")</f>
        <v>Subject To Inspection</v>
      </c>
      <c r="C263">
        <v>705</v>
      </c>
      <c r="D263" t="s">
        <v>42</v>
      </c>
      <c r="E263" t="s">
        <v>759</v>
      </c>
      <c r="F263" s="10">
        <v>449000</v>
      </c>
      <c r="G263" t="s">
        <v>144</v>
      </c>
      <c r="H263" s="1">
        <v>1870</v>
      </c>
      <c r="I263">
        <v>8840</v>
      </c>
      <c r="J263">
        <v>7</v>
      </c>
      <c r="K263">
        <v>1.75</v>
      </c>
      <c r="L263">
        <v>1</v>
      </c>
      <c r="M263" s="2" t="str">
        <f>HYPERLINK("http://www.windermere.com/index.cfm?fuseaction=Listing.MapPropertyInteractive&amp;ListingID=19327829&amp;resize=true&amp;windowWidth=800&amp;windowHeight=600","Map")</f>
        <v>Map</v>
      </c>
      <c r="N263" s="2" t="str">
        <f>HYPERLINK("http://locmedia.nwmls.com/DO_NOT_LINK/bigphoto/956/28017956.jpg?tsp=20080206133228","Photo")</f>
        <v>Photo</v>
      </c>
      <c r="O263" s="2" t="str">
        <f>HYPERLINK("http://www.windermere.com/index.cfm?fuseaction=Listing.MultiImageViewer&amp;ListingID=19327829&amp;ln=28017956&amp;pub_mls=1","More")</f>
        <v>More</v>
      </c>
      <c r="P263" t="s">
        <v>44</v>
      </c>
      <c r="Q263" t="s">
        <v>56</v>
      </c>
      <c r="R263" t="s">
        <v>1003</v>
      </c>
      <c r="S263" t="s">
        <v>1004</v>
      </c>
      <c r="T263" t="s">
        <v>95</v>
      </c>
      <c r="U263" t="s">
        <v>44</v>
      </c>
      <c r="X263" t="s">
        <v>47</v>
      </c>
      <c r="Y263" t="s">
        <v>48</v>
      </c>
      <c r="Z263" t="s">
        <v>83</v>
      </c>
      <c r="AB263">
        <v>2006</v>
      </c>
      <c r="AC263">
        <v>3271</v>
      </c>
      <c r="AD263" t="s">
        <v>1005</v>
      </c>
      <c r="AE263" t="s">
        <v>74</v>
      </c>
      <c r="AF263" t="s">
        <v>1006</v>
      </c>
      <c r="AG263">
        <v>47.722012999999997</v>
      </c>
      <c r="AH263">
        <v>-122.33445</v>
      </c>
      <c r="AI263" t="s">
        <v>66</v>
      </c>
      <c r="AJ263">
        <v>98133</v>
      </c>
      <c r="AK263" t="s">
        <v>41</v>
      </c>
      <c r="AL263" t="s">
        <v>40</v>
      </c>
      <c r="AM263" t="s">
        <v>40</v>
      </c>
      <c r="AO263">
        <v>0.20300000000000001</v>
      </c>
      <c r="AP263" t="s">
        <v>1007</v>
      </c>
      <c r="AQ263">
        <v>505</v>
      </c>
      <c r="AR263" t="s">
        <v>43</v>
      </c>
      <c r="AS263" t="s">
        <v>760</v>
      </c>
      <c r="AT263">
        <v>19327829</v>
      </c>
      <c r="AU263" s="12">
        <v>39495</v>
      </c>
      <c r="BA263" t="s">
        <v>912</v>
      </c>
      <c r="BB263" t="s">
        <v>912</v>
      </c>
      <c r="BC263" s="7">
        <v>39483</v>
      </c>
      <c r="BG263">
        <v>12</v>
      </c>
      <c r="BH263" s="17">
        <f t="shared" ca="1" si="4"/>
        <v>44</v>
      </c>
      <c r="BI263" s="17"/>
      <c r="BJ263" s="17"/>
      <c r="BK263" t="str">
        <f>B263</f>
        <v>Subject To Inspection</v>
      </c>
    </row>
    <row r="264" spans="1:63" hidden="1">
      <c r="A264">
        <v>28027394</v>
      </c>
      <c r="B264" s="15" t="str">
        <f>HYPERLINK("http://www.windermere.com/index.cfm?fuseaction=Listing.ListingDetail&amp;ListingID=19374487","Subject To Inspection")</f>
        <v>Subject To Inspection</v>
      </c>
      <c r="D264" t="s">
        <v>218</v>
      </c>
      <c r="E264" t="s">
        <v>763</v>
      </c>
      <c r="F264" s="10">
        <v>449000</v>
      </c>
      <c r="G264" t="s">
        <v>129</v>
      </c>
      <c r="H264" s="1">
        <v>1980</v>
      </c>
      <c r="I264">
        <v>3280</v>
      </c>
      <c r="J264">
        <v>3</v>
      </c>
      <c r="K264">
        <v>2</v>
      </c>
      <c r="M264" s="2" t="str">
        <f>HYPERLINK("http://www.windermere.com/index.cfm?fuseaction=Listing.MapPropertyInteractive&amp;ListingID=19374487&amp;resize=true&amp;windowWidth=800&amp;windowHeight=600","Map")</f>
        <v>Map</v>
      </c>
      <c r="O264" s="2" t="str">
        <f>HYPERLINK("http://www.windermere.com/index.cfm?fuseaction=Listing.MultiImageViewer&amp;ListingID=19374487&amp;ln=28027394&amp;pub_mls=1","More")</f>
        <v>More</v>
      </c>
      <c r="AI264" t="s">
        <v>66</v>
      </c>
      <c r="AJ264">
        <v>98115</v>
      </c>
      <c r="AS264" t="s">
        <v>764</v>
      </c>
      <c r="AT264">
        <v>19374487</v>
      </c>
      <c r="AU264" s="12">
        <v>39495</v>
      </c>
      <c r="BB264" t="s">
        <v>912</v>
      </c>
      <c r="BC264" s="7">
        <v>39493</v>
      </c>
      <c r="BG264">
        <v>2</v>
      </c>
      <c r="BH264" s="17">
        <f t="shared" ca="1" si="4"/>
        <v>34</v>
      </c>
      <c r="BI264" s="17"/>
      <c r="BJ264" s="17"/>
    </row>
    <row r="265" spans="1:63" hidden="1">
      <c r="A265">
        <v>27205585</v>
      </c>
      <c r="B265" s="2" t="str">
        <f>HYPERLINK("http://www.windermere.com/index.cfm?fuseaction=Listing.ListingDetail&amp;ListingID=19012321","Active")</f>
        <v>Active</v>
      </c>
      <c r="D265" t="s">
        <v>1142</v>
      </c>
      <c r="E265" t="s">
        <v>765</v>
      </c>
      <c r="F265" s="10">
        <v>449500</v>
      </c>
      <c r="G265" t="s">
        <v>143</v>
      </c>
      <c r="H265" s="1">
        <v>1720</v>
      </c>
      <c r="J265">
        <v>3</v>
      </c>
      <c r="K265">
        <v>3.5</v>
      </c>
      <c r="M265" s="2" t="str">
        <f>HYPERLINK("http://www.windermere.com/index.cfm?fuseaction=Listing.MapPropertyInteractive&amp;ListingID=19012321&amp;resize=true&amp;windowWidth=800&amp;windowHeight=600","Map")</f>
        <v>Map</v>
      </c>
      <c r="O265" s="2" t="str">
        <f>HYPERLINK("http://www.windermere.com/index.cfm?fuseaction=viewGallery.Home&amp;customTourID=201073&amp;wvt=0","More")</f>
        <v>More</v>
      </c>
      <c r="P265" t="s">
        <v>44</v>
      </c>
      <c r="AI265" t="s">
        <v>66</v>
      </c>
      <c r="AJ265">
        <v>98103</v>
      </c>
      <c r="AS265" t="s">
        <v>766</v>
      </c>
      <c r="AT265">
        <v>19012321</v>
      </c>
      <c r="AU265" s="12">
        <v>39495</v>
      </c>
      <c r="BB265" t="s">
        <v>912</v>
      </c>
      <c r="BC265" s="7">
        <v>39411</v>
      </c>
      <c r="BG265">
        <v>84</v>
      </c>
      <c r="BH265" s="17">
        <f t="shared" ca="1" si="4"/>
        <v>116</v>
      </c>
      <c r="BI265" s="17"/>
      <c r="BJ265" s="17"/>
    </row>
    <row r="266" spans="1:63" hidden="1">
      <c r="A266">
        <v>28019505</v>
      </c>
      <c r="B266" s="2" t="str">
        <f>HYPERLINK("http://www.windermere.com/index.cfm?fuseaction=Listing.ListingDetail&amp;ListingID=19310141","Active")</f>
        <v>Active</v>
      </c>
      <c r="D266" t="s">
        <v>984</v>
      </c>
      <c r="E266" t="s">
        <v>214</v>
      </c>
      <c r="F266" s="10">
        <v>449500</v>
      </c>
      <c r="G266" t="s">
        <v>215</v>
      </c>
      <c r="H266" s="1">
        <v>2240</v>
      </c>
      <c r="I266">
        <v>3075</v>
      </c>
      <c r="J266">
        <v>3</v>
      </c>
      <c r="K266">
        <v>2</v>
      </c>
      <c r="M266" s="2" t="str">
        <f>HYPERLINK("http://www.windermere.com/index.cfm?fuseaction=Listing.MapPropertyInteractive&amp;ListingID=19310141&amp;resize=true&amp;windowWidth=800&amp;windowHeight=600","Map")</f>
        <v>Map</v>
      </c>
      <c r="O266" s="2" t="str">
        <f>HYPERLINK("http://www.windermere.com/index.cfm?fuseaction=Listing.MultiImageViewer&amp;ListingID=19310141&amp;ln=28019505&amp;pub_mls=1","More")</f>
        <v>More</v>
      </c>
      <c r="AI266" t="s">
        <v>66</v>
      </c>
      <c r="AJ266">
        <v>98115</v>
      </c>
      <c r="AS266" t="s">
        <v>1141</v>
      </c>
      <c r="AT266">
        <v>19310141</v>
      </c>
      <c r="AU266" s="12">
        <v>39495</v>
      </c>
      <c r="BB266" t="s">
        <v>912</v>
      </c>
      <c r="BC266" s="7">
        <v>39479</v>
      </c>
      <c r="BG266">
        <v>16</v>
      </c>
      <c r="BH266" s="17">
        <f t="shared" ca="1" si="4"/>
        <v>48</v>
      </c>
      <c r="BI266" s="17"/>
      <c r="BJ266" s="17"/>
    </row>
    <row r="267" spans="1:63" hidden="1">
      <c r="A267">
        <v>28001335</v>
      </c>
      <c r="B267" s="15" t="str">
        <f>HYPERLINK("http://www.windermere.com/index.cfm?fuseaction=Listing.ListingDetail&amp;ListingID=19150106","Subject To Inspection")</f>
        <v>Subject To Inspection</v>
      </c>
      <c r="D267" t="s">
        <v>63</v>
      </c>
      <c r="E267" t="s">
        <v>767</v>
      </c>
      <c r="F267" s="10">
        <v>449888</v>
      </c>
      <c r="G267" t="s">
        <v>374</v>
      </c>
      <c r="H267" s="1">
        <v>1670</v>
      </c>
      <c r="J267">
        <v>3</v>
      </c>
      <c r="K267">
        <v>2</v>
      </c>
      <c r="M267" s="2" t="str">
        <f>HYPERLINK("http://www.windermere.com/index.cfm?fuseaction=Listing.MapPropertyInteractive&amp;ListingID=19150106&amp;resize=true&amp;windowWidth=800&amp;windowHeight=600","Map")</f>
        <v>Map</v>
      </c>
      <c r="O267" s="2" t="str">
        <f>HYPERLINK("http://www.windermere.com/index.cfm?fuseaction=Listing.MultiImageViewer&amp;ListingID=19150106&amp;ln=28001335&amp;pub_mls=1","More")</f>
        <v>More</v>
      </c>
      <c r="AI267" t="s">
        <v>66</v>
      </c>
      <c r="AJ267">
        <v>98107</v>
      </c>
      <c r="AS267" t="s">
        <v>768</v>
      </c>
      <c r="AT267">
        <v>19150106</v>
      </c>
      <c r="AU267" s="12">
        <v>39495</v>
      </c>
      <c r="BB267" t="s">
        <v>912</v>
      </c>
      <c r="BC267" s="7">
        <v>39449</v>
      </c>
      <c r="BD267">
        <v>3</v>
      </c>
      <c r="BE267" t="s">
        <v>1379</v>
      </c>
      <c r="BG267">
        <v>46</v>
      </c>
      <c r="BH267" s="17">
        <f t="shared" ca="1" si="4"/>
        <v>78</v>
      </c>
      <c r="BI267" s="17"/>
      <c r="BJ267" s="17"/>
    </row>
    <row r="268" spans="1:63" hidden="1">
      <c r="A268">
        <v>27191868</v>
      </c>
      <c r="B268" s="2" t="str">
        <f>HYPERLINK("http://www.windermere.com/index.cfm?fuseaction=Listing.ListingDetail&amp;ListingID=18865361","Active")</f>
        <v>Active</v>
      </c>
      <c r="D268" t="s">
        <v>55</v>
      </c>
      <c r="E268" t="s">
        <v>152</v>
      </c>
      <c r="F268" s="13">
        <v>434900</v>
      </c>
      <c r="G268" t="s">
        <v>153</v>
      </c>
      <c r="H268" s="1">
        <v>2080</v>
      </c>
      <c r="I268">
        <v>4950</v>
      </c>
      <c r="J268">
        <v>3</v>
      </c>
      <c r="K268">
        <v>1.5</v>
      </c>
      <c r="M268" s="2" t="str">
        <f>HYPERLINK("http://www.windermere.com/index.cfm?fuseaction=Listing.MapPropertyInteractive&amp;ListingID=18865361&amp;resize=true&amp;windowWidth=800&amp;windowHeight=600","Map")</f>
        <v>Map</v>
      </c>
      <c r="O268" s="2" t="str">
        <f>HYPERLINK("http://www.windermere.com/index.cfm?fuseaction=Listing.MultiImageViewer&amp;ListingID=18865361&amp;ln=27191868&amp;pub_mls=1","More")</f>
        <v>More</v>
      </c>
      <c r="AI268" t="s">
        <v>66</v>
      </c>
      <c r="AJ268">
        <v>98117</v>
      </c>
      <c r="AS268" t="s">
        <v>285</v>
      </c>
      <c r="AT268">
        <v>18865361</v>
      </c>
      <c r="AU268" s="12">
        <v>39495</v>
      </c>
      <c r="BB268" t="s">
        <v>912</v>
      </c>
      <c r="BC268" s="7">
        <v>39380</v>
      </c>
      <c r="BG268">
        <v>115</v>
      </c>
      <c r="BH268" s="17">
        <f t="shared" ca="1" si="4"/>
        <v>147</v>
      </c>
      <c r="BI268" s="17"/>
      <c r="BJ268" s="17"/>
    </row>
    <row r="269" spans="1:63" hidden="1">
      <c r="A269">
        <v>28000354</v>
      </c>
      <c r="B269" s="2" t="str">
        <f>HYPERLINK("http://www.windermere.com/index.cfm?fuseaction=Listing.ListingDetail&amp;ListingID=19143675","Active")</f>
        <v>Active</v>
      </c>
      <c r="D269" t="s">
        <v>1130</v>
      </c>
      <c r="E269" t="s">
        <v>1143</v>
      </c>
      <c r="F269" s="10">
        <v>449950</v>
      </c>
      <c r="G269" t="s">
        <v>168</v>
      </c>
      <c r="H269" s="1">
        <v>1290</v>
      </c>
      <c r="I269">
        <v>10048</v>
      </c>
      <c r="J269">
        <v>2</v>
      </c>
      <c r="K269">
        <v>1.5</v>
      </c>
      <c r="M269" s="2" t="str">
        <f>HYPERLINK("http://www.windermere.com/index.cfm?fuseaction=Listing.MapPropertyInteractive&amp;ListingID=19143675&amp;resize=true&amp;windowWidth=800&amp;windowHeight=600","Map")</f>
        <v>Map</v>
      </c>
      <c r="O269" s="2" t="str">
        <f>HYPERLINK("http://www.windermere.com/index.cfm?fuseaction=Listing.MultiImageViewer&amp;ListingID=19143675&amp;ln=28000354&amp;pub_mls=1","More")</f>
        <v>More</v>
      </c>
      <c r="P269" t="s">
        <v>44</v>
      </c>
      <c r="AI269" t="s">
        <v>66</v>
      </c>
      <c r="AJ269">
        <v>98125</v>
      </c>
      <c r="AS269" t="s">
        <v>1144</v>
      </c>
      <c r="AT269">
        <v>19143675</v>
      </c>
      <c r="AU269" s="12">
        <v>39495</v>
      </c>
      <c r="BB269" t="s">
        <v>912</v>
      </c>
      <c r="BC269" s="7">
        <v>39448</v>
      </c>
      <c r="BG269">
        <v>47</v>
      </c>
      <c r="BH269" s="17">
        <f t="shared" ca="1" si="4"/>
        <v>79</v>
      </c>
      <c r="BI269" s="17"/>
      <c r="BJ269" s="17"/>
    </row>
    <row r="270" spans="1:63" hidden="1">
      <c r="A270">
        <v>28008371</v>
      </c>
      <c r="B270" s="2" t="str">
        <f>HYPERLINK("http://www.windermere.com/index.cfm?fuseaction=Listing.ListingDetail&amp;ListingID=19220502","Subject To Inspection")</f>
        <v>Subject To Inspection</v>
      </c>
      <c r="D270" t="s">
        <v>60</v>
      </c>
      <c r="E270" t="s">
        <v>769</v>
      </c>
      <c r="F270" s="10">
        <v>449950</v>
      </c>
      <c r="G270" t="s">
        <v>168</v>
      </c>
      <c r="H270" s="1">
        <v>2040</v>
      </c>
      <c r="I270">
        <v>4500</v>
      </c>
      <c r="J270">
        <v>3</v>
      </c>
      <c r="K270">
        <v>1.75</v>
      </c>
      <c r="M270" s="2" t="str">
        <f>HYPERLINK("http://www.windermere.com/index.cfm?fuseaction=Listing.MapPropertyInteractive&amp;ListingID=19220502&amp;resize=true&amp;windowWidth=800&amp;windowHeight=600","Map")</f>
        <v>Map</v>
      </c>
      <c r="O270" s="2" t="str">
        <f>HYPERLINK("http://www.windermere.com/index.cfm?fuseaction=Listing.MultiImageViewer&amp;ListingID=19220502&amp;ln=28008371&amp;pub_mls=1","More")</f>
        <v>More</v>
      </c>
      <c r="P270" t="s">
        <v>44</v>
      </c>
      <c r="AI270" t="s">
        <v>66</v>
      </c>
      <c r="AJ270">
        <v>98103</v>
      </c>
      <c r="AS270" t="s">
        <v>770</v>
      </c>
      <c r="AT270">
        <v>19220502</v>
      </c>
      <c r="AU270" s="12">
        <v>39495</v>
      </c>
      <c r="BB270" t="s">
        <v>912</v>
      </c>
      <c r="BC270" t="s">
        <v>1413</v>
      </c>
      <c r="BG270">
        <v>0</v>
      </c>
      <c r="BH270" s="17" t="e">
        <f t="shared" ca="1" si="4"/>
        <v>#VALUE!</v>
      </c>
      <c r="BI270" s="17"/>
      <c r="BJ270" s="17"/>
      <c r="BK270" t="str">
        <f>B270</f>
        <v>Subject To Inspection</v>
      </c>
    </row>
    <row r="271" spans="1:63" hidden="1">
      <c r="A271">
        <v>28014057</v>
      </c>
      <c r="B271" s="4" t="str">
        <f>HYPERLINK("http://www.windermere.com/index.cfm?fuseaction=Listing.ListingDetail&amp;ListingID=19266059","Subject To Inspection")</f>
        <v>Subject To Inspection</v>
      </c>
      <c r="D271" t="s">
        <v>63</v>
      </c>
      <c r="E271" t="s">
        <v>771</v>
      </c>
      <c r="F271" s="13">
        <v>429950</v>
      </c>
      <c r="G271" t="s">
        <v>247</v>
      </c>
      <c r="H271" s="1">
        <v>1490</v>
      </c>
      <c r="J271">
        <v>3</v>
      </c>
      <c r="K271">
        <v>2.5</v>
      </c>
      <c r="M271" s="2" t="str">
        <f>HYPERLINK("http://www.windermere.com/index.cfm?fuseaction=Listing.MapPropertyInteractive&amp;ListingID=19266059&amp;resize=true&amp;windowWidth=800&amp;windowHeight=600","Map")</f>
        <v>Map</v>
      </c>
      <c r="O271" s="2" t="str">
        <f>HYPERLINK("http://www.windermere.com/index.cfm?fuseaction=Listing.MultiImageViewer&amp;ListingID=19266059&amp;ln=28014057&amp;pub_mls=1","More")</f>
        <v>More</v>
      </c>
      <c r="P271" t="s">
        <v>44</v>
      </c>
      <c r="AI271" t="s">
        <v>66</v>
      </c>
      <c r="AJ271">
        <v>98107</v>
      </c>
      <c r="AS271" t="s">
        <v>772</v>
      </c>
      <c r="AT271">
        <v>19266059</v>
      </c>
      <c r="AU271" s="12">
        <v>39495</v>
      </c>
      <c r="BB271" t="s">
        <v>912</v>
      </c>
      <c r="BC271" s="7">
        <v>39470</v>
      </c>
      <c r="BG271">
        <v>25</v>
      </c>
      <c r="BH271" s="17">
        <f t="shared" ca="1" si="4"/>
        <v>57</v>
      </c>
      <c r="BI271" s="17"/>
      <c r="BJ271" s="17"/>
    </row>
    <row r="272" spans="1:63" hidden="1">
      <c r="A272">
        <v>28017708</v>
      </c>
      <c r="B272" s="2" t="str">
        <f>HYPERLINK("http://www.windermere.com/index.cfm?fuseaction=Listing.ListingDetail&amp;ListingID=19295761","Active")</f>
        <v>Active</v>
      </c>
      <c r="D272" t="s">
        <v>101</v>
      </c>
      <c r="E272" t="s">
        <v>163</v>
      </c>
      <c r="F272" s="10">
        <v>449950</v>
      </c>
      <c r="G272" t="s">
        <v>164</v>
      </c>
      <c r="H272" s="1">
        <v>1160</v>
      </c>
      <c r="I272">
        <v>7590</v>
      </c>
      <c r="J272">
        <v>2</v>
      </c>
      <c r="K272">
        <v>1</v>
      </c>
      <c r="M272" s="2" t="str">
        <f>HYPERLINK("http://www.windermere.com/index.cfm?fuseaction=Listing.MapPropertyInteractive&amp;ListingID=19295761&amp;resize=true&amp;windowWidth=800&amp;windowHeight=600","Map")</f>
        <v>Map</v>
      </c>
      <c r="O272" s="2" t="str">
        <f>HYPERLINK("http://www.windermere.com/index.cfm?fuseaction=Listing.MultiImageViewer&amp;ListingID=19295761&amp;ln=28017708&amp;pub_mls=1","More")</f>
        <v>More</v>
      </c>
      <c r="AI272" t="s">
        <v>66</v>
      </c>
      <c r="AJ272">
        <v>98117</v>
      </c>
      <c r="AS272" t="s">
        <v>284</v>
      </c>
      <c r="AT272">
        <v>19295761</v>
      </c>
      <c r="AU272" s="12">
        <v>39495</v>
      </c>
      <c r="BB272" t="s">
        <v>912</v>
      </c>
      <c r="BC272" s="7">
        <v>39477</v>
      </c>
      <c r="BG272">
        <v>18</v>
      </c>
      <c r="BH272" s="17">
        <f t="shared" ca="1" si="4"/>
        <v>50</v>
      </c>
      <c r="BI272" s="17"/>
      <c r="BJ272" s="17"/>
    </row>
    <row r="273" spans="1:63" hidden="1">
      <c r="A273">
        <v>27198190</v>
      </c>
      <c r="B273" s="2" t="str">
        <f>HYPERLINK("http://www.windermere.com/index.cfm?fuseaction=Listing.ListingDetail&amp;ListingID=18927434","Active")</f>
        <v>Active</v>
      </c>
      <c r="D273" t="s">
        <v>920</v>
      </c>
      <c r="E273" t="s">
        <v>775</v>
      </c>
      <c r="F273" s="10">
        <v>449990</v>
      </c>
      <c r="G273" t="s">
        <v>143</v>
      </c>
      <c r="H273" s="1">
        <v>2130</v>
      </c>
      <c r="I273">
        <v>6187</v>
      </c>
      <c r="J273">
        <v>5</v>
      </c>
      <c r="K273">
        <v>3</v>
      </c>
      <c r="M273" s="2" t="str">
        <f>HYPERLINK("http://www.windermere.com/index.cfm?fuseaction=Listing.MapPropertyInteractive&amp;ListingID=18927434&amp;resize=true&amp;windowWidth=800&amp;windowHeight=600","Map")</f>
        <v>Map</v>
      </c>
      <c r="O273" s="2" t="str">
        <f>HYPERLINK("http://www.windermere.com/index.cfm?fuseaction=Listing.MultiImageViewer&amp;ListingID=18927434&amp;ln=27198190&amp;pub_mls=1","More")</f>
        <v>More</v>
      </c>
      <c r="AI273" t="s">
        <v>66</v>
      </c>
      <c r="AJ273">
        <v>98125</v>
      </c>
      <c r="AS273" t="s">
        <v>776</v>
      </c>
      <c r="AT273">
        <v>18927434</v>
      </c>
      <c r="AU273" s="12">
        <v>39495</v>
      </c>
      <c r="BB273" t="s">
        <v>912</v>
      </c>
      <c r="BC273" s="7">
        <v>39393</v>
      </c>
      <c r="BG273">
        <v>102</v>
      </c>
      <c r="BH273" s="17">
        <f t="shared" ca="1" si="4"/>
        <v>134</v>
      </c>
      <c r="BI273" s="17"/>
      <c r="BJ273" s="17"/>
    </row>
    <row r="274" spans="1:63" hidden="1">
      <c r="A274">
        <v>27208224</v>
      </c>
      <c r="B274" s="2" t="str">
        <f>HYPERLINK("http://www.windermere.com/index.cfm?fuseaction=Listing.ListingDetail&amp;ListingID=19037181","Active")</f>
        <v>Active</v>
      </c>
      <c r="D274" t="s">
        <v>218</v>
      </c>
      <c r="E274" t="s">
        <v>773</v>
      </c>
      <c r="F274" s="10">
        <v>449990</v>
      </c>
      <c r="G274" t="s">
        <v>176</v>
      </c>
      <c r="I274">
        <v>5659</v>
      </c>
      <c r="J274">
        <v>2</v>
      </c>
      <c r="K274">
        <v>1</v>
      </c>
      <c r="M274" s="2" t="str">
        <f>HYPERLINK("http://www.windermere.com/index.cfm?fuseaction=Listing.MapPropertyInteractive&amp;ListingID=19037181&amp;resize=true&amp;windowWidth=800&amp;windowHeight=600","Map")</f>
        <v>Map</v>
      </c>
      <c r="O274" s="2" t="str">
        <f>HYPERLINK("http://www.windermere.com/index.cfm?fuseaction=Listing.MultiImageViewer&amp;ListingID=19037181&amp;ln=27208224&amp;pub_mls=1","More")</f>
        <v>More</v>
      </c>
      <c r="P274" t="s">
        <v>44</v>
      </c>
      <c r="AI274" t="s">
        <v>66</v>
      </c>
      <c r="AJ274">
        <v>98115</v>
      </c>
      <c r="AS274" t="s">
        <v>774</v>
      </c>
      <c r="AT274">
        <v>19037181</v>
      </c>
      <c r="AU274" s="12">
        <v>39495</v>
      </c>
      <c r="BB274" t="s">
        <v>912</v>
      </c>
      <c r="BC274" s="7">
        <v>39417</v>
      </c>
      <c r="BG274">
        <v>78</v>
      </c>
      <c r="BH274" s="17">
        <f t="shared" ca="1" si="4"/>
        <v>110</v>
      </c>
      <c r="BI274" s="17"/>
      <c r="BJ274" s="17"/>
    </row>
    <row r="275" spans="1:63" hidden="1">
      <c r="A275">
        <v>27187495</v>
      </c>
      <c r="B275" s="2" t="str">
        <f>HYPERLINK("http://www.windermere.com/index.cfm?fuseaction=Listing.ListingDetail&amp;ListingID=18820818","Active")</f>
        <v>Active</v>
      </c>
      <c r="D275" t="s">
        <v>283</v>
      </c>
      <c r="E275" t="s">
        <v>158</v>
      </c>
      <c r="F275" s="10">
        <v>450000</v>
      </c>
      <c r="G275" t="s">
        <v>126</v>
      </c>
      <c r="H275" s="1">
        <v>1830</v>
      </c>
      <c r="I275">
        <v>4284</v>
      </c>
      <c r="J275">
        <v>2</v>
      </c>
      <c r="K275">
        <v>1</v>
      </c>
      <c r="M275" s="2" t="str">
        <f>HYPERLINK("http://www.windermere.com/index.cfm?fuseaction=Listing.MapPropertyInteractive&amp;ListingID=18820818&amp;resize=true&amp;windowWidth=800&amp;windowHeight=600","Map")</f>
        <v>Map</v>
      </c>
      <c r="O275" s="2" t="str">
        <f>HYPERLINK("http://www.windermere.com/index.cfm?fuseaction=viewGallery.Home&amp;customTourID=197661&amp;wvt=0","More")</f>
        <v>More</v>
      </c>
      <c r="P275" t="s">
        <v>44</v>
      </c>
      <c r="AI275" t="s">
        <v>66</v>
      </c>
      <c r="AJ275">
        <v>98117</v>
      </c>
      <c r="AS275" t="s">
        <v>282</v>
      </c>
      <c r="AT275">
        <v>18820818</v>
      </c>
      <c r="AU275" s="12">
        <v>39495</v>
      </c>
      <c r="BB275" t="s">
        <v>912</v>
      </c>
      <c r="BC275" s="7">
        <v>39372</v>
      </c>
      <c r="BG275">
        <v>123</v>
      </c>
      <c r="BH275" s="17">
        <f t="shared" ca="1" si="4"/>
        <v>155</v>
      </c>
      <c r="BI275" s="17"/>
      <c r="BJ275" s="17"/>
    </row>
    <row r="276" spans="1:63" hidden="1">
      <c r="A276">
        <v>28002721</v>
      </c>
      <c r="B276" s="2" t="str">
        <f>HYPERLINK("http://www.windermere.com/index.cfm?fuseaction=Listing.ListingDetail&amp;ListingID=19163838","Active")</f>
        <v>Active</v>
      </c>
      <c r="D276" t="s">
        <v>63</v>
      </c>
      <c r="E276" t="s">
        <v>148</v>
      </c>
      <c r="F276" s="10">
        <v>450000</v>
      </c>
      <c r="G276" t="s">
        <v>144</v>
      </c>
      <c r="H276" s="1">
        <v>1520</v>
      </c>
      <c r="I276">
        <v>4000</v>
      </c>
      <c r="J276">
        <v>3</v>
      </c>
      <c r="K276">
        <v>1.75</v>
      </c>
      <c r="M276" s="2" t="str">
        <f>HYPERLINK("http://www.windermere.com/index.cfm?fuseaction=Listing.MapPropertyInteractive&amp;ListingID=19163838&amp;resize=true&amp;windowWidth=800&amp;windowHeight=600","Map")</f>
        <v>Map</v>
      </c>
      <c r="O276" s="2" t="str">
        <f>HYPERLINK("http://www.windermere.com/index.cfm?fuseaction=Listing.MultiImageViewer&amp;ListingID=19163838&amp;ln=28002721&amp;pub_mls=1","More")</f>
        <v>More</v>
      </c>
      <c r="AI276" t="s">
        <v>66</v>
      </c>
      <c r="AJ276">
        <v>98107</v>
      </c>
      <c r="AS276" t="s">
        <v>781</v>
      </c>
      <c r="AT276">
        <v>19163838</v>
      </c>
      <c r="AU276" s="12">
        <v>39495</v>
      </c>
      <c r="BB276" t="s">
        <v>912</v>
      </c>
      <c r="BC276" s="7">
        <v>39451</v>
      </c>
      <c r="BG276">
        <v>44</v>
      </c>
      <c r="BH276" s="17">
        <f t="shared" ca="1" si="4"/>
        <v>76</v>
      </c>
      <c r="BI276" s="17"/>
      <c r="BJ276" s="17"/>
    </row>
    <row r="277" spans="1:63" hidden="1">
      <c r="A277">
        <v>28014610</v>
      </c>
      <c r="B277" s="2" t="str">
        <f>HYPERLINK("http://www.windermere.com/index.cfm?fuseaction=Listing.ListingDetail&amp;ListingID=19281742","Active")</f>
        <v>Active</v>
      </c>
      <c r="D277" t="s">
        <v>42</v>
      </c>
      <c r="E277" t="s">
        <v>777</v>
      </c>
      <c r="F277" s="10">
        <v>450000</v>
      </c>
      <c r="G277" t="s">
        <v>778</v>
      </c>
      <c r="H277" s="1">
        <v>2670</v>
      </c>
      <c r="I277">
        <v>9102</v>
      </c>
      <c r="J277">
        <v>4</v>
      </c>
      <c r="K277">
        <v>2.75</v>
      </c>
      <c r="M277" s="2" t="str">
        <f>HYPERLINK("http://www.windermere.com/index.cfm?fuseaction=Listing.MapPropertyInteractive&amp;ListingID=19281742&amp;resize=true&amp;windowWidth=800&amp;windowHeight=600","Map")</f>
        <v>Map</v>
      </c>
      <c r="O277" s="2" t="str">
        <f>HYPERLINK("http://www.windermere.com/index.cfm?fuseaction=viewGallery.Home&amp;customTourID=205265&amp;wvt=0","More")</f>
        <v>More</v>
      </c>
      <c r="AI277" t="s">
        <v>66</v>
      </c>
      <c r="AJ277">
        <v>98133</v>
      </c>
      <c r="AS277" t="s">
        <v>779</v>
      </c>
      <c r="AT277">
        <v>19281742</v>
      </c>
      <c r="AU277" s="12">
        <v>39495</v>
      </c>
      <c r="BB277" t="s">
        <v>912</v>
      </c>
      <c r="BC277" s="7">
        <v>39473</v>
      </c>
      <c r="BG277">
        <v>22</v>
      </c>
      <c r="BH277" s="17">
        <f t="shared" ca="1" si="4"/>
        <v>54</v>
      </c>
      <c r="BI277" s="17"/>
      <c r="BJ277" s="17"/>
    </row>
    <row r="278" spans="1:63" hidden="1">
      <c r="A278">
        <v>28014838</v>
      </c>
      <c r="B278" s="2" t="str">
        <f>HYPERLINK("http://www.windermere.com/index.cfm?fuseaction=Listing.ListingDetail&amp;ListingID=19272515","Active")</f>
        <v>Active</v>
      </c>
      <c r="D278" t="s">
        <v>66</v>
      </c>
      <c r="E278" t="s">
        <v>174</v>
      </c>
      <c r="F278" s="10">
        <v>450000</v>
      </c>
      <c r="G278" t="s">
        <v>130</v>
      </c>
      <c r="H278" s="1">
        <v>2590</v>
      </c>
      <c r="I278">
        <v>6480</v>
      </c>
      <c r="J278">
        <v>4</v>
      </c>
      <c r="K278">
        <v>1.75</v>
      </c>
      <c r="M278" s="2" t="str">
        <f>HYPERLINK("http://www.windermere.com/index.cfm?fuseaction=Listing.MapPropertyInteractive&amp;ListingID=19272515&amp;resize=true&amp;windowWidth=800&amp;windowHeight=600","Map")</f>
        <v>Map</v>
      </c>
      <c r="O278" s="2" t="str">
        <f>HYPERLINK("http://www.windermere.com/index.cfm?fuseaction=Listing.MultiImageViewer&amp;ListingID=19272515&amp;ln=28014838&amp;pub_mls=1","More")</f>
        <v>More</v>
      </c>
      <c r="AI278" t="s">
        <v>66</v>
      </c>
      <c r="AJ278">
        <v>98115</v>
      </c>
      <c r="AS278" t="s">
        <v>780</v>
      </c>
      <c r="AT278">
        <v>19272515</v>
      </c>
      <c r="AU278" s="12">
        <v>39495</v>
      </c>
      <c r="BB278" t="s">
        <v>912</v>
      </c>
      <c r="BC278" s="7">
        <v>39471</v>
      </c>
      <c r="BG278">
        <v>24</v>
      </c>
      <c r="BH278" s="17">
        <f t="shared" ca="1" si="4"/>
        <v>56</v>
      </c>
      <c r="BI278" s="17"/>
      <c r="BJ278" s="17"/>
    </row>
    <row r="279" spans="1:63" hidden="1">
      <c r="A279">
        <v>27091504</v>
      </c>
      <c r="B279" s="2" t="str">
        <f>HYPERLINK("http://www.windermere.com/index.cfm?fuseaction=Listing.ListingDetail&amp;ListingID=19342509","Active")</f>
        <v>Active</v>
      </c>
      <c r="D279" t="s">
        <v>70</v>
      </c>
      <c r="E279" t="s">
        <v>150</v>
      </c>
      <c r="F279" s="10">
        <v>455000</v>
      </c>
      <c r="G279" t="s">
        <v>151</v>
      </c>
      <c r="H279" s="1">
        <v>2800</v>
      </c>
      <c r="I279">
        <v>6591</v>
      </c>
      <c r="J279">
        <v>5</v>
      </c>
      <c r="K279">
        <v>1.75</v>
      </c>
      <c r="M279" s="2" t="str">
        <f>HYPERLINK("http://www.windermere.com/index.cfm?fuseaction=Listing.MapPropertyInteractive&amp;ListingID=19342509&amp;resize=true&amp;windowWidth=800&amp;windowHeight=600","Map")</f>
        <v>Map</v>
      </c>
      <c r="O279" s="2" t="str">
        <f>HYPERLINK("http://www.windermere.com/index.cfm?fuseaction=Listing.MultiImageViewer&amp;ListingID=19342509&amp;ln=27091504&amp;pub_mls=1","More")</f>
        <v>More</v>
      </c>
      <c r="P279" t="s">
        <v>44</v>
      </c>
      <c r="AI279" t="s">
        <v>66</v>
      </c>
      <c r="AJ279">
        <v>98133</v>
      </c>
      <c r="AS279" t="s">
        <v>782</v>
      </c>
      <c r="AT279">
        <v>19342509</v>
      </c>
      <c r="AU279" s="12">
        <v>39495</v>
      </c>
      <c r="BB279" t="s">
        <v>912</v>
      </c>
      <c r="BC279" s="7">
        <v>39225</v>
      </c>
      <c r="BD279">
        <v>2</v>
      </c>
      <c r="BE279" s="6" t="s">
        <v>1312</v>
      </c>
      <c r="BG279">
        <v>270</v>
      </c>
      <c r="BH279" s="17">
        <f t="shared" ca="1" si="4"/>
        <v>302</v>
      </c>
      <c r="BI279" s="17"/>
      <c r="BJ279" s="17"/>
    </row>
    <row r="280" spans="1:63" hidden="1">
      <c r="A280">
        <v>27208590</v>
      </c>
      <c r="B280" s="2" t="str">
        <f>HYPERLINK("http://www.windermere.com/index.cfm?fuseaction=Listing.ListingDetail&amp;ListingID=19041872","Active")</f>
        <v>Active</v>
      </c>
      <c r="D280" t="s">
        <v>920</v>
      </c>
      <c r="E280" t="s">
        <v>783</v>
      </c>
      <c r="F280" s="13">
        <v>452900</v>
      </c>
      <c r="G280" t="s">
        <v>137</v>
      </c>
      <c r="H280" s="1">
        <v>2200</v>
      </c>
      <c r="I280">
        <v>6720</v>
      </c>
      <c r="J280">
        <v>3</v>
      </c>
      <c r="K280">
        <v>1.75</v>
      </c>
      <c r="M280" s="2" t="str">
        <f>HYPERLINK("http://www.windermere.com/index.cfm?fuseaction=Listing.MapPropertyInteractive&amp;ListingID=19041872&amp;resize=true&amp;windowWidth=800&amp;windowHeight=600","Map")</f>
        <v>Map</v>
      </c>
      <c r="O280" s="2" t="str">
        <f>HYPERLINK("http://www.windermere.com/index.cfm?fuseaction=Listing.MultiImageViewer&amp;ListingID=19041872&amp;ln=27208590&amp;pub_mls=1","More")</f>
        <v>More</v>
      </c>
      <c r="AI280" t="s">
        <v>66</v>
      </c>
      <c r="AJ280">
        <v>98125</v>
      </c>
      <c r="AS280" t="s">
        <v>784</v>
      </c>
      <c r="AT280">
        <v>19041872</v>
      </c>
      <c r="AU280" s="12">
        <v>39495</v>
      </c>
      <c r="BB280" t="s">
        <v>912</v>
      </c>
      <c r="BC280" s="7">
        <v>39418</v>
      </c>
      <c r="BG280">
        <v>77</v>
      </c>
      <c r="BH280" s="17">
        <f t="shared" ca="1" si="4"/>
        <v>109</v>
      </c>
      <c r="BI280" s="17"/>
      <c r="BJ280" s="17"/>
    </row>
    <row r="281" spans="1:63" hidden="1">
      <c r="A281">
        <v>28011566</v>
      </c>
      <c r="B281" s="2" t="str">
        <f>HYPERLINK("http://www.windermere.com/index.cfm?fuseaction=Listing.ListingDetail&amp;ListingID=19246332","Active")</f>
        <v>Active</v>
      </c>
      <c r="D281" t="s">
        <v>60</v>
      </c>
      <c r="E281" t="s">
        <v>785</v>
      </c>
      <c r="F281" s="13">
        <v>447000</v>
      </c>
      <c r="G281" t="s">
        <v>143</v>
      </c>
      <c r="H281" s="1">
        <v>1420</v>
      </c>
      <c r="I281">
        <v>2550</v>
      </c>
      <c r="J281">
        <v>3</v>
      </c>
      <c r="K281">
        <v>2</v>
      </c>
      <c r="M281" s="2" t="str">
        <f>HYPERLINK("http://www.windermere.com/index.cfm?fuseaction=Listing.MapPropertyInteractive&amp;ListingID=19246332&amp;resize=true&amp;windowWidth=800&amp;windowHeight=600","Map")</f>
        <v>Map</v>
      </c>
      <c r="O281" s="2" t="str">
        <f>HYPERLINK("http://www.windermere.com/index.cfm?fuseaction=Listing.MultiImageViewer&amp;ListingID=19246332&amp;ln=28011566&amp;pub_mls=1","More")</f>
        <v>More</v>
      </c>
      <c r="P281" t="s">
        <v>44</v>
      </c>
      <c r="AI281" t="s">
        <v>66</v>
      </c>
      <c r="AJ281">
        <v>98103</v>
      </c>
      <c r="AS281" t="s">
        <v>786</v>
      </c>
      <c r="AT281">
        <v>19246332</v>
      </c>
      <c r="AU281" s="12">
        <v>39495</v>
      </c>
      <c r="BB281" t="s">
        <v>912</v>
      </c>
      <c r="BC281" s="7">
        <v>39465</v>
      </c>
      <c r="BG281">
        <v>30</v>
      </c>
      <c r="BH281" s="17">
        <f t="shared" ca="1" si="4"/>
        <v>62</v>
      </c>
      <c r="BI281" s="17"/>
      <c r="BJ281" s="17"/>
    </row>
    <row r="282" spans="1:63" hidden="1">
      <c r="A282">
        <v>28008189</v>
      </c>
      <c r="B282" s="2" t="str">
        <f>HYPERLINK("http://www.windermere.com/index.cfm?fuseaction=Listing.ListingDetail&amp;ListingID=19288456","Contingent")</f>
        <v>Contingent</v>
      </c>
      <c r="D282" t="s">
        <v>100</v>
      </c>
      <c r="E282" t="s">
        <v>787</v>
      </c>
      <c r="F282" s="10">
        <v>459000</v>
      </c>
      <c r="G282" t="s">
        <v>132</v>
      </c>
      <c r="H282" s="1">
        <v>1030</v>
      </c>
      <c r="I282">
        <v>4792</v>
      </c>
      <c r="J282">
        <v>2</v>
      </c>
      <c r="K282">
        <v>1</v>
      </c>
      <c r="M282" s="2" t="str">
        <f>HYPERLINK("http://www.windermere.com/index.cfm?fuseaction=Listing.MapPropertyInteractive&amp;ListingID=19288456&amp;resize=true&amp;windowWidth=800&amp;windowHeight=600","Map")</f>
        <v>Map</v>
      </c>
      <c r="O282" s="2" t="str">
        <f>HYPERLINK("http://www.windermere.com/index.cfm?fuseaction=Listing.MultiImageViewer&amp;ListingID=19288456&amp;ln=28008189&amp;pub_mls=1","More")</f>
        <v>More</v>
      </c>
      <c r="P282" t="s">
        <v>44</v>
      </c>
      <c r="AI282" t="s">
        <v>66</v>
      </c>
      <c r="AJ282">
        <v>98107</v>
      </c>
      <c r="AS282" t="s">
        <v>788</v>
      </c>
      <c r="AT282">
        <v>19288456</v>
      </c>
      <c r="AU282" s="12">
        <v>39495</v>
      </c>
      <c r="BB282" t="s">
        <v>912</v>
      </c>
      <c r="BC282" s="7">
        <v>39475</v>
      </c>
      <c r="BG282">
        <v>20</v>
      </c>
      <c r="BH282" s="17">
        <f t="shared" ca="1" si="4"/>
        <v>52</v>
      </c>
      <c r="BI282" s="17"/>
      <c r="BJ282" s="17"/>
      <c r="BK282" t="str">
        <f>B282</f>
        <v>Contingent</v>
      </c>
    </row>
    <row r="283" spans="1:63" hidden="1">
      <c r="A283">
        <v>28027410</v>
      </c>
      <c r="B283" s="15" t="str">
        <f>HYPERLINK("http://www.windermere.com/index.cfm?fuseaction=Listing.ListingDetail&amp;ListingID=19375965","Subject To Inspection")</f>
        <v>Subject To Inspection</v>
      </c>
      <c r="D283" t="s">
        <v>78</v>
      </c>
      <c r="E283" t="s">
        <v>160</v>
      </c>
      <c r="F283" s="10">
        <v>459900</v>
      </c>
      <c r="G283" t="s">
        <v>161</v>
      </c>
      <c r="H283" s="1">
        <v>1950</v>
      </c>
      <c r="I283">
        <v>3880</v>
      </c>
      <c r="J283">
        <v>3</v>
      </c>
      <c r="K283">
        <v>1.75</v>
      </c>
      <c r="M283" s="2" t="str">
        <f>HYPERLINK("http://www.windermere.com/index.cfm?fuseaction=Listing.MapPropertyInteractive&amp;ListingID=19375965&amp;resize=true&amp;windowWidth=800&amp;windowHeight=600","Map")</f>
        <v>Map</v>
      </c>
      <c r="O283" s="2" t="str">
        <f>HYPERLINK("http://www.windermere.com/index.cfm?fuseaction=Listing.MultiImageViewer&amp;ListingID=19375965&amp;ln=28027410&amp;pub_mls=1","More")</f>
        <v>More</v>
      </c>
      <c r="AI283" t="s">
        <v>66</v>
      </c>
      <c r="AJ283">
        <v>98117</v>
      </c>
      <c r="AS283" t="s">
        <v>281</v>
      </c>
      <c r="AT283">
        <v>19375965</v>
      </c>
      <c r="AU283" s="12">
        <v>39495</v>
      </c>
      <c r="BB283" t="s">
        <v>912</v>
      </c>
      <c r="BC283" s="7">
        <v>39493</v>
      </c>
      <c r="BD283">
        <v>3</v>
      </c>
      <c r="BE283" t="s">
        <v>1443</v>
      </c>
      <c r="BF283" t="s">
        <v>1345</v>
      </c>
      <c r="BG283">
        <v>2</v>
      </c>
      <c r="BH283" s="17">
        <f t="shared" ca="1" si="4"/>
        <v>34</v>
      </c>
      <c r="BI283" s="17"/>
      <c r="BJ283" s="17"/>
      <c r="BK283" t="str">
        <f>B283</f>
        <v>Subject To Inspection</v>
      </c>
    </row>
    <row r="284" spans="1:63" hidden="1">
      <c r="A284">
        <v>27194855</v>
      </c>
      <c r="B284" s="2" t="str">
        <f>HYPERLINK("http://www.windermere.com/index.cfm?fuseaction=Listing.ListingDetail&amp;ListingID=18892582","Active")</f>
        <v>Active</v>
      </c>
      <c r="D284" t="s">
        <v>100</v>
      </c>
      <c r="E284" t="s">
        <v>793</v>
      </c>
      <c r="F284" s="18">
        <v>447950</v>
      </c>
      <c r="G284" t="s">
        <v>147</v>
      </c>
      <c r="H284" s="1">
        <v>1683</v>
      </c>
      <c r="J284">
        <v>3</v>
      </c>
      <c r="K284">
        <v>2.25</v>
      </c>
      <c r="M284" s="2" t="str">
        <f>HYPERLINK("http://www.windermere.com/index.cfm?fuseaction=Listing.MapPropertyInteractive&amp;ListingID=18892582&amp;resize=true&amp;windowWidth=800&amp;windowHeight=600","Map")</f>
        <v>Map</v>
      </c>
      <c r="O284" s="2" t="str">
        <f>HYPERLINK("http://www.windermere.com/index.cfm?fuseaction=Listing.MultiImageViewer&amp;ListingID=18892582&amp;ln=27194855&amp;pub_mls=1","More")</f>
        <v>More</v>
      </c>
      <c r="P284" t="s">
        <v>44</v>
      </c>
      <c r="AI284" t="s">
        <v>66</v>
      </c>
      <c r="AJ284">
        <v>98103</v>
      </c>
      <c r="AS284" t="s">
        <v>794</v>
      </c>
      <c r="AT284">
        <v>18892582</v>
      </c>
      <c r="AU284" s="12">
        <v>39495</v>
      </c>
      <c r="BB284" t="s">
        <v>912</v>
      </c>
      <c r="BC284" s="7">
        <v>39386</v>
      </c>
      <c r="BG284">
        <v>109</v>
      </c>
      <c r="BH284" s="17">
        <f t="shared" ca="1" si="4"/>
        <v>141</v>
      </c>
      <c r="BI284" s="17"/>
      <c r="BJ284" s="17"/>
    </row>
    <row r="285" spans="1:63" hidden="1">
      <c r="A285">
        <v>27197546</v>
      </c>
      <c r="B285" s="2" t="str">
        <f>HYPERLINK("http://www.windermere.com/index.cfm?fuseaction=Listing.ListingDetail&amp;ListingID=18918430","Active")</f>
        <v>Active</v>
      </c>
      <c r="D285" t="s">
        <v>63</v>
      </c>
      <c r="E285" t="s">
        <v>791</v>
      </c>
      <c r="F285" s="18">
        <v>409950</v>
      </c>
      <c r="G285" t="s">
        <v>247</v>
      </c>
      <c r="H285" s="1">
        <v>1490</v>
      </c>
      <c r="J285">
        <v>3</v>
      </c>
      <c r="K285">
        <v>2.5</v>
      </c>
      <c r="M285" s="2" t="str">
        <f>HYPERLINK("http://www.windermere.com/index.cfm?fuseaction=Listing.MapPropertyInteractive&amp;ListingID=18918430&amp;resize=true&amp;windowWidth=800&amp;windowHeight=600","Map")</f>
        <v>Map</v>
      </c>
      <c r="O285" s="2" t="str">
        <f>HYPERLINK("http://www.windermere.com/index.cfm?fuseaction=Listing.MultiImageViewer&amp;ListingID=18918430&amp;ln=27197546&amp;pub_mls=1","More")</f>
        <v>More</v>
      </c>
      <c r="P285" t="s">
        <v>44</v>
      </c>
      <c r="AI285" t="s">
        <v>66</v>
      </c>
      <c r="AJ285">
        <v>98107</v>
      </c>
      <c r="AS285" t="s">
        <v>792</v>
      </c>
      <c r="AT285">
        <v>18918430</v>
      </c>
      <c r="AU285" s="12">
        <v>39495</v>
      </c>
      <c r="BB285" t="s">
        <v>912</v>
      </c>
      <c r="BC285" s="7">
        <v>39391</v>
      </c>
      <c r="BG285">
        <v>104</v>
      </c>
      <c r="BH285" s="17">
        <f t="shared" ca="1" si="4"/>
        <v>136</v>
      </c>
      <c r="BI285" s="17"/>
      <c r="BJ285" s="17"/>
    </row>
    <row r="286" spans="1:63" hidden="1">
      <c r="A286">
        <v>28017697</v>
      </c>
      <c r="B286" s="2" t="str">
        <f>HYPERLINK("http://www.windermere.com/index.cfm?fuseaction=Listing.ListingDetail&amp;ListingID=19295722","Active")</f>
        <v>Active</v>
      </c>
      <c r="D286" t="s">
        <v>60</v>
      </c>
      <c r="E286" t="s">
        <v>789</v>
      </c>
      <c r="F286" s="10">
        <v>459950</v>
      </c>
      <c r="G286" t="s">
        <v>236</v>
      </c>
      <c r="H286" s="1">
        <v>1900</v>
      </c>
      <c r="I286">
        <v>5164</v>
      </c>
      <c r="J286">
        <v>4</v>
      </c>
      <c r="K286">
        <v>2</v>
      </c>
      <c r="M286" s="2" t="str">
        <f>HYPERLINK("http://www.windermere.com/index.cfm?fuseaction=Listing.MapPropertyInteractive&amp;ListingID=19295722&amp;resize=true&amp;windowWidth=800&amp;windowHeight=600","Map")</f>
        <v>Map</v>
      </c>
      <c r="O286" s="2" t="str">
        <f>HYPERLINK("http://www.windermere.com/index.cfm?fuseaction=Listing.MultiImageViewer&amp;ListingID=19295722&amp;ln=28017697&amp;pub_mls=1","More")</f>
        <v>More</v>
      </c>
      <c r="P286" t="s">
        <v>44</v>
      </c>
      <c r="AI286" t="s">
        <v>66</v>
      </c>
      <c r="AJ286">
        <v>98103</v>
      </c>
      <c r="AS286" t="s">
        <v>790</v>
      </c>
      <c r="AT286">
        <v>19295722</v>
      </c>
      <c r="AU286" s="12">
        <v>39495</v>
      </c>
      <c r="BB286" t="s">
        <v>912</v>
      </c>
      <c r="BC286" s="7">
        <v>39477</v>
      </c>
      <c r="BG286">
        <v>18</v>
      </c>
      <c r="BH286" s="17">
        <f t="shared" ca="1" si="4"/>
        <v>50</v>
      </c>
      <c r="BI286" s="17"/>
      <c r="BJ286" s="17"/>
    </row>
    <row r="287" spans="1:63" hidden="1">
      <c r="A287">
        <v>28028559</v>
      </c>
      <c r="B287" s="2" t="str">
        <f>HYPERLINK("http://www.windermere.com/index.cfm?fuseaction=Listing.ListingDetail&amp;ListingID=19383016","Active")</f>
        <v>Active</v>
      </c>
      <c r="D287" t="s">
        <v>60</v>
      </c>
      <c r="E287" t="s">
        <v>795</v>
      </c>
      <c r="F287" s="10">
        <v>460000</v>
      </c>
      <c r="G287" t="s">
        <v>796</v>
      </c>
      <c r="J287">
        <v>3</v>
      </c>
      <c r="K287">
        <v>2.5</v>
      </c>
      <c r="M287" s="2" t="str">
        <f>HYPERLINK("http://www.windermere.com/index.cfm?fuseaction=Listing.MapPropertyInteractive&amp;ListingID=19383016&amp;resize=true&amp;windowWidth=800&amp;windowHeight=600","Map")</f>
        <v>Map</v>
      </c>
      <c r="O287" s="2" t="str">
        <f>HYPERLINK("http://www.windermere.com/index.cfm?fuseaction=Listing.MultiImageViewer&amp;ListingID=19383016&amp;ln=28028559&amp;pub_mls=1","More")</f>
        <v>More</v>
      </c>
      <c r="P287" t="s">
        <v>44</v>
      </c>
      <c r="AI287" t="s">
        <v>66</v>
      </c>
      <c r="AJ287">
        <v>98103</v>
      </c>
      <c r="AS287" t="s">
        <v>797</v>
      </c>
      <c r="AT287">
        <v>19383016</v>
      </c>
      <c r="AU287" s="12">
        <v>39495</v>
      </c>
      <c r="BB287" t="s">
        <v>912</v>
      </c>
      <c r="BC287" s="7">
        <v>39494</v>
      </c>
      <c r="BG287">
        <v>1</v>
      </c>
      <c r="BH287" s="17">
        <f t="shared" ca="1" si="4"/>
        <v>33</v>
      </c>
      <c r="BI287" s="17"/>
      <c r="BJ287" s="17"/>
    </row>
    <row r="288" spans="1:63" hidden="1">
      <c r="A288">
        <v>28026521</v>
      </c>
      <c r="B288" s="15" t="str">
        <f>HYPERLINK("http://www.windermere.com/index.cfm?fuseaction=Listing.ListingDetail&amp;ListingID=19365702","Subject To Inspection")</f>
        <v>Subject To Inspection</v>
      </c>
      <c r="D288" t="s">
        <v>109</v>
      </c>
      <c r="E288" t="s">
        <v>798</v>
      </c>
      <c r="F288" s="10">
        <v>464950</v>
      </c>
      <c r="G288" t="s">
        <v>247</v>
      </c>
      <c r="J288">
        <v>3</v>
      </c>
      <c r="K288">
        <v>2.5</v>
      </c>
      <c r="M288" s="2" t="str">
        <f>HYPERLINK("http://www.windermere.com/index.cfm?fuseaction=Listing.MapPropertyInteractive&amp;ListingID=19365702&amp;resize=true&amp;windowWidth=800&amp;windowHeight=600","Map")</f>
        <v>Map</v>
      </c>
      <c r="O288" s="2" t="str">
        <f>HYPERLINK("http://www.windermere.com/index.cfm?fuseaction=viewGallery.Home&amp;customTourID=207552&amp;wvt=0","More")</f>
        <v>More</v>
      </c>
      <c r="P288" t="s">
        <v>44</v>
      </c>
      <c r="AI288" t="s">
        <v>66</v>
      </c>
      <c r="AJ288">
        <v>98103</v>
      </c>
      <c r="AS288" t="s">
        <v>799</v>
      </c>
      <c r="AT288">
        <v>19365702</v>
      </c>
      <c r="AU288" s="12">
        <v>39495</v>
      </c>
      <c r="BB288" t="s">
        <v>912</v>
      </c>
      <c r="BC288" s="7">
        <v>39491</v>
      </c>
      <c r="BG288">
        <v>4</v>
      </c>
      <c r="BH288" s="17">
        <f t="shared" ca="1" si="4"/>
        <v>36</v>
      </c>
      <c r="BI288" s="17"/>
      <c r="BJ288" s="17"/>
    </row>
    <row r="289" spans="1:63" hidden="1">
      <c r="A289">
        <v>27124334</v>
      </c>
      <c r="B289" s="2" t="str">
        <f>HYPERLINK("http://www.windermere.com/index.cfm?fuseaction=Listing.ListingDetail&amp;ListingID=18293706","Active")</f>
        <v>Active</v>
      </c>
      <c r="D289" t="s">
        <v>194</v>
      </c>
      <c r="E289" t="s">
        <v>1145</v>
      </c>
      <c r="F289" s="10">
        <v>465000</v>
      </c>
      <c r="G289" t="s">
        <v>674</v>
      </c>
      <c r="H289" s="1">
        <v>1570</v>
      </c>
      <c r="J289">
        <v>3</v>
      </c>
      <c r="K289">
        <v>2.5</v>
      </c>
      <c r="M289" s="2" t="str">
        <f>HYPERLINK("http://www.windermere.com/index.cfm?fuseaction=Listing.MapPropertyInteractive&amp;ListingID=18293706&amp;resize=true&amp;windowWidth=800&amp;windowHeight=600","Map")</f>
        <v>Map</v>
      </c>
      <c r="O289" s="2" t="str">
        <f>HYPERLINK("http://www.windermere.com/index.cfm?fuseaction=viewGallery.Home&amp;customTourID=185883&amp;wvt=0","More")</f>
        <v>More</v>
      </c>
      <c r="AI289" t="s">
        <v>66</v>
      </c>
      <c r="AJ289">
        <v>98115</v>
      </c>
      <c r="AS289" t="s">
        <v>1146</v>
      </c>
      <c r="AT289">
        <v>18293706</v>
      </c>
      <c r="AU289" s="12">
        <v>39495</v>
      </c>
      <c r="BB289" t="s">
        <v>912</v>
      </c>
      <c r="BC289" s="7">
        <v>39277</v>
      </c>
      <c r="BD289">
        <v>1</v>
      </c>
      <c r="BE289" s="6" t="s">
        <v>1316</v>
      </c>
      <c r="BG289">
        <v>218</v>
      </c>
      <c r="BH289" s="17">
        <f t="shared" ca="1" si="4"/>
        <v>250</v>
      </c>
      <c r="BI289" s="17"/>
      <c r="BJ289" s="17"/>
    </row>
    <row r="290" spans="1:63" hidden="1">
      <c r="A290">
        <v>27190700</v>
      </c>
      <c r="B290" s="2" t="str">
        <f>HYPERLINK("http://www.windermere.com/index.cfm?fuseaction=Listing.ListingDetail&amp;ListingID=19298354","Active")</f>
        <v>Active</v>
      </c>
      <c r="D290" t="s">
        <v>109</v>
      </c>
      <c r="E290" t="s">
        <v>800</v>
      </c>
      <c r="F290" s="10">
        <v>465000</v>
      </c>
      <c r="G290" t="s">
        <v>180</v>
      </c>
      <c r="I290">
        <v>4465</v>
      </c>
      <c r="J290">
        <v>4</v>
      </c>
      <c r="K290">
        <v>1.75</v>
      </c>
      <c r="M290" s="2" t="str">
        <f>HYPERLINK("http://www.windermere.com/index.cfm?fuseaction=Listing.MapPropertyInteractive&amp;ListingID=19298354&amp;resize=true&amp;windowWidth=800&amp;windowHeight=600","Map")</f>
        <v>Map</v>
      </c>
      <c r="O290" s="2" t="str">
        <f>HYPERLINK("http://www.windermere.com/index.cfm?fuseaction=Listing.MultiImageViewer&amp;ListingID=19298354&amp;ln=27190700&amp;pub_mls=1","More")</f>
        <v>More</v>
      </c>
      <c r="P290" t="s">
        <v>44</v>
      </c>
      <c r="AI290" t="s">
        <v>66</v>
      </c>
      <c r="AJ290">
        <v>98105</v>
      </c>
      <c r="AS290" t="s">
        <v>801</v>
      </c>
      <c r="AT290">
        <v>19298354</v>
      </c>
      <c r="AU290" s="12">
        <v>39495</v>
      </c>
      <c r="BB290" t="s">
        <v>912</v>
      </c>
      <c r="BC290" s="7">
        <v>39378</v>
      </c>
      <c r="BG290">
        <v>117</v>
      </c>
      <c r="BH290" s="17">
        <f t="shared" ca="1" si="4"/>
        <v>149</v>
      </c>
      <c r="BI290" s="17"/>
      <c r="BJ290" s="17"/>
    </row>
    <row r="291" spans="1:63" hidden="1">
      <c r="A291">
        <v>27192222</v>
      </c>
      <c r="B291" s="2" t="str">
        <f>HYPERLINK("http://www.windermere.com/index.cfm?fuseaction=Listing.ListingDetail&amp;ListingID=18867060","Active")</f>
        <v>Active</v>
      </c>
      <c r="D291" t="s">
        <v>60</v>
      </c>
      <c r="E291" t="s">
        <v>165</v>
      </c>
      <c r="F291" s="13">
        <v>459000</v>
      </c>
      <c r="G291" t="s">
        <v>154</v>
      </c>
      <c r="H291" s="1">
        <v>1860</v>
      </c>
      <c r="I291">
        <v>4080</v>
      </c>
      <c r="J291">
        <v>3</v>
      </c>
      <c r="K291">
        <v>1</v>
      </c>
      <c r="M291" s="2" t="str">
        <f>HYPERLINK("http://www.windermere.com/index.cfm?fuseaction=Listing.MapPropertyInteractive&amp;ListingID=18867060&amp;resize=true&amp;windowWidth=800&amp;windowHeight=600","Map")</f>
        <v>Map</v>
      </c>
      <c r="O291" s="2" t="str">
        <f>HYPERLINK("http://www.windermere.com/index.cfm?fuseaction=Listing.MultiImageViewer&amp;ListingID=18867060&amp;ln=27192222&amp;pub_mls=1","More")</f>
        <v>More</v>
      </c>
      <c r="P291" t="s">
        <v>44</v>
      </c>
      <c r="AI291" t="s">
        <v>66</v>
      </c>
      <c r="AJ291">
        <v>98103</v>
      </c>
      <c r="AS291" t="s">
        <v>802</v>
      </c>
      <c r="AT291">
        <v>18867060</v>
      </c>
      <c r="AU291" s="12">
        <v>39495</v>
      </c>
      <c r="BB291" t="s">
        <v>912</v>
      </c>
      <c r="BC291" s="7">
        <v>39380</v>
      </c>
      <c r="BG291">
        <v>115</v>
      </c>
      <c r="BH291" s="17">
        <f t="shared" ca="1" si="4"/>
        <v>147</v>
      </c>
      <c r="BI291" s="17"/>
      <c r="BJ291" s="17"/>
    </row>
    <row r="292" spans="1:63" hidden="1">
      <c r="A292">
        <v>27198830</v>
      </c>
      <c r="B292" s="2" t="str">
        <f>HYPERLINK("http://www.windermere.com/index.cfm?fuseaction=Listing.ListingDetail&amp;ListingID=18930083","Active")</f>
        <v>Active</v>
      </c>
      <c r="D292" t="s">
        <v>63</v>
      </c>
      <c r="E292" t="s">
        <v>803</v>
      </c>
      <c r="F292" s="10">
        <v>465000</v>
      </c>
      <c r="G292" t="s">
        <v>170</v>
      </c>
      <c r="H292" s="1">
        <v>1950</v>
      </c>
      <c r="I292">
        <v>3844</v>
      </c>
      <c r="J292">
        <v>4</v>
      </c>
      <c r="K292">
        <v>1.75</v>
      </c>
      <c r="M292" s="2" t="str">
        <f>HYPERLINK("http://www.windermere.com/index.cfm?fuseaction=Listing.MapPropertyInteractive&amp;ListingID=18930083&amp;resize=true&amp;windowWidth=800&amp;windowHeight=600","Map")</f>
        <v>Map</v>
      </c>
      <c r="O292" s="2" t="str">
        <f>HYPERLINK("http://www.windermere.com/index.cfm?fuseaction=Listing.MultiImageViewer&amp;ListingID=18930083&amp;ln=27198830&amp;pub_mls=1","More")</f>
        <v>More</v>
      </c>
      <c r="AI292" t="s">
        <v>66</v>
      </c>
      <c r="AJ292">
        <v>98133</v>
      </c>
      <c r="AS292" t="s">
        <v>804</v>
      </c>
      <c r="AT292">
        <v>18930083</v>
      </c>
      <c r="AU292" s="12">
        <v>39495</v>
      </c>
      <c r="BB292" t="s">
        <v>912</v>
      </c>
      <c r="BC292" s="7">
        <v>39393</v>
      </c>
      <c r="BG292">
        <v>102</v>
      </c>
      <c r="BH292" s="17">
        <f t="shared" ca="1" si="4"/>
        <v>134</v>
      </c>
      <c r="BI292" s="17"/>
      <c r="BJ292" s="17"/>
    </row>
    <row r="293" spans="1:63" hidden="1">
      <c r="A293">
        <v>28011759</v>
      </c>
      <c r="B293" s="2" t="str">
        <f>HYPERLINK("http://www.windermere.com/index.cfm?fuseaction=Listing.ListingDetail&amp;ListingID=19247940","Active")</f>
        <v>Active</v>
      </c>
      <c r="D293" t="s">
        <v>70</v>
      </c>
      <c r="E293" t="s">
        <v>806</v>
      </c>
      <c r="F293" s="10">
        <v>465000</v>
      </c>
      <c r="G293" t="s">
        <v>164</v>
      </c>
      <c r="H293" s="1">
        <v>2120</v>
      </c>
      <c r="I293">
        <v>4000</v>
      </c>
      <c r="J293">
        <v>3</v>
      </c>
      <c r="K293">
        <v>1.75</v>
      </c>
      <c r="M293" s="2" t="str">
        <f>HYPERLINK("http://www.windermere.com/index.cfm?fuseaction=Listing.MapPropertyInteractive&amp;ListingID=19247940&amp;resize=true&amp;windowWidth=800&amp;windowHeight=600","Map")</f>
        <v>Map</v>
      </c>
      <c r="O293" s="2" t="str">
        <f>HYPERLINK("http://www.windermere.com/index.cfm?fuseaction=Listing.MultiImageViewer&amp;ListingID=19247940&amp;ln=28011759&amp;pub_mls=1","More")</f>
        <v>More</v>
      </c>
      <c r="P293" t="s">
        <v>44</v>
      </c>
      <c r="AI293" t="s">
        <v>66</v>
      </c>
      <c r="AJ293">
        <v>98133</v>
      </c>
      <c r="AS293" t="s">
        <v>807</v>
      </c>
      <c r="AT293">
        <v>19247940</v>
      </c>
      <c r="AU293" s="12">
        <v>39495</v>
      </c>
      <c r="BB293" t="s">
        <v>912</v>
      </c>
      <c r="BC293" s="7">
        <v>39465</v>
      </c>
      <c r="BG293">
        <v>30</v>
      </c>
      <c r="BH293" s="17">
        <f t="shared" ca="1" si="4"/>
        <v>62</v>
      </c>
      <c r="BI293" s="17"/>
      <c r="BJ293" s="17"/>
    </row>
    <row r="294" spans="1:63" hidden="1">
      <c r="A294">
        <v>28015172</v>
      </c>
      <c r="B294" s="2" t="str">
        <f>HYPERLINK("http://www.windermere.com/index.cfm?fuseaction=Listing.ListingDetail&amp;ListingID=19278049","Active")</f>
        <v>Active</v>
      </c>
      <c r="D294" t="s">
        <v>70</v>
      </c>
      <c r="E294" t="s">
        <v>155</v>
      </c>
      <c r="F294" s="10">
        <v>465000</v>
      </c>
      <c r="G294" t="s">
        <v>156</v>
      </c>
      <c r="H294" s="1">
        <v>2280</v>
      </c>
      <c r="I294">
        <v>7020</v>
      </c>
      <c r="J294">
        <v>3</v>
      </c>
      <c r="K294">
        <v>2.5</v>
      </c>
      <c r="M294" s="2" t="str">
        <f>HYPERLINK("http://www.windermere.com/index.cfm?fuseaction=Listing.MapPropertyInteractive&amp;ListingID=19278049&amp;resize=true&amp;windowWidth=800&amp;windowHeight=600","Map")</f>
        <v>Map</v>
      </c>
      <c r="O294" s="2" t="str">
        <f>HYPERLINK("http://www.windermere.com/index.cfm?fuseaction=Listing.MultiImageViewer&amp;ListingID=19278049&amp;ln=28015172&amp;pub_mls=1","More")</f>
        <v>More</v>
      </c>
      <c r="P294" t="s">
        <v>44</v>
      </c>
      <c r="AI294" t="s">
        <v>66</v>
      </c>
      <c r="AJ294">
        <v>98177</v>
      </c>
      <c r="AS294" t="s">
        <v>805</v>
      </c>
      <c r="AT294">
        <v>19278049</v>
      </c>
      <c r="AU294" s="12">
        <v>39495</v>
      </c>
      <c r="BB294" t="s">
        <v>912</v>
      </c>
      <c r="BC294" s="7">
        <v>39472</v>
      </c>
      <c r="BG294">
        <v>23</v>
      </c>
      <c r="BH294" s="17">
        <f t="shared" ca="1" si="4"/>
        <v>55</v>
      </c>
      <c r="BI294" s="17"/>
      <c r="BJ294" s="17"/>
    </row>
    <row r="295" spans="1:63" hidden="1">
      <c r="A295">
        <v>27210470</v>
      </c>
      <c r="B295" s="2" t="str">
        <f>HYPERLINK("http://www.windermere.com/index.cfm?fuseaction=Listing.ListingDetail&amp;ListingID=19064728","Active")</f>
        <v>Active</v>
      </c>
      <c r="D295" t="s">
        <v>109</v>
      </c>
      <c r="E295" t="s">
        <v>816</v>
      </c>
      <c r="F295" s="18">
        <v>449950</v>
      </c>
      <c r="G295" t="s">
        <v>147</v>
      </c>
      <c r="H295" s="1">
        <v>1357</v>
      </c>
      <c r="J295">
        <v>3</v>
      </c>
      <c r="K295">
        <v>2.25</v>
      </c>
      <c r="M295" s="2" t="str">
        <f>HYPERLINK("http://www.windermere.com/index.cfm?fuseaction=Listing.MapPropertyInteractive&amp;ListingID=19064728&amp;resize=true&amp;windowWidth=800&amp;windowHeight=600","Map")</f>
        <v>Map</v>
      </c>
      <c r="O295" s="2" t="str">
        <f>HYPERLINK("http://www.windermere.com/index.cfm?fuseaction=Listing.MultiImageViewer&amp;ListingID=19064728&amp;ln=27210470&amp;pub_mls=1","More")</f>
        <v>More</v>
      </c>
      <c r="AI295" t="s">
        <v>66</v>
      </c>
      <c r="AJ295">
        <v>98103</v>
      </c>
      <c r="AS295" t="s">
        <v>817</v>
      </c>
      <c r="AT295">
        <v>19064728</v>
      </c>
      <c r="AU295" s="12">
        <v>39495</v>
      </c>
      <c r="BB295" t="s">
        <v>912</v>
      </c>
      <c r="BC295" s="7">
        <v>39423</v>
      </c>
      <c r="BG295">
        <v>72</v>
      </c>
      <c r="BH295" s="17">
        <f t="shared" ca="1" si="4"/>
        <v>104</v>
      </c>
      <c r="BI295" s="17"/>
      <c r="BJ295" s="17"/>
    </row>
    <row r="296" spans="1:63" hidden="1">
      <c r="A296">
        <v>28011932</v>
      </c>
      <c r="B296" s="2" t="str">
        <f>HYPERLINK("http://www.windermere.com/index.cfm?fuseaction=Listing.ListingDetail&amp;ListingID=19248438","Active")</f>
        <v>Active</v>
      </c>
      <c r="D296" t="s">
        <v>63</v>
      </c>
      <c r="E296" t="s">
        <v>810</v>
      </c>
      <c r="F296" s="13">
        <v>449000</v>
      </c>
      <c r="G296" t="s">
        <v>147</v>
      </c>
      <c r="H296" s="1">
        <v>1391</v>
      </c>
      <c r="J296">
        <v>2</v>
      </c>
      <c r="K296">
        <v>1.5</v>
      </c>
      <c r="M296" s="2" t="str">
        <f>HYPERLINK("http://www.windermere.com/index.cfm?fuseaction=Listing.MapPropertyInteractive&amp;ListingID=19248438&amp;resize=true&amp;windowWidth=800&amp;windowHeight=600","Map")</f>
        <v>Map</v>
      </c>
      <c r="O296" s="2" t="str">
        <f>HYPERLINK("http://www.windermere.com/index.cfm?fuseaction=Listing.MultiImageViewer&amp;ListingID=19248438&amp;ln=28011932&amp;pub_mls=1","More")</f>
        <v>More</v>
      </c>
      <c r="P296" t="s">
        <v>44</v>
      </c>
      <c r="AI296" t="s">
        <v>66</v>
      </c>
      <c r="AJ296">
        <v>98107</v>
      </c>
      <c r="AS296" t="s">
        <v>811</v>
      </c>
      <c r="AT296">
        <v>19248438</v>
      </c>
      <c r="AU296" s="12">
        <v>39495</v>
      </c>
      <c r="BB296" t="s">
        <v>912</v>
      </c>
      <c r="BC296" s="7">
        <v>39465</v>
      </c>
      <c r="BG296">
        <v>30</v>
      </c>
      <c r="BH296" s="17">
        <f t="shared" ca="1" si="4"/>
        <v>62</v>
      </c>
      <c r="BI296" s="17"/>
      <c r="BJ296" s="17"/>
    </row>
    <row r="297" spans="1:63" hidden="1">
      <c r="A297">
        <v>28011933</v>
      </c>
      <c r="B297" s="2" t="str">
        <f>HYPERLINK("http://www.windermere.com/index.cfm?fuseaction=Listing.ListingDetail&amp;ListingID=19248441","Active")</f>
        <v>Active</v>
      </c>
      <c r="D297" t="s">
        <v>63</v>
      </c>
      <c r="E297" t="s">
        <v>808</v>
      </c>
      <c r="F297" s="13">
        <v>449000</v>
      </c>
      <c r="G297" t="s">
        <v>147</v>
      </c>
      <c r="H297" s="1">
        <v>1391</v>
      </c>
      <c r="J297">
        <v>2</v>
      </c>
      <c r="K297">
        <v>1.5</v>
      </c>
      <c r="M297" s="2" t="str">
        <f>HYPERLINK("http://www.windermere.com/index.cfm?fuseaction=Listing.MapPropertyInteractive&amp;ListingID=19248441&amp;resize=true&amp;windowWidth=800&amp;windowHeight=600","Map")</f>
        <v>Map</v>
      </c>
      <c r="O297" s="2" t="str">
        <f>HYPERLINK("http://www.windermere.com/index.cfm?fuseaction=Listing.MultiImageViewer&amp;ListingID=19248441&amp;ln=28011933&amp;pub_mls=1","More")</f>
        <v>More</v>
      </c>
      <c r="P297" t="s">
        <v>44</v>
      </c>
      <c r="AI297" t="s">
        <v>66</v>
      </c>
      <c r="AJ297">
        <v>98107</v>
      </c>
      <c r="AS297" t="s">
        <v>809</v>
      </c>
      <c r="AT297">
        <v>19248441</v>
      </c>
      <c r="AU297" s="12">
        <v>39495</v>
      </c>
      <c r="BB297" t="s">
        <v>912</v>
      </c>
      <c r="BC297" s="7">
        <v>39465</v>
      </c>
      <c r="BG297">
        <v>30</v>
      </c>
      <c r="BH297" s="17">
        <f t="shared" ca="1" si="4"/>
        <v>62</v>
      </c>
      <c r="BI297" s="17"/>
      <c r="BJ297" s="17"/>
    </row>
    <row r="298" spans="1:63" hidden="1">
      <c r="A298">
        <v>28011938</v>
      </c>
      <c r="B298" s="2" t="str">
        <f>HYPERLINK("http://www.windermere.com/index.cfm?fuseaction=Listing.ListingDetail&amp;ListingID=19248416","Active")</f>
        <v>Active</v>
      </c>
      <c r="D298" t="s">
        <v>63</v>
      </c>
      <c r="E298" t="s">
        <v>812</v>
      </c>
      <c r="F298" s="13">
        <v>449000</v>
      </c>
      <c r="G298" t="s">
        <v>147</v>
      </c>
      <c r="H298" s="1">
        <v>1391</v>
      </c>
      <c r="J298">
        <v>2</v>
      </c>
      <c r="K298">
        <v>1.5</v>
      </c>
      <c r="M298" s="2" t="str">
        <f>HYPERLINK("http://www.windermere.com/index.cfm?fuseaction=Listing.MapPropertyInteractive&amp;ListingID=19248416&amp;resize=true&amp;windowWidth=800&amp;windowHeight=600","Map")</f>
        <v>Map</v>
      </c>
      <c r="O298" s="2" t="str">
        <f>HYPERLINK("http://www.windermere.com/index.cfm?fuseaction=Listing.MultiImageViewer&amp;ListingID=19248416&amp;ln=28011938&amp;pub_mls=1","More")</f>
        <v>More</v>
      </c>
      <c r="P298" t="s">
        <v>44</v>
      </c>
      <c r="AI298" t="s">
        <v>66</v>
      </c>
      <c r="AJ298">
        <v>98107</v>
      </c>
      <c r="AS298" t="s">
        <v>813</v>
      </c>
      <c r="AT298">
        <v>19248416</v>
      </c>
      <c r="AU298" s="12">
        <v>39495</v>
      </c>
      <c r="BB298" t="s">
        <v>912</v>
      </c>
      <c r="BC298" s="7">
        <v>39465</v>
      </c>
      <c r="BG298">
        <v>30</v>
      </c>
      <c r="BH298" s="17">
        <f t="shared" ca="1" si="4"/>
        <v>62</v>
      </c>
      <c r="BI298" s="17"/>
      <c r="BJ298" s="17"/>
    </row>
    <row r="299" spans="1:63" hidden="1">
      <c r="A299">
        <v>28011942</v>
      </c>
      <c r="B299" s="2" t="str">
        <f>HYPERLINK("http://www.windermere.com/index.cfm?fuseaction=Listing.ListingDetail&amp;ListingID=19248425","Active")</f>
        <v>Active</v>
      </c>
      <c r="D299" t="s">
        <v>63</v>
      </c>
      <c r="E299" t="s">
        <v>814</v>
      </c>
      <c r="F299" s="13">
        <v>449000</v>
      </c>
      <c r="G299" t="s">
        <v>147</v>
      </c>
      <c r="H299" s="1">
        <v>1391</v>
      </c>
      <c r="J299">
        <v>2</v>
      </c>
      <c r="K299">
        <v>1.5</v>
      </c>
      <c r="M299" s="2" t="str">
        <f>HYPERLINK("http://www.windermere.com/index.cfm?fuseaction=Listing.MapPropertyInteractive&amp;ListingID=19248425&amp;resize=true&amp;windowWidth=800&amp;windowHeight=600","Map")</f>
        <v>Map</v>
      </c>
      <c r="O299" s="2" t="str">
        <f>HYPERLINK("http://www.windermere.com/index.cfm?fuseaction=Listing.MultiImageViewer&amp;ListingID=19248425&amp;ln=28011942&amp;pub_mls=1","More")</f>
        <v>More</v>
      </c>
      <c r="P299" t="s">
        <v>44</v>
      </c>
      <c r="AI299" t="s">
        <v>66</v>
      </c>
      <c r="AJ299">
        <v>98107</v>
      </c>
      <c r="AS299" t="s">
        <v>815</v>
      </c>
      <c r="AT299">
        <v>19248425</v>
      </c>
      <c r="AU299" s="12">
        <v>39495</v>
      </c>
      <c r="BB299" t="s">
        <v>912</v>
      </c>
      <c r="BC299" s="7">
        <v>39465</v>
      </c>
      <c r="BG299">
        <v>30</v>
      </c>
      <c r="BH299" s="17">
        <f t="shared" ca="1" si="4"/>
        <v>62</v>
      </c>
      <c r="BI299" s="17"/>
      <c r="BJ299" s="17"/>
    </row>
    <row r="300" spans="1:63" hidden="1">
      <c r="A300">
        <v>28010106</v>
      </c>
      <c r="B300" s="2" t="str">
        <f>HYPERLINK("http://www.windermere.com/index.cfm?fuseaction=Listing.ListingDetail&amp;ListingID=19241094","Active")</f>
        <v>Active</v>
      </c>
      <c r="D300" t="s">
        <v>194</v>
      </c>
      <c r="E300" t="s">
        <v>1147</v>
      </c>
      <c r="F300" s="10">
        <v>469950</v>
      </c>
      <c r="G300" t="s">
        <v>124</v>
      </c>
      <c r="H300" s="1">
        <v>1760</v>
      </c>
      <c r="I300">
        <v>6660</v>
      </c>
      <c r="J300">
        <v>2</v>
      </c>
      <c r="K300">
        <v>1</v>
      </c>
      <c r="M300" s="2" t="str">
        <f>HYPERLINK("http://www.windermere.com/index.cfm?fuseaction=Listing.MapPropertyInteractive&amp;ListingID=19241094&amp;resize=true&amp;windowWidth=800&amp;windowHeight=600","Map")</f>
        <v>Map</v>
      </c>
      <c r="O300" s="2" t="str">
        <f>HYPERLINK("http://www.windermere.com/index.cfm?fuseaction=viewGallery.Home&amp;customTourID=204488&amp;wvt=0","More")</f>
        <v>More</v>
      </c>
      <c r="P300" t="s">
        <v>44</v>
      </c>
      <c r="AI300" t="s">
        <v>66</v>
      </c>
      <c r="AJ300">
        <v>98115</v>
      </c>
      <c r="AS300" t="s">
        <v>1148</v>
      </c>
      <c r="AT300">
        <v>19241094</v>
      </c>
      <c r="AU300" s="12">
        <v>39495</v>
      </c>
      <c r="BB300" t="s">
        <v>912</v>
      </c>
      <c r="BC300" s="7">
        <v>77068</v>
      </c>
      <c r="BG300">
        <v>0</v>
      </c>
      <c r="BH300" s="17">
        <f t="shared" ca="1" si="4"/>
        <v>-37541</v>
      </c>
      <c r="BI300" s="17"/>
      <c r="BJ300" s="17"/>
    </row>
    <row r="301" spans="1:63" hidden="1">
      <c r="A301">
        <v>28017596</v>
      </c>
      <c r="B301" s="2" t="str">
        <f>HYPERLINK("http://www.windermere.com/index.cfm?fuseaction=Listing.ListingDetail&amp;ListingID=19309006","Active")</f>
        <v>Active</v>
      </c>
      <c r="D301" t="s">
        <v>63</v>
      </c>
      <c r="E301" t="s">
        <v>821</v>
      </c>
      <c r="F301" s="10">
        <v>469950</v>
      </c>
      <c r="G301" t="s">
        <v>247</v>
      </c>
      <c r="H301" s="1">
        <v>1530</v>
      </c>
      <c r="J301">
        <v>3</v>
      </c>
      <c r="K301">
        <v>2.25</v>
      </c>
      <c r="M301" s="2" t="str">
        <f>HYPERLINK("http://www.windermere.com/index.cfm?fuseaction=Listing.MapPropertyInteractive&amp;ListingID=19309006&amp;resize=true&amp;windowWidth=800&amp;windowHeight=600","Map")</f>
        <v>Map</v>
      </c>
      <c r="P301" t="s">
        <v>44</v>
      </c>
      <c r="AI301" t="s">
        <v>66</v>
      </c>
      <c r="AJ301">
        <v>98107</v>
      </c>
      <c r="AS301" t="s">
        <v>822</v>
      </c>
      <c r="AT301">
        <v>19309006</v>
      </c>
      <c r="AU301" s="12">
        <v>39495</v>
      </c>
      <c r="BB301" t="s">
        <v>912</v>
      </c>
      <c r="BC301" s="7">
        <v>39479</v>
      </c>
      <c r="BG301">
        <v>16</v>
      </c>
      <c r="BH301" s="17">
        <f t="shared" ca="1" si="4"/>
        <v>48</v>
      </c>
      <c r="BI301" s="17"/>
      <c r="BJ301" s="17"/>
    </row>
    <row r="302" spans="1:63" hidden="1">
      <c r="A302">
        <v>28020826</v>
      </c>
      <c r="B302" s="2" t="str">
        <f>HYPERLINK("http://www.windermere.com/index.cfm?fuseaction=Listing.ListingDetail&amp;ListingID=19320889","Subject To Inspection")</f>
        <v>Subject To Inspection</v>
      </c>
      <c r="C302">
        <v>705</v>
      </c>
      <c r="D302" t="s">
        <v>63</v>
      </c>
      <c r="E302" t="s">
        <v>239</v>
      </c>
      <c r="F302" s="10">
        <v>469950</v>
      </c>
      <c r="G302" t="s">
        <v>240</v>
      </c>
      <c r="H302" s="1">
        <v>2380</v>
      </c>
      <c r="I302">
        <v>3960</v>
      </c>
      <c r="J302">
        <v>4</v>
      </c>
      <c r="K302">
        <v>2</v>
      </c>
      <c r="L302">
        <v>2</v>
      </c>
      <c r="M302" s="2" t="str">
        <f>HYPERLINK("http://www.windermere.com/index.cfm?fuseaction=Listing.MapPropertyInteractive&amp;ListingID=19320889&amp;resize=true&amp;windowWidth=800&amp;windowHeight=600","Map")</f>
        <v>Map</v>
      </c>
      <c r="N302" s="2" t="str">
        <f>HYPERLINK("http://locmedia.nwmls.com/DO_NOT_LINK/bigphoto/826/28020826.jpg?tsp=20080205093513","Photo")</f>
        <v>Photo</v>
      </c>
      <c r="O302" s="2" t="str">
        <f>HYPERLINK("http://www.windermere.com/index.cfm?fuseaction=viewGallery.Home&amp;customTourID=206388&amp;wvt=0","More")</f>
        <v>More</v>
      </c>
      <c r="Q302" t="s">
        <v>56</v>
      </c>
      <c r="R302" t="s">
        <v>72</v>
      </c>
      <c r="S302" t="s">
        <v>84</v>
      </c>
      <c r="T302" t="s">
        <v>77</v>
      </c>
      <c r="U302" t="s">
        <v>44</v>
      </c>
      <c r="X302" t="s">
        <v>47</v>
      </c>
      <c r="Y302" t="s">
        <v>48</v>
      </c>
      <c r="Z302" t="s">
        <v>98</v>
      </c>
      <c r="AA302" t="s">
        <v>1008</v>
      </c>
      <c r="AB302">
        <v>2007</v>
      </c>
      <c r="AC302">
        <v>3531</v>
      </c>
      <c r="AD302" t="s">
        <v>1009</v>
      </c>
      <c r="AE302" t="s">
        <v>112</v>
      </c>
      <c r="AF302" t="s">
        <v>114</v>
      </c>
      <c r="AG302">
        <v>47.690109</v>
      </c>
      <c r="AH302">
        <v>-122.389808</v>
      </c>
      <c r="AI302" t="s">
        <v>66</v>
      </c>
      <c r="AJ302">
        <v>98117</v>
      </c>
      <c r="AK302" t="s">
        <v>41</v>
      </c>
      <c r="AL302">
        <v>23</v>
      </c>
      <c r="AM302" t="s">
        <v>40</v>
      </c>
      <c r="AO302">
        <v>9.0999999999999998E-2</v>
      </c>
      <c r="AP302" t="s">
        <v>1010</v>
      </c>
      <c r="AQ302">
        <v>534</v>
      </c>
      <c r="AR302" t="s">
        <v>89</v>
      </c>
      <c r="AS302" t="s">
        <v>280</v>
      </c>
      <c r="AT302">
        <v>19320889</v>
      </c>
      <c r="AU302" s="12">
        <v>39495</v>
      </c>
      <c r="BA302" t="s">
        <v>912</v>
      </c>
      <c r="BB302" t="s">
        <v>912</v>
      </c>
      <c r="BC302" s="7">
        <v>39482</v>
      </c>
      <c r="BG302">
        <v>13</v>
      </c>
      <c r="BH302" s="17">
        <f t="shared" ca="1" si="4"/>
        <v>45</v>
      </c>
      <c r="BI302" s="17"/>
      <c r="BJ302" s="17"/>
      <c r="BK302" t="str">
        <f>B302</f>
        <v>Subject To Inspection</v>
      </c>
    </row>
    <row r="303" spans="1:63" hidden="1">
      <c r="A303">
        <v>28022230</v>
      </c>
      <c r="B303" s="2" t="str">
        <f>HYPERLINK("http://www.windermere.com/index.cfm?fuseaction=Listing.ListingDetail&amp;ListingID=19353991","Active")</f>
        <v>Active</v>
      </c>
      <c r="D303" t="s">
        <v>63</v>
      </c>
      <c r="E303" t="s">
        <v>818</v>
      </c>
      <c r="F303" s="10">
        <v>469950</v>
      </c>
      <c r="G303" t="s">
        <v>128</v>
      </c>
      <c r="J303">
        <v>3</v>
      </c>
      <c r="K303">
        <v>3.25</v>
      </c>
      <c r="M303" s="2" t="str">
        <f>HYPERLINK("http://www.windermere.com/index.cfm?fuseaction=Listing.MapPropertyInteractive&amp;ListingID=19353991&amp;resize=true&amp;windowWidth=800&amp;windowHeight=600","Map")</f>
        <v>Map</v>
      </c>
      <c r="O303" s="2" t="str">
        <f>HYPERLINK("http://www.windermere.com/index.cfm?fuseaction=Listing.MultiImageViewer&amp;ListingID=19353991&amp;ln=28022230&amp;pub_mls=1","More")</f>
        <v>More</v>
      </c>
      <c r="P303" t="s">
        <v>44</v>
      </c>
      <c r="AI303" t="s">
        <v>66</v>
      </c>
      <c r="AJ303">
        <v>98107</v>
      </c>
      <c r="AS303" t="s">
        <v>819</v>
      </c>
      <c r="AT303">
        <v>19353991</v>
      </c>
      <c r="AU303" s="12">
        <v>39495</v>
      </c>
      <c r="BB303" t="s">
        <v>912</v>
      </c>
      <c r="BC303" s="7">
        <v>39489</v>
      </c>
      <c r="BG303">
        <v>6</v>
      </c>
      <c r="BH303" s="17">
        <f t="shared" ca="1" si="4"/>
        <v>38</v>
      </c>
      <c r="BI303" s="17"/>
      <c r="BJ303" s="17"/>
    </row>
    <row r="304" spans="1:63" hidden="1">
      <c r="A304">
        <v>28024288</v>
      </c>
      <c r="B304" s="15" t="str">
        <f>HYPERLINK("http://www.windermere.com/index.cfm?fuseaction=Listing.ListingDetail&amp;ListingID=19345067","Subject To Inspection")</f>
        <v>Subject To Inspection</v>
      </c>
      <c r="D304" t="s">
        <v>218</v>
      </c>
      <c r="E304" s="3" t="s">
        <v>1464</v>
      </c>
      <c r="F304" s="13">
        <v>429000</v>
      </c>
      <c r="G304" t="s">
        <v>135</v>
      </c>
      <c r="H304" s="1">
        <v>1560</v>
      </c>
      <c r="I304">
        <v>4500</v>
      </c>
      <c r="J304">
        <v>3</v>
      </c>
      <c r="K304">
        <v>1.75</v>
      </c>
      <c r="M304" s="2" t="str">
        <f>HYPERLINK("http://www.windermere.com/index.cfm?fuseaction=Listing.MapPropertyInteractive&amp;ListingID=19345067&amp;resize=true&amp;windowWidth=800&amp;windowHeight=600","Map")</f>
        <v>Map</v>
      </c>
      <c r="O304" s="2" t="str">
        <f>HYPERLINK("http://www.windermere.com/index.cfm?fuseaction=Listing.MultiImageViewer&amp;ListingID=19345067&amp;ln=28024288&amp;pub_mls=1","More")</f>
        <v>More</v>
      </c>
      <c r="P304" t="s">
        <v>44</v>
      </c>
      <c r="AI304" t="s">
        <v>66</v>
      </c>
      <c r="AJ304">
        <v>98105</v>
      </c>
      <c r="AS304" t="s">
        <v>820</v>
      </c>
      <c r="AT304">
        <v>19345067</v>
      </c>
      <c r="AU304" s="12">
        <v>39495</v>
      </c>
      <c r="BB304" t="s">
        <v>912</v>
      </c>
      <c r="BC304" s="7">
        <v>39487</v>
      </c>
      <c r="BG304">
        <v>8</v>
      </c>
      <c r="BH304" s="17">
        <f t="shared" ca="1" si="4"/>
        <v>40</v>
      </c>
      <c r="BI304" s="17"/>
      <c r="BJ304" s="17"/>
    </row>
    <row r="305" spans="1:63" hidden="1">
      <c r="A305">
        <v>28025011</v>
      </c>
      <c r="B305" s="2" t="str">
        <f>HYPERLINK("http://www.windermere.com/index.cfm?fuseaction=Listing.ListingDetail&amp;ListingID=19351629","Active")</f>
        <v>Active</v>
      </c>
      <c r="D305" t="s">
        <v>63</v>
      </c>
      <c r="E305" t="s">
        <v>278</v>
      </c>
      <c r="F305" s="10">
        <v>469950</v>
      </c>
      <c r="G305" t="s">
        <v>176</v>
      </c>
      <c r="H305" s="1">
        <v>1760</v>
      </c>
      <c r="I305">
        <v>4479</v>
      </c>
      <c r="J305">
        <v>2</v>
      </c>
      <c r="K305">
        <v>1</v>
      </c>
      <c r="M305" s="2" t="str">
        <f>HYPERLINK("http://www.windermere.com/index.cfm?fuseaction=Listing.MapPropertyInteractive&amp;ListingID=19351629&amp;resize=true&amp;windowWidth=800&amp;windowHeight=600","Map")</f>
        <v>Map</v>
      </c>
      <c r="O305" s="2" t="str">
        <f>HYPERLINK("http://www.windermere.com/index.cfm?fuseaction=viewGallery.Home&amp;customTourID=207287&amp;wvt=0","More")</f>
        <v>More</v>
      </c>
      <c r="AI305" t="s">
        <v>66</v>
      </c>
      <c r="AJ305">
        <v>98117</v>
      </c>
      <c r="AS305" t="s">
        <v>279</v>
      </c>
      <c r="AT305">
        <v>19351629</v>
      </c>
      <c r="AU305" s="12">
        <v>39495</v>
      </c>
      <c r="BB305" t="s">
        <v>912</v>
      </c>
      <c r="BC305" s="7">
        <v>39489</v>
      </c>
      <c r="BD305">
        <v>4</v>
      </c>
      <c r="BE305" t="s">
        <v>1341</v>
      </c>
      <c r="BF305" s="7">
        <v>39129</v>
      </c>
      <c r="BG305">
        <v>6</v>
      </c>
      <c r="BH305" s="17">
        <f t="shared" ca="1" si="4"/>
        <v>38</v>
      </c>
      <c r="BI305" s="17"/>
      <c r="BJ305" s="17"/>
    </row>
    <row r="306" spans="1:63" hidden="1">
      <c r="A306">
        <v>28028113</v>
      </c>
      <c r="B306" s="2" t="str">
        <f>HYPERLINK("http://www.windermere.com/index.cfm?fuseaction=Listing.ListingDetail&amp;ListingID=19379075","Active")</f>
        <v>Active</v>
      </c>
      <c r="D306" t="s">
        <v>204</v>
      </c>
      <c r="E306" t="s">
        <v>823</v>
      </c>
      <c r="F306" s="10">
        <v>470000</v>
      </c>
      <c r="G306" t="s">
        <v>419</v>
      </c>
      <c r="H306" s="1">
        <v>2450</v>
      </c>
      <c r="I306">
        <v>8350</v>
      </c>
      <c r="J306">
        <v>3</v>
      </c>
      <c r="K306">
        <v>1.75</v>
      </c>
      <c r="M306" s="2" t="str">
        <f>HYPERLINK("http://www.windermere.com/index.cfm?fuseaction=Listing.MapPropertyInteractive&amp;ListingID=19379075&amp;resize=true&amp;windowWidth=800&amp;windowHeight=600","Map")</f>
        <v>Map</v>
      </c>
      <c r="O306" s="2" t="str">
        <f>HYPERLINK("http://www.windermere.com/index.cfm?fuseaction=Listing.MultiImageViewer&amp;ListingID=19379075&amp;ln=28028113&amp;pub_mls=1","More")</f>
        <v>More</v>
      </c>
      <c r="P306" t="s">
        <v>44</v>
      </c>
      <c r="AI306" t="s">
        <v>66</v>
      </c>
      <c r="AJ306">
        <v>98125</v>
      </c>
      <c r="AS306" t="s">
        <v>824</v>
      </c>
      <c r="AT306">
        <v>19379075</v>
      </c>
      <c r="AU306" s="12">
        <v>39495</v>
      </c>
      <c r="BB306" t="s">
        <v>912</v>
      </c>
      <c r="BC306" s="7">
        <v>39493</v>
      </c>
      <c r="BG306">
        <v>2</v>
      </c>
      <c r="BH306" s="17">
        <f t="shared" ca="1" si="4"/>
        <v>34</v>
      </c>
      <c r="BI306" s="17"/>
      <c r="BJ306" s="17"/>
    </row>
    <row r="307" spans="1:63" hidden="1">
      <c r="A307">
        <v>27207001</v>
      </c>
      <c r="B307" s="2" t="str">
        <f>HYPERLINK("http://www.windermere.com/index.cfm?fuseaction=Listing.ListingDetail&amp;ListingID=19025633","Active")</f>
        <v>Active</v>
      </c>
      <c r="D307" t="s">
        <v>100</v>
      </c>
      <c r="E307" t="s">
        <v>833</v>
      </c>
      <c r="F307" s="13">
        <v>449950</v>
      </c>
      <c r="G307" t="s">
        <v>147</v>
      </c>
      <c r="H307" s="1">
        <v>1586</v>
      </c>
      <c r="J307">
        <v>3</v>
      </c>
      <c r="K307">
        <v>2.25</v>
      </c>
      <c r="M307" s="2" t="str">
        <f>HYPERLINK("http://www.windermere.com/index.cfm?fuseaction=Listing.MapPropertyInteractive&amp;ListingID=19025633&amp;resize=true&amp;windowWidth=800&amp;windowHeight=600","Map")</f>
        <v>Map</v>
      </c>
      <c r="O307" s="2" t="str">
        <f>HYPERLINK("http://www.windermere.com/index.cfm?fuseaction=Listing.MultiImageViewer&amp;ListingID=19025633&amp;ln=27207001&amp;pub_mls=1","More")</f>
        <v>More</v>
      </c>
      <c r="P307" t="s">
        <v>44</v>
      </c>
      <c r="AI307" t="s">
        <v>66</v>
      </c>
      <c r="AJ307">
        <v>98103</v>
      </c>
      <c r="AS307" t="s">
        <v>834</v>
      </c>
      <c r="AT307">
        <v>19025633</v>
      </c>
      <c r="AU307" s="12">
        <v>39495</v>
      </c>
      <c r="BB307" t="s">
        <v>912</v>
      </c>
      <c r="BC307" s="7">
        <v>39414</v>
      </c>
      <c r="BG307">
        <v>81</v>
      </c>
      <c r="BH307" s="17">
        <f t="shared" ca="1" si="4"/>
        <v>113</v>
      </c>
      <c r="BI307" s="17"/>
      <c r="BJ307" s="17"/>
    </row>
    <row r="308" spans="1:63" hidden="1">
      <c r="A308">
        <v>28013532</v>
      </c>
      <c r="B308" s="2" t="str">
        <f>HYPERLINK("http://www.windermere.com/index.cfm?fuseaction=Listing.ListingDetail&amp;ListingID=19262687","Active")</f>
        <v>Active</v>
      </c>
      <c r="D308" t="s">
        <v>199</v>
      </c>
      <c r="E308" t="s">
        <v>825</v>
      </c>
      <c r="F308" s="10">
        <v>475000</v>
      </c>
      <c r="G308" t="s">
        <v>156</v>
      </c>
      <c r="H308" s="1">
        <v>2740</v>
      </c>
      <c r="I308">
        <v>9657</v>
      </c>
      <c r="J308">
        <v>3</v>
      </c>
      <c r="K308">
        <v>2</v>
      </c>
      <c r="M308" s="2" t="str">
        <f>HYPERLINK("http://www.windermere.com/index.cfm?fuseaction=Listing.MapPropertyInteractive&amp;ListingID=19262687&amp;resize=true&amp;windowWidth=800&amp;windowHeight=600","Map")</f>
        <v>Map</v>
      </c>
      <c r="O308" s="2" t="str">
        <f>HYPERLINK("http://www.windermere.com/index.cfm?fuseaction=Listing.MultiImageViewer&amp;ListingID=19262687&amp;ln=28013532&amp;pub_mls=1","More")</f>
        <v>More</v>
      </c>
      <c r="P308" t="s">
        <v>44</v>
      </c>
      <c r="AI308" t="s">
        <v>66</v>
      </c>
      <c r="AJ308">
        <v>98125</v>
      </c>
      <c r="AS308" t="s">
        <v>826</v>
      </c>
      <c r="AT308">
        <v>19262687</v>
      </c>
      <c r="AU308" s="12">
        <v>39495</v>
      </c>
      <c r="BB308" t="s">
        <v>912</v>
      </c>
      <c r="BC308" s="7">
        <v>39469</v>
      </c>
      <c r="BG308">
        <v>26</v>
      </c>
      <c r="BH308" s="17">
        <f t="shared" ca="1" si="4"/>
        <v>58</v>
      </c>
      <c r="BI308" s="17"/>
      <c r="BJ308" s="17"/>
    </row>
    <row r="309" spans="1:63" hidden="1">
      <c r="A309">
        <v>28015635</v>
      </c>
      <c r="B309" s="2" t="str">
        <f>HYPERLINK("http://www.windermere.com/index.cfm?fuseaction=Listing.ListingDetail&amp;ListingID=19288452","Active")</f>
        <v>Active</v>
      </c>
      <c r="D309" t="s">
        <v>63</v>
      </c>
      <c r="E309" t="s">
        <v>827</v>
      </c>
      <c r="F309" s="10">
        <v>475000</v>
      </c>
      <c r="G309" t="s">
        <v>186</v>
      </c>
      <c r="H309" s="1">
        <v>2480</v>
      </c>
      <c r="I309">
        <v>4000</v>
      </c>
      <c r="J309">
        <v>4</v>
      </c>
      <c r="K309">
        <v>1.75</v>
      </c>
      <c r="M309" s="2" t="str">
        <f>HYPERLINK("http://www.windermere.com/index.cfm?fuseaction=Listing.MapPropertyInteractive&amp;ListingID=19288452&amp;resize=true&amp;windowWidth=800&amp;windowHeight=600","Map")</f>
        <v>Map</v>
      </c>
      <c r="O309" s="2" t="str">
        <f>HYPERLINK("http://www.windermere.com/index.cfm?fuseaction=Listing.MultiImageViewer&amp;ListingID=19288452&amp;ln=28015635&amp;pub_mls=1","More")</f>
        <v>More</v>
      </c>
      <c r="AI309" t="s">
        <v>66</v>
      </c>
      <c r="AJ309">
        <v>98107</v>
      </c>
      <c r="AS309" t="s">
        <v>828</v>
      </c>
      <c r="AT309">
        <v>19288452</v>
      </c>
      <c r="AU309" s="12">
        <v>39495</v>
      </c>
      <c r="BB309" t="s">
        <v>912</v>
      </c>
      <c r="BC309" s="7">
        <v>39475</v>
      </c>
      <c r="BG309">
        <v>20</v>
      </c>
      <c r="BH309" s="17">
        <f t="shared" ca="1" si="4"/>
        <v>52</v>
      </c>
      <c r="BI309" s="17"/>
      <c r="BJ309" s="17"/>
    </row>
    <row r="310" spans="1:63" hidden="1">
      <c r="A310">
        <v>28017287</v>
      </c>
      <c r="B310" s="15" t="str">
        <f>HYPERLINK("http://www.windermere.com/index.cfm?fuseaction=Listing.ListingDetail&amp;ListingID=19307351","Subject To Inspection")</f>
        <v>Subject To Inspection</v>
      </c>
      <c r="D310" t="s">
        <v>60</v>
      </c>
      <c r="E310" t="s">
        <v>831</v>
      </c>
      <c r="F310" s="10">
        <v>475000</v>
      </c>
      <c r="G310" t="s">
        <v>176</v>
      </c>
      <c r="H310" s="1">
        <v>1010</v>
      </c>
      <c r="I310">
        <v>3876</v>
      </c>
      <c r="J310">
        <v>2</v>
      </c>
      <c r="K310">
        <v>1</v>
      </c>
      <c r="M310" s="2" t="str">
        <f>HYPERLINK("http://www.windermere.com/index.cfm?fuseaction=Listing.MapPropertyInteractive&amp;ListingID=19307351&amp;resize=true&amp;windowWidth=800&amp;windowHeight=600","Map")</f>
        <v>Map</v>
      </c>
      <c r="O310" s="2" t="str">
        <f>HYPERLINK("http://www.windermere.com/index.cfm?fuseaction=Listing.MultiImageViewer&amp;ListingID=19307351&amp;ln=28017287&amp;pub_mls=1","More")</f>
        <v>More</v>
      </c>
      <c r="P310" t="s">
        <v>44</v>
      </c>
      <c r="AI310" t="s">
        <v>66</v>
      </c>
      <c r="AJ310">
        <v>98103</v>
      </c>
      <c r="AS310" t="s">
        <v>832</v>
      </c>
      <c r="AT310">
        <v>19307351</v>
      </c>
      <c r="AU310" s="12">
        <v>39495</v>
      </c>
      <c r="BB310" t="s">
        <v>912</v>
      </c>
      <c r="BC310" s="7">
        <v>39479</v>
      </c>
      <c r="BD310">
        <v>3</v>
      </c>
      <c r="BE310" t="s">
        <v>1380</v>
      </c>
      <c r="BG310">
        <v>16</v>
      </c>
      <c r="BH310" s="17">
        <f t="shared" ca="1" si="4"/>
        <v>48</v>
      </c>
      <c r="BI310" s="17"/>
      <c r="BJ310" s="17"/>
    </row>
    <row r="311" spans="1:63" hidden="1">
      <c r="A311">
        <v>28024819</v>
      </c>
      <c r="B311" s="2" t="str">
        <f>HYPERLINK("http://www.windermere.com/index.cfm?fuseaction=Listing.ListingDetail&amp;ListingID=19350454","Subject To Inspection")</f>
        <v>Subject To Inspection</v>
      </c>
      <c r="D311" t="s">
        <v>109</v>
      </c>
      <c r="E311" t="s">
        <v>829</v>
      </c>
      <c r="F311" s="10">
        <v>475000</v>
      </c>
      <c r="G311" t="s">
        <v>227</v>
      </c>
      <c r="H311" s="1">
        <v>2120</v>
      </c>
      <c r="I311">
        <v>4080</v>
      </c>
      <c r="J311">
        <v>3</v>
      </c>
      <c r="K311">
        <v>1</v>
      </c>
      <c r="M311" s="2" t="str">
        <f>HYPERLINK("http://www.windermere.com/index.cfm?fuseaction=Listing.MapPropertyInteractive&amp;ListingID=19350454&amp;resize=true&amp;windowWidth=800&amp;windowHeight=600","Map")</f>
        <v>Map</v>
      </c>
      <c r="O311" s="2" t="str">
        <f>HYPERLINK("http://www.windermere.com/index.cfm?fuseaction=viewGallery.Home&amp;customTourID=207209&amp;wvt=0","More")</f>
        <v>More</v>
      </c>
      <c r="AI311" t="s">
        <v>66</v>
      </c>
      <c r="AJ311">
        <v>98105</v>
      </c>
      <c r="AS311" t="s">
        <v>830</v>
      </c>
      <c r="AT311">
        <v>19350454</v>
      </c>
      <c r="AU311" s="12">
        <v>39495</v>
      </c>
      <c r="BB311" t="s">
        <v>912</v>
      </c>
      <c r="BC311" s="7">
        <v>39489</v>
      </c>
      <c r="BD311">
        <v>3</v>
      </c>
      <c r="BE311" t="s">
        <v>1381</v>
      </c>
      <c r="BG311">
        <v>6</v>
      </c>
      <c r="BH311" s="17">
        <f t="shared" ca="1" si="4"/>
        <v>38</v>
      </c>
      <c r="BI311" s="17"/>
      <c r="BJ311" s="17"/>
      <c r="BK311" t="str">
        <f>B311</f>
        <v>Subject To Inspection</v>
      </c>
    </row>
    <row r="312" spans="1:63" hidden="1">
      <c r="A312">
        <v>28025604</v>
      </c>
      <c r="B312" s="2" t="str">
        <f>HYPERLINK("http://www.windermere.com/index.cfm?fuseaction=Listing.ListingDetail&amp;ListingID=19408406","Active")</f>
        <v>Active</v>
      </c>
      <c r="D312" t="s">
        <v>63</v>
      </c>
      <c r="E312" t="s">
        <v>277</v>
      </c>
      <c r="F312" s="10">
        <v>475000</v>
      </c>
      <c r="G312" t="s">
        <v>144</v>
      </c>
      <c r="H312" s="1">
        <v>1720</v>
      </c>
      <c r="I312">
        <v>3676</v>
      </c>
      <c r="J312">
        <v>3</v>
      </c>
      <c r="K312">
        <v>1.5</v>
      </c>
      <c r="M312" s="2" t="str">
        <f>HYPERLINK("http://www.windermere.com/index.cfm?fuseaction=Listing.MapPropertyInteractive&amp;ListingID=19408406&amp;resize=true&amp;windowWidth=800&amp;windowHeight=600","Map")</f>
        <v>Map</v>
      </c>
      <c r="O312" s="2" t="str">
        <f>HYPERLINK("http://www.windermere.com/index.cfm?fuseaction=Listing.MultiImageViewer&amp;ListingID=19408406&amp;ln=28025604&amp;pub_mls=1","More")</f>
        <v>More</v>
      </c>
      <c r="P312" t="s">
        <v>44</v>
      </c>
      <c r="AI312" t="s">
        <v>66</v>
      </c>
      <c r="AJ312">
        <v>98117</v>
      </c>
      <c r="AS312" s="19" t="s">
        <v>1469</v>
      </c>
      <c r="AT312" s="19">
        <v>19408406</v>
      </c>
      <c r="AU312" s="12">
        <v>39495</v>
      </c>
      <c r="BB312" t="s">
        <v>912</v>
      </c>
      <c r="BC312" s="7">
        <v>39490</v>
      </c>
      <c r="BD312">
        <v>4</v>
      </c>
      <c r="BE312" t="s">
        <v>1342</v>
      </c>
      <c r="BF312" s="7">
        <v>39494</v>
      </c>
      <c r="BG312">
        <v>5</v>
      </c>
      <c r="BH312" s="17">
        <f t="shared" ca="1" si="4"/>
        <v>37</v>
      </c>
      <c r="BI312" s="17"/>
      <c r="BJ312" s="17"/>
    </row>
    <row r="313" spans="1:63" hidden="1">
      <c r="A313">
        <v>27187856</v>
      </c>
      <c r="B313" s="2" t="str">
        <f>HYPERLINK("http://www.windermere.com/index.cfm?fuseaction=Listing.ListingDetail&amp;ListingID=18827147","Active")</f>
        <v>Active</v>
      </c>
      <c r="D313" t="s">
        <v>63</v>
      </c>
      <c r="E313" t="s">
        <v>837</v>
      </c>
      <c r="F313" s="10">
        <v>479000</v>
      </c>
      <c r="G313" t="s">
        <v>147</v>
      </c>
      <c r="H313" s="1">
        <v>1900</v>
      </c>
      <c r="J313">
        <v>3</v>
      </c>
      <c r="K313">
        <v>3.5</v>
      </c>
      <c r="M313" s="2" t="str">
        <f>HYPERLINK("http://www.windermere.com/index.cfm?fuseaction=Listing.MapPropertyInteractive&amp;ListingID=18827147&amp;resize=true&amp;windowWidth=800&amp;windowHeight=600","Map")</f>
        <v>Map</v>
      </c>
      <c r="O313" s="2" t="str">
        <f>HYPERLINK("http://www.windermere.com/index.cfm?fuseaction=Listing.MultiImageViewer&amp;ListingID=18827147&amp;ln=27187856&amp;pub_mls=1","More")</f>
        <v>More</v>
      </c>
      <c r="P313" t="s">
        <v>44</v>
      </c>
      <c r="AI313" t="s">
        <v>66</v>
      </c>
      <c r="AJ313">
        <v>98107</v>
      </c>
      <c r="AS313" t="s">
        <v>838</v>
      </c>
      <c r="AT313">
        <v>18827147</v>
      </c>
      <c r="AU313" s="12">
        <v>39495</v>
      </c>
      <c r="BB313" t="s">
        <v>912</v>
      </c>
      <c r="BC313" s="7">
        <v>39372</v>
      </c>
      <c r="BG313">
        <v>123</v>
      </c>
      <c r="BH313" s="17">
        <f t="shared" ca="1" si="4"/>
        <v>155</v>
      </c>
      <c r="BI313" s="17"/>
      <c r="BJ313" s="17"/>
    </row>
    <row r="314" spans="1:63" hidden="1">
      <c r="A314">
        <v>27187865</v>
      </c>
      <c r="B314" s="15" t="str">
        <f>HYPERLINK("http://www.windermere.com/index.cfm?fuseaction=Listing.ListingDetail&amp;ListingID=18827156","Subject To Inspection")</f>
        <v>Subject To Inspection</v>
      </c>
      <c r="D314" t="s">
        <v>63</v>
      </c>
      <c r="E314" t="s">
        <v>839</v>
      </c>
      <c r="F314" s="10">
        <v>479000</v>
      </c>
      <c r="G314" t="s">
        <v>147</v>
      </c>
      <c r="H314" s="1">
        <v>1900</v>
      </c>
      <c r="J314">
        <v>3</v>
      </c>
      <c r="K314">
        <v>3.5</v>
      </c>
      <c r="M314" s="2" t="str">
        <f>HYPERLINK("http://www.windermere.com/index.cfm?fuseaction=Listing.MapPropertyInteractive&amp;ListingID=18827156&amp;resize=true&amp;windowWidth=800&amp;windowHeight=600","Map")</f>
        <v>Map</v>
      </c>
      <c r="O314" s="2" t="str">
        <f>HYPERLINK("http://www.windermere.com/index.cfm?fuseaction=Listing.MultiImageViewer&amp;ListingID=18827156&amp;ln=27187865&amp;pub_mls=1","More")</f>
        <v>More</v>
      </c>
      <c r="P314" t="s">
        <v>44</v>
      </c>
      <c r="AI314" t="s">
        <v>66</v>
      </c>
      <c r="AJ314">
        <v>98107</v>
      </c>
      <c r="AS314" t="s">
        <v>840</v>
      </c>
      <c r="AT314">
        <v>18827156</v>
      </c>
      <c r="AU314" s="12">
        <v>39495</v>
      </c>
      <c r="BB314" t="s">
        <v>912</v>
      </c>
      <c r="BC314" s="7">
        <v>39372</v>
      </c>
      <c r="BD314">
        <v>-4</v>
      </c>
      <c r="BE314" t="s">
        <v>1444</v>
      </c>
      <c r="BG314">
        <v>123</v>
      </c>
      <c r="BH314" s="17">
        <f t="shared" ca="1" si="4"/>
        <v>155</v>
      </c>
      <c r="BI314" s="17"/>
      <c r="BJ314" s="17"/>
    </row>
    <row r="315" spans="1:63" hidden="1">
      <c r="A315">
        <v>28007508</v>
      </c>
      <c r="B315" s="2" t="str">
        <f>HYPERLINK("http://www.windermere.com/index.cfm?fuseaction=Listing.ListingDetail&amp;ListingID=19212618","Active")</f>
        <v>Active</v>
      </c>
      <c r="D315" t="s">
        <v>109</v>
      </c>
      <c r="E315" t="s">
        <v>835</v>
      </c>
      <c r="F315" s="10">
        <v>479000</v>
      </c>
      <c r="G315" t="s">
        <v>147</v>
      </c>
      <c r="H315" s="1">
        <v>1350</v>
      </c>
      <c r="J315">
        <v>3</v>
      </c>
      <c r="K315">
        <v>2.5</v>
      </c>
      <c r="M315" s="2" t="str">
        <f>HYPERLINK("http://www.windermere.com/index.cfm?fuseaction=Listing.MapPropertyInteractive&amp;ListingID=19212618&amp;resize=true&amp;windowWidth=800&amp;windowHeight=600","Map")</f>
        <v>Map</v>
      </c>
      <c r="O315" s="2" t="str">
        <f>HYPERLINK("http://www.windermere.com/index.cfm?fuseaction=Listing.MultiImageViewer&amp;ListingID=19212618&amp;ln=28007508&amp;pub_mls=1","More")</f>
        <v>More</v>
      </c>
      <c r="P315" t="s">
        <v>44</v>
      </c>
      <c r="AI315" t="s">
        <v>66</v>
      </c>
      <c r="AJ315">
        <v>98103</v>
      </c>
      <c r="AS315" t="s">
        <v>836</v>
      </c>
      <c r="AT315">
        <v>19212618</v>
      </c>
      <c r="AU315" s="12">
        <v>39495</v>
      </c>
      <c r="BB315" t="s">
        <v>912</v>
      </c>
      <c r="BC315" s="7">
        <v>39458</v>
      </c>
      <c r="BG315">
        <v>37</v>
      </c>
      <c r="BH315" s="17">
        <f t="shared" ca="1" si="4"/>
        <v>69</v>
      </c>
      <c r="BI315" s="17"/>
      <c r="BJ315" s="17"/>
    </row>
    <row r="316" spans="1:63" hidden="1">
      <c r="A316">
        <v>27183898</v>
      </c>
      <c r="B316" s="2" t="str">
        <f>HYPERLINK("http://www.windermere.com/index.cfm?fuseaction=Listing.ListingDetail&amp;ListingID=18790899","Active")</f>
        <v>Active</v>
      </c>
      <c r="D316" t="s">
        <v>109</v>
      </c>
      <c r="E316" t="s">
        <v>166</v>
      </c>
      <c r="F316" s="10">
        <v>479450</v>
      </c>
      <c r="G316" t="s">
        <v>181</v>
      </c>
      <c r="H316" s="1">
        <v>1200</v>
      </c>
      <c r="I316">
        <v>3400</v>
      </c>
      <c r="J316">
        <v>3</v>
      </c>
      <c r="K316">
        <v>3</v>
      </c>
      <c r="M316" s="2" t="str">
        <f>HYPERLINK("http://www.windermere.com/index.cfm?fuseaction=Listing.MapPropertyInteractive&amp;ListingID=18790899&amp;resize=true&amp;windowWidth=800&amp;windowHeight=600","Map")</f>
        <v>Map</v>
      </c>
      <c r="P316" t="s">
        <v>44</v>
      </c>
      <c r="AI316" t="s">
        <v>66</v>
      </c>
      <c r="AJ316">
        <v>98103</v>
      </c>
      <c r="AS316" t="s">
        <v>841</v>
      </c>
      <c r="AT316">
        <v>18790899</v>
      </c>
      <c r="AU316" s="12">
        <v>39495</v>
      </c>
      <c r="BB316" t="s">
        <v>912</v>
      </c>
      <c r="BC316" s="7">
        <v>39365</v>
      </c>
      <c r="BG316">
        <v>130</v>
      </c>
      <c r="BH316" s="17">
        <f t="shared" ca="1" si="4"/>
        <v>162</v>
      </c>
      <c r="BI316" s="17"/>
      <c r="BJ316" s="17"/>
    </row>
    <row r="317" spans="1:63" hidden="1">
      <c r="A317">
        <v>27195187</v>
      </c>
      <c r="B317" s="2" t="str">
        <f>HYPERLINK("http://www.windermere.com/index.cfm?fuseaction=Listing.ListingDetail&amp;ListingID=18894488","Active")</f>
        <v>Active</v>
      </c>
      <c r="D317" t="s">
        <v>63</v>
      </c>
      <c r="E317" t="s">
        <v>169</v>
      </c>
      <c r="F317" s="13">
        <v>450000</v>
      </c>
      <c r="G317" t="s">
        <v>182</v>
      </c>
      <c r="H317" s="1">
        <v>2060</v>
      </c>
      <c r="I317">
        <v>5000</v>
      </c>
      <c r="J317">
        <v>4</v>
      </c>
      <c r="K317">
        <v>1</v>
      </c>
      <c r="M317" s="2" t="str">
        <f>HYPERLINK("http://www.windermere.com/index.cfm?fuseaction=Listing.MapPropertyInteractive&amp;ListingID=18894488&amp;resize=true&amp;windowWidth=800&amp;windowHeight=600","Map")</f>
        <v>Map</v>
      </c>
      <c r="AI317" t="s">
        <v>66</v>
      </c>
      <c r="AJ317">
        <v>98117</v>
      </c>
      <c r="AS317" t="s">
        <v>276</v>
      </c>
      <c r="AT317">
        <v>18894488</v>
      </c>
      <c r="AU317" s="12">
        <v>39495</v>
      </c>
      <c r="BB317" t="s">
        <v>912</v>
      </c>
      <c r="BC317" s="7">
        <v>39386</v>
      </c>
      <c r="BG317">
        <v>109</v>
      </c>
      <c r="BH317" s="17">
        <f t="shared" ca="1" si="4"/>
        <v>141</v>
      </c>
      <c r="BI317" s="17"/>
      <c r="BJ317" s="17"/>
    </row>
    <row r="318" spans="1:63" hidden="1">
      <c r="A318">
        <v>27211024</v>
      </c>
      <c r="B318" s="2" t="str">
        <f>HYPERLINK("http://www.windermere.com/index.cfm?fuseaction=Listing.ListingDetail&amp;ListingID=19072165","Active")</f>
        <v>Active</v>
      </c>
      <c r="D318" t="s">
        <v>60</v>
      </c>
      <c r="E318" t="s">
        <v>842</v>
      </c>
      <c r="F318" s="10">
        <v>479900</v>
      </c>
      <c r="G318" t="s">
        <v>129</v>
      </c>
      <c r="H318" s="1">
        <v>2080</v>
      </c>
      <c r="I318">
        <v>3000</v>
      </c>
      <c r="J318">
        <v>3</v>
      </c>
      <c r="K318">
        <v>1.5</v>
      </c>
      <c r="M318" s="2" t="str">
        <f>HYPERLINK("http://www.windermere.com/index.cfm?fuseaction=Listing.MapPropertyInteractive&amp;ListingID=19072165&amp;resize=true&amp;windowWidth=800&amp;windowHeight=600","Map")</f>
        <v>Map</v>
      </c>
      <c r="O318" s="2" t="str">
        <f>HYPERLINK("http://www.windermere.com/index.cfm?fuseaction=Listing.MultiImageViewer&amp;ListingID=19072165&amp;ln=27211024&amp;pub_mls=1","More")</f>
        <v>More</v>
      </c>
      <c r="AI318" t="s">
        <v>66</v>
      </c>
      <c r="AJ318">
        <v>98103</v>
      </c>
      <c r="AS318" t="s">
        <v>843</v>
      </c>
      <c r="AT318">
        <v>19072165</v>
      </c>
      <c r="AU318" s="12">
        <v>39495</v>
      </c>
      <c r="BB318" t="s">
        <v>912</v>
      </c>
      <c r="BC318" s="7">
        <v>39425</v>
      </c>
      <c r="BG318">
        <v>70</v>
      </c>
      <c r="BH318" s="17">
        <f t="shared" ca="1" si="4"/>
        <v>102</v>
      </c>
      <c r="BI318" s="17"/>
      <c r="BJ318" s="17"/>
    </row>
    <row r="319" spans="1:63" hidden="1">
      <c r="A319">
        <v>28007148</v>
      </c>
      <c r="B319" s="2" t="str">
        <f>HYPERLINK("http://www.windermere.com/index.cfm?fuseaction=Listing.ListingDetail&amp;ListingID=19212202","Subject To Inspection")</f>
        <v>Subject To Inspection</v>
      </c>
      <c r="D319" t="s">
        <v>99</v>
      </c>
      <c r="E319" t="s">
        <v>274</v>
      </c>
      <c r="F319" s="10">
        <v>479922</v>
      </c>
      <c r="G319" t="s">
        <v>176</v>
      </c>
      <c r="H319" s="1">
        <v>2240</v>
      </c>
      <c r="I319">
        <v>6800</v>
      </c>
      <c r="J319">
        <v>3</v>
      </c>
      <c r="K319">
        <v>1.75</v>
      </c>
      <c r="M319" s="2" t="str">
        <f>HYPERLINK("http://www.windermere.com/index.cfm?fuseaction=Listing.MapPropertyInteractive&amp;ListingID=19212202&amp;resize=true&amp;windowWidth=800&amp;windowHeight=600","Map")</f>
        <v>Map</v>
      </c>
      <c r="O319" s="2" t="str">
        <f>HYPERLINK("http://www.windermere.com/index.cfm?fuseaction=viewGallery.Home&amp;customTourID=204141&amp;wvt=0","More")</f>
        <v>More</v>
      </c>
      <c r="P319" t="s">
        <v>44</v>
      </c>
      <c r="AI319" t="s">
        <v>66</v>
      </c>
      <c r="AJ319">
        <v>98117</v>
      </c>
      <c r="AS319" t="s">
        <v>275</v>
      </c>
      <c r="AT319">
        <v>19212202</v>
      </c>
      <c r="AU319" s="12">
        <v>39495</v>
      </c>
      <c r="BB319" t="s">
        <v>912</v>
      </c>
      <c r="BC319" s="7">
        <v>39458</v>
      </c>
      <c r="BG319">
        <v>37</v>
      </c>
      <c r="BH319" s="17">
        <f t="shared" ca="1" si="4"/>
        <v>69</v>
      </c>
      <c r="BI319" s="17"/>
      <c r="BJ319" s="17"/>
      <c r="BK319" t="str">
        <f>B319</f>
        <v>Subject To Inspection</v>
      </c>
    </row>
    <row r="320" spans="1:63" hidden="1">
      <c r="A320">
        <v>27194846</v>
      </c>
      <c r="B320" s="2" t="str">
        <f>HYPERLINK("http://www.windermere.com/index.cfm?fuseaction=Listing.ListingDetail&amp;ListingID=18892529","Active")</f>
        <v>Active</v>
      </c>
      <c r="D320" t="s">
        <v>100</v>
      </c>
      <c r="E320" t="s">
        <v>850</v>
      </c>
      <c r="F320" s="18">
        <v>447950</v>
      </c>
      <c r="G320" t="s">
        <v>147</v>
      </c>
      <c r="H320" s="1">
        <v>1671</v>
      </c>
      <c r="J320">
        <v>3</v>
      </c>
      <c r="K320">
        <v>2.25</v>
      </c>
      <c r="M320" s="2" t="str">
        <f>HYPERLINK("http://www.windermere.com/index.cfm?fuseaction=Listing.MapPropertyInteractive&amp;ListingID=18892529&amp;resize=true&amp;windowWidth=800&amp;windowHeight=600","Map")</f>
        <v>Map</v>
      </c>
      <c r="O320" s="2" t="str">
        <f>HYPERLINK("http://www.windermere.com/index.cfm?fuseaction=Listing.MultiImageViewer&amp;ListingID=18892529&amp;ln=27194846&amp;pub_mls=1","More")</f>
        <v>More</v>
      </c>
      <c r="P320" t="s">
        <v>44</v>
      </c>
      <c r="AI320" t="s">
        <v>66</v>
      </c>
      <c r="AJ320">
        <v>98103</v>
      </c>
      <c r="AS320" t="s">
        <v>851</v>
      </c>
      <c r="AT320">
        <v>18892529</v>
      </c>
      <c r="AU320" s="12">
        <v>39495</v>
      </c>
      <c r="BB320" t="s">
        <v>912</v>
      </c>
      <c r="BC320" s="7">
        <v>39386</v>
      </c>
      <c r="BG320">
        <v>109</v>
      </c>
      <c r="BH320" s="17">
        <f t="shared" ca="1" si="4"/>
        <v>141</v>
      </c>
      <c r="BI320" s="17"/>
      <c r="BJ320" s="17"/>
    </row>
    <row r="321" spans="1:63" hidden="1">
      <c r="A321">
        <v>27212456</v>
      </c>
      <c r="B321" s="2" t="str">
        <f>HYPERLINK("http://www.windermere.com/index.cfm?fuseaction=Listing.ListingDetail&amp;ListingID=19088651","Active")</f>
        <v>Active</v>
      </c>
      <c r="D321" t="s">
        <v>100</v>
      </c>
      <c r="E321" t="s">
        <v>848</v>
      </c>
      <c r="F321" s="10">
        <v>479950</v>
      </c>
      <c r="G321" t="s">
        <v>147</v>
      </c>
      <c r="J321">
        <v>3</v>
      </c>
      <c r="K321">
        <v>2.5</v>
      </c>
      <c r="M321" s="2" t="str">
        <f>HYPERLINK("http://www.windermere.com/index.cfm?fuseaction=Listing.MapPropertyInteractive&amp;ListingID=19088651&amp;resize=true&amp;windowWidth=800&amp;windowHeight=600","Map")</f>
        <v>Map</v>
      </c>
      <c r="O321" s="2" t="str">
        <f>HYPERLINK("http://www.windermere.com/index.cfm?fuseaction=Listing.MultiImageViewer&amp;ListingID=19088651&amp;ln=27212456&amp;pub_mls=1","More")</f>
        <v>More</v>
      </c>
      <c r="AI321" t="s">
        <v>66</v>
      </c>
      <c r="AJ321">
        <v>98103</v>
      </c>
      <c r="AS321" t="s">
        <v>849</v>
      </c>
      <c r="AT321">
        <v>19088651</v>
      </c>
      <c r="AU321" s="12">
        <v>39495</v>
      </c>
      <c r="BB321" t="s">
        <v>912</v>
      </c>
      <c r="BC321" s="7">
        <v>39428</v>
      </c>
      <c r="BG321">
        <v>67</v>
      </c>
      <c r="BH321" s="17">
        <f t="shared" ca="1" si="4"/>
        <v>99</v>
      </c>
      <c r="BI321" s="17"/>
      <c r="BJ321" s="17"/>
    </row>
    <row r="322" spans="1:63" hidden="1">
      <c r="A322">
        <v>27212458</v>
      </c>
      <c r="B322" s="2" t="str">
        <f>HYPERLINK("http://www.windermere.com/index.cfm?fuseaction=Listing.ListingDetail&amp;ListingID=19088652","Active")</f>
        <v>Active</v>
      </c>
      <c r="D322" t="s">
        <v>100</v>
      </c>
      <c r="E322" t="s">
        <v>854</v>
      </c>
      <c r="F322" s="10">
        <v>479950</v>
      </c>
      <c r="G322" t="s">
        <v>147</v>
      </c>
      <c r="J322">
        <v>3</v>
      </c>
      <c r="K322">
        <v>2.5</v>
      </c>
      <c r="M322" s="2" t="str">
        <f>HYPERLINK("http://www.windermere.com/index.cfm?fuseaction=Listing.MapPropertyInteractive&amp;ListingID=19088652&amp;resize=true&amp;windowWidth=800&amp;windowHeight=600","Map")</f>
        <v>Map</v>
      </c>
      <c r="O322" s="2" t="str">
        <f>HYPERLINK("http://www.windermere.com/index.cfm?fuseaction=Listing.MultiImageViewer&amp;ListingID=19088652&amp;ln=27212458&amp;pub_mls=1","More")</f>
        <v>More</v>
      </c>
      <c r="AI322" t="s">
        <v>66</v>
      </c>
      <c r="AJ322">
        <v>98103</v>
      </c>
      <c r="AS322" t="s">
        <v>855</v>
      </c>
      <c r="AT322">
        <v>19088652</v>
      </c>
      <c r="AU322" s="12">
        <v>39495</v>
      </c>
      <c r="BB322" t="s">
        <v>912</v>
      </c>
      <c r="BC322" s="7">
        <v>39428</v>
      </c>
      <c r="BG322">
        <v>67</v>
      </c>
      <c r="BH322" s="17">
        <f t="shared" ca="1" si="4"/>
        <v>99</v>
      </c>
      <c r="BI322" s="17"/>
      <c r="BJ322" s="17"/>
    </row>
    <row r="323" spans="1:63" hidden="1">
      <c r="A323">
        <v>28004347</v>
      </c>
      <c r="B323" s="2" t="str">
        <f>HYPERLINK("http://www.windermere.com/index.cfm?fuseaction=Listing.ListingDetail&amp;ListingID=19175636","Subject To Inspection")</f>
        <v>Subject To Inspection</v>
      </c>
      <c r="D323" t="s">
        <v>63</v>
      </c>
      <c r="E323" t="s">
        <v>864</v>
      </c>
      <c r="F323" s="10">
        <v>479950</v>
      </c>
      <c r="G323" t="s">
        <v>247</v>
      </c>
      <c r="H323" s="1">
        <v>1796</v>
      </c>
      <c r="J323">
        <v>3</v>
      </c>
      <c r="K323">
        <v>2.5</v>
      </c>
      <c r="M323" s="2" t="str">
        <f>HYPERLINK("http://www.windermere.com/index.cfm?fuseaction=Listing.MapPropertyInteractive&amp;ListingID=19175636&amp;resize=true&amp;windowWidth=800&amp;windowHeight=600","Map")</f>
        <v>Map</v>
      </c>
      <c r="O323" s="2" t="str">
        <f>HYPERLINK("http://www.windermere.com/index.cfm?fuseaction=Listing.MultiImageViewer&amp;ListingID=19175636&amp;ln=28004347&amp;pub_mls=1","More")</f>
        <v>More</v>
      </c>
      <c r="P323" t="s">
        <v>44</v>
      </c>
      <c r="AI323" t="s">
        <v>66</v>
      </c>
      <c r="AJ323">
        <v>98107</v>
      </c>
      <c r="AS323" t="s">
        <v>865</v>
      </c>
      <c r="AT323">
        <v>19175636</v>
      </c>
      <c r="AU323" s="12">
        <v>39495</v>
      </c>
      <c r="BB323" t="s">
        <v>912</v>
      </c>
      <c r="BC323" s="7">
        <v>39454</v>
      </c>
      <c r="BG323">
        <v>41</v>
      </c>
      <c r="BH323" s="17">
        <f t="shared" ref="BH323:BH386" ca="1" si="5">TODAY()-BC323</f>
        <v>73</v>
      </c>
      <c r="BI323" s="17"/>
      <c r="BJ323" s="17"/>
      <c r="BK323" t="str">
        <f>B323</f>
        <v>Subject To Inspection</v>
      </c>
    </row>
    <row r="324" spans="1:63" hidden="1">
      <c r="A324">
        <v>28008698</v>
      </c>
      <c r="B324" s="2" t="str">
        <f>HYPERLINK("http://www.windermere.com/index.cfm?fuseaction=Listing.ListingDetail&amp;ListingID=19221882","Active")</f>
        <v>Active</v>
      </c>
      <c r="D324" t="s">
        <v>100</v>
      </c>
      <c r="E324" t="s">
        <v>846</v>
      </c>
      <c r="F324" s="10">
        <v>479950</v>
      </c>
      <c r="G324" t="s">
        <v>147</v>
      </c>
      <c r="J324">
        <v>3</v>
      </c>
      <c r="K324">
        <v>2.5</v>
      </c>
      <c r="M324" s="2" t="str">
        <f>HYPERLINK("http://www.windermere.com/index.cfm?fuseaction=Listing.MapPropertyInteractive&amp;ListingID=19221882&amp;resize=true&amp;windowWidth=800&amp;windowHeight=600","Map")</f>
        <v>Map</v>
      </c>
      <c r="O324" s="2" t="str">
        <f>HYPERLINK("http://www.windermere.com/index.cfm?fuseaction=Listing.MultiImageViewer&amp;ListingID=19221882&amp;ln=28008698&amp;pub_mls=1","More")</f>
        <v>More</v>
      </c>
      <c r="AI324" t="s">
        <v>66</v>
      </c>
      <c r="AJ324">
        <v>98103</v>
      </c>
      <c r="AS324" t="s">
        <v>847</v>
      </c>
      <c r="AT324">
        <v>19221882</v>
      </c>
      <c r="AU324" s="12">
        <v>39495</v>
      </c>
      <c r="BB324" t="s">
        <v>912</v>
      </c>
      <c r="BC324" s="7">
        <v>39461</v>
      </c>
      <c r="BG324">
        <v>34</v>
      </c>
      <c r="BH324" s="17">
        <f t="shared" ca="1" si="5"/>
        <v>66</v>
      </c>
      <c r="BI324" s="17"/>
      <c r="BJ324" s="17"/>
    </row>
    <row r="325" spans="1:63" hidden="1">
      <c r="A325">
        <v>28010411</v>
      </c>
      <c r="B325" s="2" t="str">
        <f>HYPERLINK("http://www.windermere.com/index.cfm?fuseaction=Listing.ListingDetail&amp;ListingID=19235916","Active")</f>
        <v>Active</v>
      </c>
      <c r="D325" t="s">
        <v>63</v>
      </c>
      <c r="E325" t="s">
        <v>858</v>
      </c>
      <c r="F325" s="10">
        <v>479950</v>
      </c>
      <c r="G325" t="s">
        <v>147</v>
      </c>
      <c r="H325" s="1">
        <v>2219</v>
      </c>
      <c r="J325">
        <v>3</v>
      </c>
      <c r="K325">
        <v>2.5</v>
      </c>
      <c r="M325" s="2" t="str">
        <f>HYPERLINK("http://www.windermere.com/index.cfm?fuseaction=Listing.MapPropertyInteractive&amp;ListingID=19235916&amp;resize=true&amp;windowWidth=800&amp;windowHeight=600","Map")</f>
        <v>Map</v>
      </c>
      <c r="O325" s="2" t="str">
        <f>HYPERLINK("http://www.windermere.com/index.cfm?fuseaction=Listing.MultiImageViewer&amp;ListingID=19235916&amp;ln=28010411&amp;pub_mls=1","More")</f>
        <v>More</v>
      </c>
      <c r="P325" t="s">
        <v>44</v>
      </c>
      <c r="AI325" t="s">
        <v>66</v>
      </c>
      <c r="AJ325">
        <v>98107</v>
      </c>
      <c r="AS325" t="s">
        <v>859</v>
      </c>
      <c r="AT325">
        <v>19235916</v>
      </c>
      <c r="AU325" s="12">
        <v>39495</v>
      </c>
      <c r="BB325" t="s">
        <v>912</v>
      </c>
      <c r="BC325" s="7">
        <v>39463</v>
      </c>
      <c r="BG325">
        <v>32</v>
      </c>
      <c r="BH325" s="17">
        <f t="shared" ca="1" si="5"/>
        <v>64</v>
      </c>
      <c r="BI325" s="17"/>
      <c r="BJ325" s="17"/>
    </row>
    <row r="326" spans="1:63" hidden="1">
      <c r="A326">
        <v>28010430</v>
      </c>
      <c r="B326" s="2" t="str">
        <f>HYPERLINK("http://www.windermere.com/index.cfm?fuseaction=Listing.ListingDetail&amp;ListingID=19236131","Active")</f>
        <v>Active</v>
      </c>
      <c r="D326" t="s">
        <v>63</v>
      </c>
      <c r="E326" t="s">
        <v>860</v>
      </c>
      <c r="F326" s="10">
        <v>479950</v>
      </c>
      <c r="G326" t="s">
        <v>147</v>
      </c>
      <c r="H326" s="1">
        <v>2219</v>
      </c>
      <c r="J326">
        <v>3</v>
      </c>
      <c r="K326">
        <v>2.5</v>
      </c>
      <c r="M326" s="2" t="str">
        <f>HYPERLINK("http://www.windermere.com/index.cfm?fuseaction=Listing.MapPropertyInteractive&amp;ListingID=19236131&amp;resize=true&amp;windowWidth=800&amp;windowHeight=600","Map")</f>
        <v>Map</v>
      </c>
      <c r="O326" s="2" t="str">
        <f>HYPERLINK("http://www.windermere.com/index.cfm?fuseaction=Listing.MultiImageViewer&amp;ListingID=19236131&amp;ln=28010430&amp;pub_mls=1","More")</f>
        <v>More</v>
      </c>
      <c r="P326" t="s">
        <v>44</v>
      </c>
      <c r="AI326" t="s">
        <v>66</v>
      </c>
      <c r="AJ326">
        <v>98107</v>
      </c>
      <c r="AS326" t="s">
        <v>861</v>
      </c>
      <c r="AT326">
        <v>19236131</v>
      </c>
      <c r="AU326" s="12">
        <v>39495</v>
      </c>
      <c r="BB326" t="s">
        <v>912</v>
      </c>
      <c r="BC326" s="7">
        <v>39463</v>
      </c>
      <c r="BG326">
        <v>32</v>
      </c>
      <c r="BH326" s="17">
        <f t="shared" ca="1" si="5"/>
        <v>64</v>
      </c>
      <c r="BI326" s="17"/>
      <c r="BJ326" s="17"/>
    </row>
    <row r="327" spans="1:63" hidden="1">
      <c r="A327">
        <v>28010441</v>
      </c>
      <c r="B327" s="2" t="str">
        <f>HYPERLINK("http://www.windermere.com/index.cfm?fuseaction=Listing.ListingDetail&amp;ListingID=19236178","Active")</f>
        <v>Active</v>
      </c>
      <c r="D327" t="s">
        <v>63</v>
      </c>
      <c r="E327" t="s">
        <v>862</v>
      </c>
      <c r="F327" s="10">
        <v>479950</v>
      </c>
      <c r="G327" t="s">
        <v>147</v>
      </c>
      <c r="H327" s="1">
        <v>2219</v>
      </c>
      <c r="J327">
        <v>3</v>
      </c>
      <c r="K327">
        <v>2.5</v>
      </c>
      <c r="M327" s="2" t="str">
        <f>HYPERLINK("http://www.windermere.com/index.cfm?fuseaction=Listing.MapPropertyInteractive&amp;ListingID=19236178&amp;resize=true&amp;windowWidth=800&amp;windowHeight=600","Map")</f>
        <v>Map</v>
      </c>
      <c r="O327" s="2" t="str">
        <f>HYPERLINK("http://www.windermere.com/index.cfm?fuseaction=Listing.MultiImageViewer&amp;ListingID=19236178&amp;ln=28010441&amp;pub_mls=1","More")</f>
        <v>More</v>
      </c>
      <c r="P327" t="s">
        <v>44</v>
      </c>
      <c r="AI327" t="s">
        <v>66</v>
      </c>
      <c r="AJ327">
        <v>98107</v>
      </c>
      <c r="AS327" t="s">
        <v>863</v>
      </c>
      <c r="AT327">
        <v>19236178</v>
      </c>
      <c r="AU327" s="12">
        <v>39495</v>
      </c>
      <c r="BB327" t="s">
        <v>912</v>
      </c>
      <c r="BC327" s="7">
        <v>39463</v>
      </c>
      <c r="BG327">
        <v>32</v>
      </c>
      <c r="BH327" s="17">
        <f t="shared" ca="1" si="5"/>
        <v>64</v>
      </c>
      <c r="BI327" s="17"/>
      <c r="BJ327" s="17"/>
    </row>
    <row r="328" spans="1:63" hidden="1">
      <c r="A328">
        <v>28011848</v>
      </c>
      <c r="B328" s="2" t="str">
        <f>HYPERLINK("http://www.windermere.com/index.cfm?fuseaction=Listing.ListingDetail&amp;ListingID=19247757","Subject To Inspection")</f>
        <v>Subject To Inspection</v>
      </c>
      <c r="D328" t="s">
        <v>100</v>
      </c>
      <c r="E328" t="s">
        <v>852</v>
      </c>
      <c r="F328" s="10">
        <v>479950</v>
      </c>
      <c r="G328" t="s">
        <v>147</v>
      </c>
      <c r="H328" s="1">
        <v>1350</v>
      </c>
      <c r="J328">
        <v>3</v>
      </c>
      <c r="K328">
        <v>2.25</v>
      </c>
      <c r="M328" s="2" t="str">
        <f>HYPERLINK("http://www.windermere.com/index.cfm?fuseaction=Listing.MapPropertyInteractive&amp;ListingID=19247757&amp;resize=true&amp;windowWidth=800&amp;windowHeight=600","Map")</f>
        <v>Map</v>
      </c>
      <c r="O328" s="2" t="str">
        <f>HYPERLINK("http://www.windermere.com/index.cfm?fuseaction=Listing.MultiImageViewer&amp;ListingID=19247757&amp;ln=28011848&amp;pub_mls=1","More")</f>
        <v>More</v>
      </c>
      <c r="P328" t="s">
        <v>44</v>
      </c>
      <c r="AI328" t="s">
        <v>66</v>
      </c>
      <c r="AJ328">
        <v>98103</v>
      </c>
      <c r="AS328" t="s">
        <v>853</v>
      </c>
      <c r="AT328">
        <v>19247757</v>
      </c>
      <c r="AU328" s="12">
        <v>39495</v>
      </c>
      <c r="BB328" t="s">
        <v>912</v>
      </c>
      <c r="BC328" s="7">
        <v>39465</v>
      </c>
      <c r="BG328">
        <v>30</v>
      </c>
      <c r="BH328" s="17">
        <f t="shared" ca="1" si="5"/>
        <v>62</v>
      </c>
      <c r="BI328" s="17"/>
      <c r="BJ328" s="17"/>
      <c r="BK328" t="str">
        <f>B328</f>
        <v>Subject To Inspection</v>
      </c>
    </row>
    <row r="329" spans="1:63" hidden="1">
      <c r="A329">
        <v>28018532</v>
      </c>
      <c r="B329" s="2" t="str">
        <f>HYPERLINK("http://www.windermere.com/index.cfm?fuseaction=Listing.ListingDetail&amp;ListingID=19303298","Active")</f>
        <v>Active</v>
      </c>
      <c r="D329" t="s">
        <v>109</v>
      </c>
      <c r="E329" t="s">
        <v>856</v>
      </c>
      <c r="F329" s="10">
        <v>479950</v>
      </c>
      <c r="G329" t="s">
        <v>440</v>
      </c>
      <c r="H329" s="1">
        <v>1150</v>
      </c>
      <c r="I329">
        <v>2940</v>
      </c>
      <c r="J329">
        <v>2</v>
      </c>
      <c r="K329">
        <v>1</v>
      </c>
      <c r="M329" s="2" t="str">
        <f>HYPERLINK("http://www.windermere.com/index.cfm?fuseaction=Listing.MapPropertyInteractive&amp;ListingID=19303298&amp;resize=true&amp;windowWidth=800&amp;windowHeight=600","Map")</f>
        <v>Map</v>
      </c>
      <c r="O329" s="2" t="str">
        <f>HYPERLINK("http://www.windermere.com/index.cfm?fuseaction=Listing.MultiImageViewer&amp;ListingID=19303298&amp;ln=28018532&amp;pub_mls=1","More")</f>
        <v>More</v>
      </c>
      <c r="AI329" t="s">
        <v>66</v>
      </c>
      <c r="AJ329">
        <v>98105</v>
      </c>
      <c r="AS329" t="s">
        <v>857</v>
      </c>
      <c r="AT329">
        <v>19303298</v>
      </c>
      <c r="AU329" s="12">
        <v>39495</v>
      </c>
      <c r="BB329" t="s">
        <v>912</v>
      </c>
      <c r="BC329" s="7">
        <v>39478</v>
      </c>
      <c r="BG329">
        <v>17</v>
      </c>
      <c r="BH329" s="17">
        <f t="shared" ca="1" si="5"/>
        <v>49</v>
      </c>
      <c r="BI329" s="17"/>
      <c r="BJ329" s="17"/>
    </row>
    <row r="330" spans="1:63" hidden="1">
      <c r="A330">
        <v>28024487</v>
      </c>
      <c r="B330" s="15" t="str">
        <f>HYPERLINK("http://www.windermere.com/index.cfm?fuseaction=Listing.ListingDetail&amp;ListingID=19376128","Subject To Inspection")</f>
        <v>Subject To Inspection</v>
      </c>
      <c r="D330" t="s">
        <v>60</v>
      </c>
      <c r="E330" t="s">
        <v>844</v>
      </c>
      <c r="F330" s="10">
        <v>479950</v>
      </c>
      <c r="G330" t="s">
        <v>208</v>
      </c>
      <c r="I330">
        <v>5000</v>
      </c>
      <c r="J330">
        <v>3</v>
      </c>
      <c r="K330">
        <v>2.75</v>
      </c>
      <c r="M330" s="2" t="str">
        <f>HYPERLINK("http://www.windermere.com/index.cfm?fuseaction=Listing.MapPropertyInteractive&amp;ListingID=19376128&amp;resize=true&amp;windowWidth=800&amp;windowHeight=600","Map")</f>
        <v>Map</v>
      </c>
      <c r="O330" s="2" t="str">
        <f>HYPERLINK("http://www.windermere.com/index.cfm?fuseaction=viewGallery.Home&amp;customTourID=207723&amp;wvt=0","More")</f>
        <v>More</v>
      </c>
      <c r="AI330" t="s">
        <v>66</v>
      </c>
      <c r="AJ330">
        <v>98103</v>
      </c>
      <c r="AS330" t="s">
        <v>845</v>
      </c>
      <c r="AT330">
        <v>19376128</v>
      </c>
      <c r="AU330" s="12">
        <v>39495</v>
      </c>
      <c r="BB330" t="s">
        <v>912</v>
      </c>
      <c r="BC330" s="7">
        <v>39493</v>
      </c>
      <c r="BG330">
        <v>2</v>
      </c>
      <c r="BH330" s="17">
        <f t="shared" ca="1" si="5"/>
        <v>34</v>
      </c>
      <c r="BI330" s="17"/>
      <c r="BJ330" s="17"/>
    </row>
    <row r="331" spans="1:63" hidden="1">
      <c r="A331">
        <v>28021035</v>
      </c>
      <c r="B331" s="2" t="str">
        <f>HYPERLINK("http://www.windermere.com/index.cfm?fuseaction=Listing.ListingDetail&amp;ListingID=19321902","Subject To Inspection")</f>
        <v>Subject To Inspection</v>
      </c>
      <c r="D331" t="s">
        <v>920</v>
      </c>
      <c r="E331" t="s">
        <v>866</v>
      </c>
      <c r="F331" s="10">
        <v>480000</v>
      </c>
      <c r="G331" t="s">
        <v>778</v>
      </c>
      <c r="H331" s="1">
        <v>1900</v>
      </c>
      <c r="I331">
        <v>5000</v>
      </c>
      <c r="J331">
        <v>4</v>
      </c>
      <c r="K331">
        <v>2</v>
      </c>
      <c r="M331" s="2" t="str">
        <f>HYPERLINK("http://www.windermere.com/index.cfm?fuseaction=Listing.MapPropertyInteractive&amp;ListingID=19321902&amp;resize=true&amp;windowWidth=800&amp;windowHeight=600","Map")</f>
        <v>Map</v>
      </c>
      <c r="O331" s="2" t="str">
        <f>HYPERLINK("http://www.windermere.com/index.cfm?fuseaction=Listing.MultiImageViewer&amp;ListingID=19321902&amp;ln=28021035&amp;pub_mls=1","More")</f>
        <v>More</v>
      </c>
      <c r="AI331" t="s">
        <v>66</v>
      </c>
      <c r="AJ331">
        <v>98103</v>
      </c>
      <c r="AS331" t="s">
        <v>867</v>
      </c>
      <c r="AT331">
        <v>19321902</v>
      </c>
      <c r="AU331" s="12">
        <v>39495</v>
      </c>
      <c r="BB331" t="s">
        <v>912</v>
      </c>
      <c r="BC331" s="7">
        <v>39482</v>
      </c>
      <c r="BG331">
        <v>13</v>
      </c>
      <c r="BH331" s="17">
        <f t="shared" ca="1" si="5"/>
        <v>45</v>
      </c>
      <c r="BI331" s="17"/>
      <c r="BJ331" s="17"/>
      <c r="BK331" t="str">
        <f>B331</f>
        <v>Subject To Inspection</v>
      </c>
    </row>
    <row r="332" spans="1:63" hidden="1">
      <c r="A332">
        <v>27183963</v>
      </c>
      <c r="B332" s="15" t="str">
        <f>HYPERLINK("http://www.windermere.com/index.cfm?fuseaction=Listing.ListingDetail&amp;ListingID=18791183","Subject To Inspection")</f>
        <v>Subject To Inspection</v>
      </c>
      <c r="D332" t="s">
        <v>207</v>
      </c>
      <c r="E332" t="s">
        <v>868</v>
      </c>
      <c r="F332" s="10">
        <v>484900</v>
      </c>
      <c r="G332" t="s">
        <v>154</v>
      </c>
      <c r="H332" s="1">
        <v>1405</v>
      </c>
      <c r="I332">
        <v>4840</v>
      </c>
      <c r="J332">
        <v>3</v>
      </c>
      <c r="K332">
        <v>1</v>
      </c>
      <c r="M332" s="2" t="str">
        <f>HYPERLINK("http://www.windermere.com/index.cfm?fuseaction=Listing.MapPropertyInteractive&amp;ListingID=18791183&amp;resize=true&amp;windowWidth=800&amp;windowHeight=600","Map")</f>
        <v>Map</v>
      </c>
      <c r="O332" s="2" t="str">
        <f>HYPERLINK("http://www.windermere.com/index.cfm?fuseaction=Listing.MultiImageViewer&amp;ListingID=18791183&amp;ln=27183963&amp;pub_mls=1","More")</f>
        <v>More</v>
      </c>
      <c r="P332" t="s">
        <v>44</v>
      </c>
      <c r="AI332" t="s">
        <v>66</v>
      </c>
      <c r="AJ332">
        <v>98115</v>
      </c>
      <c r="AS332" t="s">
        <v>869</v>
      </c>
      <c r="AT332">
        <v>18791183</v>
      </c>
      <c r="AU332" s="12">
        <v>39495</v>
      </c>
      <c r="BB332" t="s">
        <v>912</v>
      </c>
      <c r="BC332" s="7">
        <v>39365</v>
      </c>
      <c r="BG332">
        <v>130</v>
      </c>
      <c r="BH332" s="17">
        <f t="shared" ca="1" si="5"/>
        <v>162</v>
      </c>
      <c r="BI332" s="17"/>
      <c r="BJ332" s="17"/>
    </row>
    <row r="333" spans="1:63" hidden="1">
      <c r="A333">
        <v>28002558</v>
      </c>
      <c r="B333" s="2" t="str">
        <f>HYPERLINK("http://www.windermere.com/index.cfm?fuseaction=Listing.ListingDetail&amp;ListingID=19174633","Active")</f>
        <v>Active</v>
      </c>
      <c r="D333" t="s">
        <v>194</v>
      </c>
      <c r="E333" t="s">
        <v>1149</v>
      </c>
      <c r="F333" s="10">
        <v>485000</v>
      </c>
      <c r="G333" t="s">
        <v>186</v>
      </c>
      <c r="H333" s="1">
        <v>1950</v>
      </c>
      <c r="I333">
        <v>6262</v>
      </c>
      <c r="J333">
        <v>3</v>
      </c>
      <c r="K333">
        <v>1.75</v>
      </c>
      <c r="M333" s="2" t="str">
        <f>HYPERLINK("http://www.windermere.com/index.cfm?fuseaction=Listing.MapPropertyInteractive&amp;ListingID=19174633&amp;resize=true&amp;windowWidth=800&amp;windowHeight=600","Map")</f>
        <v>Map</v>
      </c>
      <c r="O333" s="2" t="str">
        <f>HYPERLINK("http://www.windermere.com/index.cfm?fuseaction=viewGallery.Home&amp;customTourID=203655&amp;wvt=0","More")</f>
        <v>More</v>
      </c>
      <c r="AI333" t="s">
        <v>66</v>
      </c>
      <c r="AJ333">
        <v>98115</v>
      </c>
      <c r="AS333" t="s">
        <v>1150</v>
      </c>
      <c r="AT333">
        <v>19174633</v>
      </c>
      <c r="AU333" s="12">
        <v>39495</v>
      </c>
      <c r="BB333" t="s">
        <v>912</v>
      </c>
      <c r="BC333" s="7">
        <v>39454</v>
      </c>
      <c r="BG333">
        <v>41</v>
      </c>
      <c r="BH333" s="17">
        <f t="shared" ca="1" si="5"/>
        <v>73</v>
      </c>
      <c r="BI333" s="17"/>
      <c r="BJ333" s="17"/>
    </row>
    <row r="334" spans="1:63" hidden="1">
      <c r="A334">
        <v>28004733</v>
      </c>
      <c r="B334" s="2" t="str">
        <f>HYPERLINK("http://www.windermere.com/index.cfm?fuseaction=Listing.ListingDetail&amp;ListingID=19179645","Active")</f>
        <v>Active</v>
      </c>
      <c r="D334" t="s">
        <v>192</v>
      </c>
      <c r="E334" t="s">
        <v>217</v>
      </c>
      <c r="F334" s="10">
        <v>485000</v>
      </c>
      <c r="G334" t="s">
        <v>140</v>
      </c>
      <c r="H334" s="1">
        <v>2840</v>
      </c>
      <c r="I334">
        <v>7548</v>
      </c>
      <c r="J334">
        <v>4</v>
      </c>
      <c r="K334">
        <v>2</v>
      </c>
      <c r="M334" s="2" t="str">
        <f>HYPERLINK("http://www.windermere.com/index.cfm?fuseaction=Listing.MapPropertyInteractive&amp;ListingID=19179645&amp;resize=true&amp;windowWidth=800&amp;windowHeight=600","Map")</f>
        <v>Map</v>
      </c>
      <c r="O334" s="2" t="str">
        <f>HYPERLINK("http://www.windermere.com/index.cfm?fuseaction=Listing.MultiImageViewer&amp;ListingID=19179645&amp;ln=28004733&amp;pub_mls=1","More")</f>
        <v>More</v>
      </c>
      <c r="P334" t="s">
        <v>44</v>
      </c>
      <c r="AI334" t="s">
        <v>66</v>
      </c>
      <c r="AJ334">
        <v>98115</v>
      </c>
      <c r="AS334" t="s">
        <v>870</v>
      </c>
      <c r="AT334">
        <v>19179645</v>
      </c>
      <c r="AU334" s="12">
        <v>39495</v>
      </c>
      <c r="BB334" t="s">
        <v>912</v>
      </c>
      <c r="BC334" s="7">
        <v>39455</v>
      </c>
      <c r="BG334">
        <v>40</v>
      </c>
      <c r="BH334" s="17">
        <f t="shared" ca="1" si="5"/>
        <v>72</v>
      </c>
      <c r="BI334" s="17"/>
      <c r="BJ334" s="17"/>
    </row>
    <row r="335" spans="1:63" hidden="1">
      <c r="A335">
        <v>27187573</v>
      </c>
      <c r="B335" s="2" t="str">
        <f>HYPERLINK("http://www.windermere.com/index.cfm?fuseaction=Listing.ListingDetail&amp;ListingID=18825808","Active")</f>
        <v>Active</v>
      </c>
      <c r="D335" t="s">
        <v>63</v>
      </c>
      <c r="E335" t="s">
        <v>272</v>
      </c>
      <c r="F335" s="10">
        <v>488500</v>
      </c>
      <c r="G335" t="s">
        <v>147</v>
      </c>
      <c r="H335" s="1">
        <v>1746</v>
      </c>
      <c r="J335">
        <v>2</v>
      </c>
      <c r="K335">
        <v>2.5</v>
      </c>
      <c r="M335" s="2" t="str">
        <f>HYPERLINK("http://www.windermere.com/index.cfm?fuseaction=Listing.MapPropertyInteractive&amp;ListingID=18825808&amp;resize=true&amp;windowWidth=800&amp;windowHeight=600","Map")</f>
        <v>Map</v>
      </c>
      <c r="O335" s="2" t="str">
        <f>HYPERLINK("http://www.windermere.com/index.cfm?fuseaction=viewGallery.Home&amp;customTourID=197399&amp;wvt=0","More")</f>
        <v>More</v>
      </c>
      <c r="AI335" t="s">
        <v>66</v>
      </c>
      <c r="AJ335">
        <v>98117</v>
      </c>
      <c r="AS335" t="s">
        <v>273</v>
      </c>
      <c r="AT335">
        <v>18825808</v>
      </c>
      <c r="AU335" s="12">
        <v>39495</v>
      </c>
      <c r="BB335" t="s">
        <v>912</v>
      </c>
      <c r="BC335" s="7">
        <v>39372</v>
      </c>
      <c r="BG335">
        <v>123</v>
      </c>
      <c r="BH335" s="17">
        <f t="shared" ca="1" si="5"/>
        <v>155</v>
      </c>
      <c r="BI335" s="17"/>
      <c r="BJ335" s="17"/>
    </row>
    <row r="336" spans="1:63" hidden="1">
      <c r="A336">
        <v>28002418</v>
      </c>
      <c r="B336" s="2" t="str">
        <f>HYPERLINK("http://www.windermere.com/index.cfm?fuseaction=Listing.ListingDetail&amp;ListingID=19161435","Active")</f>
        <v>Active</v>
      </c>
      <c r="C336">
        <v>705</v>
      </c>
      <c r="D336" t="s">
        <v>63</v>
      </c>
      <c r="E336" t="s">
        <v>238</v>
      </c>
      <c r="F336" s="10">
        <v>488888</v>
      </c>
      <c r="G336" t="s">
        <v>142</v>
      </c>
      <c r="H336" s="1">
        <v>1780</v>
      </c>
      <c r="I336">
        <v>4608</v>
      </c>
      <c r="J336">
        <v>3</v>
      </c>
      <c r="K336">
        <v>2</v>
      </c>
      <c r="M336" s="2" t="str">
        <f>HYPERLINK("http://www.windermere.com/index.cfm?fuseaction=Listing.MapPropertyInteractive&amp;ListingID=19161435&amp;resize=true&amp;windowWidth=800&amp;windowHeight=600","Map")</f>
        <v>Map</v>
      </c>
      <c r="N336" s="2" t="str">
        <f>HYPERLINK("http://locmedia.nwmls.com/DO_NOT_LINK/bigphoto/418/28002418.jpg?tsp=20080203093902","Photo")</f>
        <v>Photo</v>
      </c>
      <c r="O336" s="2" t="str">
        <f>HYPERLINK("http://www.windermere.com/index.cfm?fuseaction=Listing.MultiImageViewer&amp;ListingID=19161435&amp;ln=28002418&amp;pub_mls=1","More")</f>
        <v>More</v>
      </c>
      <c r="Q336" t="s">
        <v>45</v>
      </c>
      <c r="R336" t="s">
        <v>46</v>
      </c>
      <c r="S336" t="s">
        <v>106</v>
      </c>
      <c r="T336" t="s">
        <v>62</v>
      </c>
      <c r="U336" t="s">
        <v>44</v>
      </c>
      <c r="X336" t="s">
        <v>47</v>
      </c>
      <c r="Y336" t="s">
        <v>48</v>
      </c>
      <c r="Z336" t="s">
        <v>963</v>
      </c>
      <c r="AA336" t="s">
        <v>964</v>
      </c>
      <c r="AB336">
        <v>2007</v>
      </c>
      <c r="AC336">
        <v>2529</v>
      </c>
      <c r="AD336" t="s">
        <v>965</v>
      </c>
      <c r="AE336" t="s">
        <v>966</v>
      </c>
      <c r="AF336" t="s">
        <v>201</v>
      </c>
      <c r="AG336">
        <v>47.692819</v>
      </c>
      <c r="AH336">
        <v>-122.363113</v>
      </c>
      <c r="AI336" t="s">
        <v>66</v>
      </c>
      <c r="AJ336">
        <v>98117</v>
      </c>
      <c r="AK336" t="s">
        <v>41</v>
      </c>
      <c r="AL336">
        <v>12</v>
      </c>
      <c r="AM336" t="s">
        <v>40</v>
      </c>
      <c r="AO336">
        <v>0.106</v>
      </c>
      <c r="AP336" t="s">
        <v>967</v>
      </c>
      <c r="AQ336">
        <v>534</v>
      </c>
      <c r="AR336" t="s">
        <v>97</v>
      </c>
      <c r="AS336" t="s">
        <v>271</v>
      </c>
      <c r="AT336">
        <v>19161435</v>
      </c>
      <c r="AU336" s="12">
        <v>39495</v>
      </c>
      <c r="BA336" t="s">
        <v>912</v>
      </c>
      <c r="BB336" t="s">
        <v>912</v>
      </c>
      <c r="BC336" s="7">
        <v>39451</v>
      </c>
      <c r="BD336">
        <v>4</v>
      </c>
      <c r="BE336" t="s">
        <v>1343</v>
      </c>
      <c r="BF336" s="7">
        <v>39494</v>
      </c>
      <c r="BG336">
        <v>44</v>
      </c>
      <c r="BH336" s="17">
        <f t="shared" ca="1" si="5"/>
        <v>76</v>
      </c>
      <c r="BI336" s="17"/>
      <c r="BJ336" s="17"/>
    </row>
    <row r="337" spans="1:63" hidden="1">
      <c r="A337">
        <v>27199788</v>
      </c>
      <c r="B337" s="2" t="str">
        <f>HYPERLINK("http://www.windermere.com/index.cfm?fuseaction=Listing.ListingDetail&amp;ListingID=18940217","Active")</f>
        <v>Active</v>
      </c>
      <c r="D337" t="s">
        <v>100</v>
      </c>
      <c r="E337" t="s">
        <v>875</v>
      </c>
      <c r="F337" s="13">
        <v>479950</v>
      </c>
      <c r="G337" t="s">
        <v>147</v>
      </c>
      <c r="H337" s="1">
        <v>1586</v>
      </c>
      <c r="J337">
        <v>3</v>
      </c>
      <c r="K337">
        <v>2.25</v>
      </c>
      <c r="M337" s="2" t="str">
        <f>HYPERLINK("http://www.windermere.com/index.cfm?fuseaction=Listing.MapPropertyInteractive&amp;ListingID=18940217&amp;resize=true&amp;windowWidth=800&amp;windowHeight=600","Map")</f>
        <v>Map</v>
      </c>
      <c r="O337" s="2" t="str">
        <f>HYPERLINK("http://www.windermere.com/index.cfm?fuseaction=Listing.MultiImageViewer&amp;ListingID=18940217&amp;ln=27199788&amp;pub_mls=1","More")</f>
        <v>More</v>
      </c>
      <c r="P337" t="s">
        <v>44</v>
      </c>
      <c r="AI337" t="s">
        <v>66</v>
      </c>
      <c r="AJ337">
        <v>98103</v>
      </c>
      <c r="AS337" t="s">
        <v>876</v>
      </c>
      <c r="AT337">
        <v>18940217</v>
      </c>
      <c r="AU337" s="12">
        <v>39495</v>
      </c>
      <c r="BB337" t="s">
        <v>912</v>
      </c>
      <c r="BC337" s="7">
        <v>39395</v>
      </c>
      <c r="BG337">
        <v>100</v>
      </c>
      <c r="BH337" s="17">
        <f t="shared" ca="1" si="5"/>
        <v>132</v>
      </c>
      <c r="BI337" s="17"/>
      <c r="BJ337" s="17"/>
    </row>
    <row r="338" spans="1:63" hidden="1">
      <c r="A338">
        <v>28018983</v>
      </c>
      <c r="B338" s="2" t="str">
        <f>HYPERLINK("http://www.windermere.com/index.cfm?fuseaction=Listing.ListingDetail&amp;ListingID=19312722","Active")</f>
        <v>Active</v>
      </c>
      <c r="C338">
        <v>710</v>
      </c>
      <c r="D338" t="s">
        <v>192</v>
      </c>
      <c r="E338" t="s">
        <v>871</v>
      </c>
      <c r="F338" s="13">
        <v>474950</v>
      </c>
      <c r="G338" t="s">
        <v>227</v>
      </c>
      <c r="H338" s="1">
        <v>2400</v>
      </c>
      <c r="I338">
        <v>2980</v>
      </c>
      <c r="J338">
        <v>4</v>
      </c>
      <c r="K338">
        <v>1</v>
      </c>
      <c r="L338">
        <v>1</v>
      </c>
      <c r="M338" s="2" t="str">
        <f>HYPERLINK("http://www.windermere.com/index.cfm?fuseaction=Listing.MapPropertyInteractive&amp;ListingID=19312722&amp;resize=true&amp;windowWidth=800&amp;windowHeight=600","Map")</f>
        <v>Map</v>
      </c>
      <c r="N338" s="2" t="str">
        <f>HYPERLINK("http://locmedia.nwmls.com/DO_NOT_LINK/bigphoto/983/28018983.jpg?tsp=20080204214901","Photo")</f>
        <v>Photo</v>
      </c>
      <c r="O338" s="2" t="str">
        <f>HYPERLINK("http://www.windermere.com/index.cfm?fuseaction=Listing.MultiImageViewer&amp;ListingID=19312722&amp;ln=28018983&amp;pub_mls=1","More")</f>
        <v>More</v>
      </c>
      <c r="Q338" t="s">
        <v>56</v>
      </c>
      <c r="R338" t="s">
        <v>67</v>
      </c>
      <c r="S338" t="s">
        <v>53</v>
      </c>
      <c r="T338" t="s">
        <v>95</v>
      </c>
      <c r="U338" t="s">
        <v>44</v>
      </c>
      <c r="X338" t="s">
        <v>47</v>
      </c>
      <c r="Y338" t="s">
        <v>48</v>
      </c>
      <c r="Z338" t="s">
        <v>68</v>
      </c>
      <c r="AA338" t="s">
        <v>96</v>
      </c>
      <c r="AB338">
        <v>2007</v>
      </c>
      <c r="AC338">
        <v>2380</v>
      </c>
      <c r="AD338" t="s">
        <v>1000</v>
      </c>
      <c r="AE338" t="s">
        <v>1001</v>
      </c>
      <c r="AF338" t="s">
        <v>115</v>
      </c>
      <c r="AG338">
        <v>47.684269999999998</v>
      </c>
      <c r="AH338">
        <v>-122.316231</v>
      </c>
      <c r="AI338" t="s">
        <v>66</v>
      </c>
      <c r="AJ338">
        <v>98115</v>
      </c>
      <c r="AK338" t="s">
        <v>41</v>
      </c>
      <c r="AL338">
        <v>8</v>
      </c>
      <c r="AM338" t="s">
        <v>40</v>
      </c>
      <c r="AO338">
        <v>6.8000000000000005E-2</v>
      </c>
      <c r="AP338" t="s">
        <v>1002</v>
      </c>
      <c r="AQ338">
        <v>535</v>
      </c>
      <c r="AR338" t="s">
        <v>222</v>
      </c>
      <c r="AS338" t="s">
        <v>872</v>
      </c>
      <c r="AT338">
        <v>19312722</v>
      </c>
      <c r="AU338" s="12">
        <v>39495</v>
      </c>
      <c r="BA338" t="s">
        <v>912</v>
      </c>
      <c r="BB338" t="s">
        <v>912</v>
      </c>
      <c r="BC338" s="7">
        <v>39479</v>
      </c>
      <c r="BG338">
        <v>16</v>
      </c>
      <c r="BH338" s="17">
        <f t="shared" ca="1" si="5"/>
        <v>48</v>
      </c>
      <c r="BI338" s="17"/>
      <c r="BJ338" s="17"/>
    </row>
    <row r="339" spans="1:63" hidden="1">
      <c r="A339">
        <v>28019152</v>
      </c>
      <c r="B339" s="2" t="str">
        <f>HYPERLINK("http://www.windermere.com/index.cfm?fuseaction=Listing.ListingDetail&amp;ListingID=19308244","Contingent")</f>
        <v>Contingent</v>
      </c>
      <c r="D339" t="s">
        <v>920</v>
      </c>
      <c r="E339" t="s">
        <v>873</v>
      </c>
      <c r="F339" s="10">
        <v>489000</v>
      </c>
      <c r="G339" t="s">
        <v>641</v>
      </c>
      <c r="H339" s="1">
        <v>1643</v>
      </c>
      <c r="J339">
        <v>2</v>
      </c>
      <c r="K339">
        <v>2.5</v>
      </c>
      <c r="M339" s="2" t="str">
        <f>HYPERLINK("http://www.windermere.com/index.cfm?fuseaction=Listing.MapPropertyInteractive&amp;ListingID=19308244&amp;resize=true&amp;windowWidth=800&amp;windowHeight=600","Map")</f>
        <v>Map</v>
      </c>
      <c r="O339" s="2" t="str">
        <f>HYPERLINK("http://www.windermere.com/index.cfm?fuseaction=Listing.MultiImageViewer&amp;ListingID=19308244&amp;ln=28019152&amp;pub_mls=1","More")</f>
        <v>More</v>
      </c>
      <c r="AI339" t="s">
        <v>66</v>
      </c>
      <c r="AJ339">
        <v>98133</v>
      </c>
      <c r="AS339" t="s">
        <v>874</v>
      </c>
      <c r="AT339">
        <v>19308244</v>
      </c>
      <c r="AU339" s="12">
        <v>39495</v>
      </c>
      <c r="BB339" t="s">
        <v>912</v>
      </c>
      <c r="BC339" s="7">
        <v>39479</v>
      </c>
      <c r="BG339">
        <v>16</v>
      </c>
      <c r="BH339" s="17">
        <f t="shared" ca="1" si="5"/>
        <v>48</v>
      </c>
      <c r="BI339" s="17"/>
      <c r="BJ339" s="17"/>
      <c r="BK339" t="str">
        <f>B339</f>
        <v>Contingent</v>
      </c>
    </row>
    <row r="340" spans="1:63" hidden="1">
      <c r="A340">
        <v>27205600</v>
      </c>
      <c r="B340" s="2" t="str">
        <f>HYPERLINK("http://www.windermere.com/index.cfm?fuseaction=Listing.ListingDetail&amp;ListingID=19013395","Active")</f>
        <v>Active</v>
      </c>
      <c r="D340" t="s">
        <v>99</v>
      </c>
      <c r="E340" t="s">
        <v>269</v>
      </c>
      <c r="F340" s="10">
        <v>489500</v>
      </c>
      <c r="G340" t="s">
        <v>138</v>
      </c>
      <c r="H340" s="1">
        <v>1980</v>
      </c>
      <c r="I340">
        <v>8538</v>
      </c>
      <c r="J340">
        <v>3</v>
      </c>
      <c r="K340">
        <v>2</v>
      </c>
      <c r="M340" s="2" t="str">
        <f>HYPERLINK("http://www.windermere.com/index.cfm?fuseaction=Listing.MapPropertyInteractive&amp;ListingID=19013395&amp;resize=true&amp;windowWidth=800&amp;windowHeight=600","Map")</f>
        <v>Map</v>
      </c>
      <c r="O340" s="2" t="str">
        <f>HYPERLINK("http://www.windermere.com/index.cfm?fuseaction=Listing.MultiImageViewer&amp;ListingID=19013395&amp;ln=27205600&amp;pub_mls=1","More")</f>
        <v>More</v>
      </c>
      <c r="P340" t="s">
        <v>44</v>
      </c>
      <c r="AI340" t="s">
        <v>66</v>
      </c>
      <c r="AJ340">
        <v>98117</v>
      </c>
      <c r="AS340" t="s">
        <v>270</v>
      </c>
      <c r="AT340">
        <v>19013395</v>
      </c>
      <c r="AU340" s="12">
        <v>39495</v>
      </c>
      <c r="BB340" t="s">
        <v>912</v>
      </c>
      <c r="BC340" s="7">
        <v>39412</v>
      </c>
      <c r="BG340">
        <v>83</v>
      </c>
      <c r="BH340" s="17">
        <f t="shared" ca="1" si="5"/>
        <v>115</v>
      </c>
      <c r="BI340" s="17"/>
      <c r="BJ340" s="17"/>
    </row>
    <row r="341" spans="1:63" hidden="1">
      <c r="A341">
        <v>28002334</v>
      </c>
      <c r="B341" s="2" t="str">
        <f>HYPERLINK("http://www.windermere.com/index.cfm?fuseaction=Listing.ListingDetail&amp;ListingID=19158681","Subject To Inspection")</f>
        <v>Subject To Inspection</v>
      </c>
      <c r="D341" t="s">
        <v>202</v>
      </c>
      <c r="E341" t="s">
        <v>220</v>
      </c>
      <c r="F341" s="10">
        <v>489950</v>
      </c>
      <c r="G341" t="s">
        <v>161</v>
      </c>
      <c r="H341" s="1">
        <v>2050</v>
      </c>
      <c r="I341">
        <v>7241</v>
      </c>
      <c r="J341">
        <v>3</v>
      </c>
      <c r="K341">
        <v>2</v>
      </c>
      <c r="M341" s="2" t="str">
        <f>HYPERLINK("http://www.windermere.com/index.cfm?fuseaction=Listing.MapPropertyInteractive&amp;ListingID=19158681&amp;resize=true&amp;windowWidth=800&amp;windowHeight=600","Map")</f>
        <v>Map</v>
      </c>
      <c r="O341" s="2" t="str">
        <f>HYPERLINK("http://www.windermere.com/index.cfm?fuseaction=Listing.MultiImageViewer&amp;ListingID=19158681&amp;ln=28002334&amp;pub_mls=1","More")</f>
        <v>More</v>
      </c>
      <c r="AI341" t="s">
        <v>66</v>
      </c>
      <c r="AJ341">
        <v>98125</v>
      </c>
      <c r="AS341" t="s">
        <v>877</v>
      </c>
      <c r="AT341">
        <v>19158681</v>
      </c>
      <c r="AU341" s="12">
        <v>39495</v>
      </c>
      <c r="BB341" t="s">
        <v>912</v>
      </c>
      <c r="BC341" s="7">
        <v>39451</v>
      </c>
      <c r="BG341">
        <v>44</v>
      </c>
      <c r="BH341" s="17">
        <f t="shared" ca="1" si="5"/>
        <v>76</v>
      </c>
      <c r="BI341" s="17"/>
      <c r="BJ341" s="17"/>
      <c r="BK341" t="str">
        <f>B341</f>
        <v>Subject To Inspection</v>
      </c>
    </row>
    <row r="342" spans="1:63" hidden="1">
      <c r="A342">
        <v>28010699</v>
      </c>
      <c r="B342" s="2" t="str">
        <f>HYPERLINK("http://www.windermere.com/index.cfm?fuseaction=Listing.ListingDetail&amp;ListingID=19241417","Active")</f>
        <v>Active</v>
      </c>
      <c r="D342" t="s">
        <v>88</v>
      </c>
      <c r="E342" t="s">
        <v>267</v>
      </c>
      <c r="F342" s="10">
        <v>489950</v>
      </c>
      <c r="G342" t="s">
        <v>159</v>
      </c>
      <c r="H342" s="1">
        <v>1900</v>
      </c>
      <c r="I342">
        <v>4000</v>
      </c>
      <c r="J342">
        <v>3</v>
      </c>
      <c r="K342">
        <v>1</v>
      </c>
      <c r="M342" s="2" t="str">
        <f>HYPERLINK("http://www.windermere.com/index.cfm?fuseaction=Listing.MapPropertyInteractive&amp;ListingID=19241417&amp;resize=true&amp;windowWidth=800&amp;windowHeight=600","Map")</f>
        <v>Map</v>
      </c>
      <c r="O342" s="2" t="str">
        <f>HYPERLINK("http://www.windermere.com/index.cfm?fuseaction=Listing.MultiImageViewer&amp;ListingID=19241417&amp;ln=28010699&amp;pub_mls=1","More")</f>
        <v>More</v>
      </c>
      <c r="P342" t="s">
        <v>44</v>
      </c>
      <c r="AI342" t="s">
        <v>66</v>
      </c>
      <c r="AJ342">
        <v>98117</v>
      </c>
      <c r="AS342" t="s">
        <v>268</v>
      </c>
      <c r="AT342">
        <v>19241417</v>
      </c>
      <c r="AU342" s="12">
        <v>39495</v>
      </c>
      <c r="BB342" t="s">
        <v>912</v>
      </c>
      <c r="BC342" s="7">
        <v>39464</v>
      </c>
      <c r="BG342">
        <v>31</v>
      </c>
      <c r="BH342" s="17">
        <f t="shared" ca="1" si="5"/>
        <v>63</v>
      </c>
      <c r="BI342" s="17"/>
      <c r="BJ342" s="17"/>
    </row>
    <row r="343" spans="1:63" hidden="1">
      <c r="A343">
        <v>27194132</v>
      </c>
      <c r="B343" s="2" t="str">
        <f>HYPERLINK("http://www.windermere.com/index.cfm?fuseaction=Listing.ListingDetail&amp;ListingID=18892187","Subject To Inspection")</f>
        <v>Subject To Inspection</v>
      </c>
      <c r="D343" t="s">
        <v>101</v>
      </c>
      <c r="E343" t="s">
        <v>265</v>
      </c>
      <c r="F343" s="10">
        <v>490000</v>
      </c>
      <c r="G343" t="s">
        <v>149</v>
      </c>
      <c r="H343">
        <v>850</v>
      </c>
      <c r="I343">
        <v>16117</v>
      </c>
      <c r="J343">
        <v>2</v>
      </c>
      <c r="K343">
        <v>1</v>
      </c>
      <c r="M343" s="2" t="str">
        <f>HYPERLINK("http://www.windermere.com/index.cfm?fuseaction=Listing.MapPropertyInteractive&amp;ListingID=18892187&amp;resize=true&amp;windowWidth=800&amp;windowHeight=600","Map")</f>
        <v>Map</v>
      </c>
      <c r="O343" s="2" t="str">
        <f>HYPERLINK("http://www.windermere.com/index.cfm?fuseaction=Listing.MultiImageViewer&amp;ListingID=18892187&amp;ln=27194132&amp;pub_mls=1","More")</f>
        <v>More</v>
      </c>
      <c r="AI343" t="s">
        <v>66</v>
      </c>
      <c r="AJ343">
        <v>98117</v>
      </c>
      <c r="AS343" t="s">
        <v>266</v>
      </c>
      <c r="AT343">
        <v>18892187</v>
      </c>
      <c r="AU343" s="12">
        <v>39495</v>
      </c>
      <c r="BB343" t="s">
        <v>912</v>
      </c>
      <c r="BC343" s="7">
        <v>39386</v>
      </c>
      <c r="BG343">
        <v>109</v>
      </c>
      <c r="BH343" s="17">
        <f t="shared" ca="1" si="5"/>
        <v>141</v>
      </c>
      <c r="BI343" s="17"/>
      <c r="BJ343" s="17"/>
      <c r="BK343" t="str">
        <f>B343</f>
        <v>Subject To Inspection</v>
      </c>
    </row>
    <row r="344" spans="1:63" hidden="1">
      <c r="A344">
        <v>27166657</v>
      </c>
      <c r="B344" s="2" t="str">
        <f>HYPERLINK("http://www.windermere.com/index.cfm?fuseaction=Listing.ListingDetail&amp;ListingID=18620816","Active")</f>
        <v>Active</v>
      </c>
      <c r="D344" t="s">
        <v>60</v>
      </c>
      <c r="E344" t="s">
        <v>879</v>
      </c>
      <c r="F344" s="10">
        <v>492500</v>
      </c>
      <c r="G344" t="s">
        <v>177</v>
      </c>
      <c r="H344" s="1">
        <v>1484</v>
      </c>
      <c r="I344">
        <v>3720</v>
      </c>
      <c r="J344">
        <v>2</v>
      </c>
      <c r="K344">
        <v>1.5</v>
      </c>
      <c r="M344" s="2" t="str">
        <f>HYPERLINK("http://www.windermere.com/index.cfm?fuseaction=Listing.MapPropertyInteractive&amp;ListingID=18620816&amp;resize=true&amp;windowWidth=800&amp;windowHeight=600","Map")</f>
        <v>Map</v>
      </c>
      <c r="O344" s="2" t="str">
        <f>HYPERLINK("http://www.windermere.com/index.cfm?fuseaction=Listing.MultiImageViewer&amp;ListingID=18620816&amp;ln=27166657&amp;pub_mls=1","More")</f>
        <v>More</v>
      </c>
      <c r="P344" t="s">
        <v>44</v>
      </c>
      <c r="AI344" t="s">
        <v>66</v>
      </c>
      <c r="AJ344">
        <v>98103</v>
      </c>
      <c r="AS344" t="s">
        <v>880</v>
      </c>
      <c r="AT344">
        <v>18620816</v>
      </c>
      <c r="AU344" s="12">
        <v>39495</v>
      </c>
      <c r="BB344" t="s">
        <v>912</v>
      </c>
      <c r="BC344" s="7">
        <v>39337</v>
      </c>
      <c r="BD344">
        <v>1</v>
      </c>
      <c r="BE344" s="6" t="s">
        <v>1333</v>
      </c>
      <c r="BG344">
        <v>158</v>
      </c>
      <c r="BH344" s="17">
        <f t="shared" ca="1" si="5"/>
        <v>190</v>
      </c>
      <c r="BI344" s="17"/>
      <c r="BJ344" s="17"/>
    </row>
    <row r="345" spans="1:63" hidden="1">
      <c r="A345">
        <v>28001598</v>
      </c>
      <c r="B345" s="2" t="str">
        <f>HYPERLINK("http://www.windermere.com/index.cfm?fuseaction=Listing.ListingDetail&amp;ListingID=19153177","Active")</f>
        <v>Active</v>
      </c>
      <c r="D345" t="s">
        <v>100</v>
      </c>
      <c r="E345" t="s">
        <v>881</v>
      </c>
      <c r="F345" s="10">
        <v>495000</v>
      </c>
      <c r="G345" t="s">
        <v>124</v>
      </c>
      <c r="H345" s="1">
        <v>1240</v>
      </c>
      <c r="I345">
        <v>4000</v>
      </c>
      <c r="J345">
        <v>2</v>
      </c>
      <c r="K345">
        <v>2</v>
      </c>
      <c r="M345" s="2" t="str">
        <f>HYPERLINK("http://www.windermere.com/index.cfm?fuseaction=Listing.MapPropertyInteractive&amp;ListingID=19153177&amp;resize=true&amp;windowWidth=800&amp;windowHeight=600","Map")</f>
        <v>Map</v>
      </c>
      <c r="AI345" t="s">
        <v>66</v>
      </c>
      <c r="AJ345">
        <v>98107</v>
      </c>
      <c r="AS345" t="s">
        <v>882</v>
      </c>
      <c r="AT345">
        <v>19153177</v>
      </c>
      <c r="AU345" s="12">
        <v>39495</v>
      </c>
      <c r="BB345" t="s">
        <v>912</v>
      </c>
      <c r="BC345" s="7">
        <v>39450</v>
      </c>
      <c r="BG345">
        <v>45</v>
      </c>
      <c r="BH345" s="17">
        <f t="shared" ca="1" si="5"/>
        <v>77</v>
      </c>
      <c r="BI345" s="17"/>
      <c r="BJ345" s="17"/>
    </row>
    <row r="346" spans="1:63" hidden="1">
      <c r="A346">
        <v>28003291</v>
      </c>
      <c r="B346" s="2" t="str">
        <f>HYPERLINK("http://www.windermere.com/index.cfm?fuseaction=Listing.ListingDetail&amp;ListingID=19168304","Active")</f>
        <v>Active</v>
      </c>
      <c r="D346" t="s">
        <v>192</v>
      </c>
      <c r="E346" t="s">
        <v>883</v>
      </c>
      <c r="F346" s="10">
        <v>495000</v>
      </c>
      <c r="G346" t="s">
        <v>146</v>
      </c>
      <c r="H346" s="1">
        <v>1260</v>
      </c>
      <c r="I346">
        <v>7250</v>
      </c>
      <c r="J346">
        <v>2</v>
      </c>
      <c r="K346">
        <v>1</v>
      </c>
      <c r="M346" s="2" t="str">
        <f>HYPERLINK("http://www.windermere.com/index.cfm?fuseaction=Listing.MapPropertyInteractive&amp;ListingID=19168304&amp;resize=true&amp;windowWidth=800&amp;windowHeight=600","Map")</f>
        <v>Map</v>
      </c>
      <c r="O346" s="2" t="str">
        <f>HYPERLINK("http://www.windermere.com/index.cfm?fuseaction=Listing.MultiImageViewer&amp;ListingID=19168304&amp;ln=28003291&amp;pub_mls=1","More")</f>
        <v>More</v>
      </c>
      <c r="P346" t="s">
        <v>44</v>
      </c>
      <c r="AI346" t="s">
        <v>66</v>
      </c>
      <c r="AJ346">
        <v>98115</v>
      </c>
      <c r="AS346" t="s">
        <v>884</v>
      </c>
      <c r="AT346">
        <v>19168304</v>
      </c>
      <c r="AU346" s="12">
        <v>39495</v>
      </c>
      <c r="BB346" t="s">
        <v>912</v>
      </c>
      <c r="BC346" s="7">
        <v>39452</v>
      </c>
      <c r="BG346">
        <v>43</v>
      </c>
      <c r="BH346" s="17">
        <f t="shared" ca="1" si="5"/>
        <v>75</v>
      </c>
      <c r="BI346" s="17"/>
      <c r="BJ346" s="17"/>
    </row>
    <row r="347" spans="1:63" hidden="1">
      <c r="A347">
        <v>28013425</v>
      </c>
      <c r="B347" s="2" t="str">
        <f>HYPERLINK("http://www.windermere.com/index.cfm?fuseaction=Listing.ListingDetail&amp;ListingID=19261684","Active")</f>
        <v>Active</v>
      </c>
      <c r="D347" t="s">
        <v>984</v>
      </c>
      <c r="E347" t="s">
        <v>1151</v>
      </c>
      <c r="F347" s="10">
        <v>495000</v>
      </c>
      <c r="G347" t="s">
        <v>157</v>
      </c>
      <c r="H347" s="1">
        <v>1140</v>
      </c>
      <c r="I347">
        <v>7200</v>
      </c>
      <c r="J347">
        <v>3</v>
      </c>
      <c r="K347">
        <v>1</v>
      </c>
      <c r="M347" s="2" t="str">
        <f>HYPERLINK("http://www.windermere.com/index.cfm?fuseaction=Listing.MapPropertyInteractive&amp;ListingID=19261684&amp;resize=true&amp;windowWidth=800&amp;windowHeight=600","Map")</f>
        <v>Map</v>
      </c>
      <c r="O347" s="2" t="str">
        <f>HYPERLINK("http://www.windermere.com/index.cfm?fuseaction=Listing.MultiImageViewer&amp;ListingID=19261684&amp;ln=28013425&amp;pub_mls=1","More")</f>
        <v>More</v>
      </c>
      <c r="AI347" t="s">
        <v>66</v>
      </c>
      <c r="AJ347">
        <v>98125</v>
      </c>
      <c r="AS347" t="s">
        <v>1152</v>
      </c>
      <c r="AT347">
        <v>19261684</v>
      </c>
      <c r="AU347" s="12">
        <v>39495</v>
      </c>
      <c r="BB347" t="s">
        <v>912</v>
      </c>
      <c r="BC347" s="7">
        <v>39469</v>
      </c>
      <c r="BG347">
        <v>26</v>
      </c>
      <c r="BH347" s="17">
        <f t="shared" ca="1" si="5"/>
        <v>58</v>
      </c>
      <c r="BI347" s="17"/>
      <c r="BJ347" s="17"/>
    </row>
    <row r="348" spans="1:63">
      <c r="A348">
        <v>28025807</v>
      </c>
      <c r="B348" s="2" t="str">
        <f>HYPERLINK("http://www.windermere.com/index.cfm?fuseaction=Listing.ListingDetail&amp;ListingID=19365411","Active")</f>
        <v>Active</v>
      </c>
      <c r="D348" t="s">
        <v>63</v>
      </c>
      <c r="E348" t="s">
        <v>263</v>
      </c>
      <c r="F348" s="13">
        <v>485000</v>
      </c>
      <c r="G348" t="s">
        <v>149</v>
      </c>
      <c r="H348" s="1">
        <v>2100</v>
      </c>
      <c r="I348">
        <v>4005</v>
      </c>
      <c r="J348">
        <v>3</v>
      </c>
      <c r="K348">
        <v>1</v>
      </c>
      <c r="M348" s="2" t="str">
        <f>HYPERLINK("http://www.windermere.com/index.cfm?fuseaction=Listing.MapPropertyInteractive&amp;ListingID=19365411&amp;resize=true&amp;windowWidth=800&amp;windowHeight=600","Map")</f>
        <v>Map</v>
      </c>
      <c r="O348" s="2" t="str">
        <f>HYPERLINK("http://www.windermere.com/index.cfm?fuseaction=Listing.MultiImageViewer&amp;ListingID=19365411&amp;ln=28025807&amp;pub_mls=1","More")</f>
        <v>More</v>
      </c>
      <c r="AI348" t="s">
        <v>66</v>
      </c>
      <c r="AJ348">
        <v>98117</v>
      </c>
      <c r="AS348" t="s">
        <v>264</v>
      </c>
      <c r="AT348">
        <v>19365411</v>
      </c>
      <c r="AU348" s="12">
        <v>39495</v>
      </c>
      <c r="BB348" t="s">
        <v>912</v>
      </c>
      <c r="BC348" s="7">
        <v>39491</v>
      </c>
      <c r="BD348" t="s">
        <v>1625</v>
      </c>
      <c r="BE348" t="s">
        <v>1628</v>
      </c>
      <c r="BF348" s="7">
        <v>39508</v>
      </c>
      <c r="BG348">
        <v>4</v>
      </c>
      <c r="BH348" s="17">
        <f t="shared" ca="1" si="5"/>
        <v>36</v>
      </c>
      <c r="BI348" s="17"/>
      <c r="BJ348" s="17"/>
    </row>
    <row r="349" spans="1:63" hidden="1">
      <c r="A349">
        <v>28027518</v>
      </c>
      <c r="B349" s="2" t="str">
        <f>HYPERLINK("http://www.windermere.com/index.cfm?fuseaction=Listing.ListingDetail&amp;ListingID=19377896","Active")</f>
        <v>Active</v>
      </c>
      <c r="D349" t="s">
        <v>63</v>
      </c>
      <c r="E349" t="s">
        <v>261</v>
      </c>
      <c r="F349" s="10">
        <v>495000</v>
      </c>
      <c r="G349" t="s">
        <v>247</v>
      </c>
      <c r="H349" s="1">
        <v>1670</v>
      </c>
      <c r="J349">
        <v>3</v>
      </c>
      <c r="K349">
        <v>3.5</v>
      </c>
      <c r="M349" s="2" t="str">
        <f>HYPERLINK("http://www.windermere.com/index.cfm?fuseaction=Listing.MapPropertyInteractive&amp;ListingID=19377896&amp;resize=true&amp;windowWidth=800&amp;windowHeight=600","Map")</f>
        <v>Map</v>
      </c>
      <c r="O349" s="2" t="str">
        <f>HYPERLINK("http://www.windermere.com/index.cfm?fuseaction=Listing.MultiImageViewer&amp;ListingID=19377896&amp;ln=28027518&amp;pub_mls=1","More")</f>
        <v>More</v>
      </c>
      <c r="P349" t="s">
        <v>44</v>
      </c>
      <c r="AI349" t="s">
        <v>66</v>
      </c>
      <c r="AJ349">
        <v>98117</v>
      </c>
      <c r="AS349" t="s">
        <v>262</v>
      </c>
      <c r="AT349">
        <v>19377896</v>
      </c>
      <c r="AU349" s="12">
        <v>39495</v>
      </c>
      <c r="BB349" t="s">
        <v>912</v>
      </c>
      <c r="BC349" s="7">
        <v>39493</v>
      </c>
      <c r="BG349">
        <v>2</v>
      </c>
      <c r="BH349" s="17">
        <f t="shared" ca="1" si="5"/>
        <v>34</v>
      </c>
      <c r="BI349" s="17"/>
      <c r="BJ349" s="17"/>
    </row>
    <row r="350" spans="1:63" hidden="1">
      <c r="A350">
        <v>27215393</v>
      </c>
      <c r="B350" s="15" t="str">
        <f>HYPERLINK("http://www.windermere.com/index.cfm?fuseaction=Listing.ListingDetail&amp;ListingID=19125238","Subject To Inspection")</f>
        <v>Subject To Inspection</v>
      </c>
      <c r="D350" t="s">
        <v>1024</v>
      </c>
      <c r="E350" t="s">
        <v>259</v>
      </c>
      <c r="F350" s="10">
        <v>498500</v>
      </c>
      <c r="G350" t="s">
        <v>124</v>
      </c>
      <c r="H350" s="1">
        <v>2460</v>
      </c>
      <c r="J350">
        <v>3</v>
      </c>
      <c r="K350">
        <v>1.75</v>
      </c>
      <c r="M350" s="2" t="str">
        <f>HYPERLINK("http://www.windermere.com/index.cfm?fuseaction=Listing.MapPropertyInteractive&amp;ListingID=19125238&amp;resize=true&amp;windowWidth=800&amp;windowHeight=600","Map")</f>
        <v>Map</v>
      </c>
      <c r="O350" s="2" t="str">
        <f>HYPERLINK("http://www.windermere.com/index.cfm?fuseaction=Listing.MultiImageViewer&amp;ListingID=19125238&amp;ln=27215393&amp;pub_mls=1","More")</f>
        <v>More</v>
      </c>
      <c r="P350" t="s">
        <v>44</v>
      </c>
      <c r="AI350" t="s">
        <v>66</v>
      </c>
      <c r="AJ350">
        <v>98117</v>
      </c>
      <c r="AS350" t="s">
        <v>260</v>
      </c>
      <c r="AT350">
        <v>19125238</v>
      </c>
      <c r="AU350" s="12">
        <v>39495</v>
      </c>
      <c r="BB350" t="s">
        <v>912</v>
      </c>
      <c r="BC350" s="7">
        <v>39439</v>
      </c>
      <c r="BG350">
        <v>56</v>
      </c>
      <c r="BH350" s="17">
        <f t="shared" ca="1" si="5"/>
        <v>88</v>
      </c>
      <c r="BI350" s="17"/>
      <c r="BJ350" s="17"/>
    </row>
    <row r="351" spans="1:63" hidden="1">
      <c r="A351">
        <v>27173714</v>
      </c>
      <c r="B351" s="2" t="str">
        <f>HYPERLINK("http://www.windermere.com/index.cfm?fuseaction=Listing.ListingDetail&amp;ListingID=19153814","Active")</f>
        <v>Active</v>
      </c>
      <c r="D351" t="s">
        <v>60</v>
      </c>
      <c r="E351" t="s">
        <v>885</v>
      </c>
      <c r="F351" s="10">
        <v>499000</v>
      </c>
      <c r="G351" t="s">
        <v>156</v>
      </c>
      <c r="H351" s="1">
        <v>1860</v>
      </c>
      <c r="I351">
        <v>4340</v>
      </c>
      <c r="J351">
        <v>2</v>
      </c>
      <c r="K351">
        <v>1.75</v>
      </c>
      <c r="M351" s="2" t="str">
        <f>HYPERLINK("http://www.windermere.com/index.cfm?fuseaction=Listing.MapPropertyInteractive&amp;ListingID=19153814&amp;resize=true&amp;windowWidth=800&amp;windowHeight=600","Map")</f>
        <v>Map</v>
      </c>
      <c r="O351" s="2" t="str">
        <f>HYPERLINK("http://www.windermere.com/index.cfm?fuseaction=Listing.MultiImageViewer&amp;ListingID=19153814&amp;ln=27173714&amp;pub_mls=1","More")</f>
        <v>More</v>
      </c>
      <c r="AI351" t="s">
        <v>66</v>
      </c>
      <c r="AJ351">
        <v>98103</v>
      </c>
      <c r="AS351" t="s">
        <v>886</v>
      </c>
      <c r="AT351">
        <v>19153814</v>
      </c>
      <c r="AU351" s="12">
        <v>39495</v>
      </c>
      <c r="BB351" t="s">
        <v>912</v>
      </c>
      <c r="BC351" s="7">
        <v>39347</v>
      </c>
      <c r="BG351">
        <v>148</v>
      </c>
      <c r="BH351" s="17">
        <f t="shared" ca="1" si="5"/>
        <v>180</v>
      </c>
      <c r="BI351" s="17"/>
      <c r="BJ351" s="17"/>
    </row>
    <row r="352" spans="1:63" hidden="1">
      <c r="A352">
        <v>28001855</v>
      </c>
      <c r="B352" s="2" t="str">
        <f>HYPERLINK("http://www.windermere.com/index.cfm?fuseaction=Listing.ListingDetail&amp;ListingID=19154776","Active")</f>
        <v>Active</v>
      </c>
      <c r="D352" t="s">
        <v>63</v>
      </c>
      <c r="E352" t="s">
        <v>887</v>
      </c>
      <c r="F352" s="13">
        <v>475000</v>
      </c>
      <c r="G352" t="s">
        <v>379</v>
      </c>
      <c r="H352" s="1">
        <v>1890</v>
      </c>
      <c r="I352">
        <v>5000</v>
      </c>
      <c r="J352">
        <v>3</v>
      </c>
      <c r="K352">
        <v>1.75</v>
      </c>
      <c r="M352" s="2" t="str">
        <f>HYPERLINK("http://www.windermere.com/index.cfm?fuseaction=Listing.MapPropertyInteractive&amp;ListingID=19154776&amp;resize=true&amp;windowWidth=800&amp;windowHeight=600","Map")</f>
        <v>Map</v>
      </c>
      <c r="O352" s="2" t="str">
        <f>HYPERLINK("http://www.windermere.com/index.cfm?fuseaction=Listing.MultiImageViewer&amp;ListingID=19154776&amp;ln=28001855&amp;pub_mls=1","More")</f>
        <v>More</v>
      </c>
      <c r="AI352" t="s">
        <v>66</v>
      </c>
      <c r="AJ352">
        <v>98107</v>
      </c>
      <c r="AS352" t="s">
        <v>888</v>
      </c>
      <c r="AT352">
        <v>19154776</v>
      </c>
      <c r="AU352" s="12">
        <v>39495</v>
      </c>
      <c r="BB352" t="s">
        <v>912</v>
      </c>
      <c r="BC352" s="7">
        <v>39450</v>
      </c>
      <c r="BG352">
        <v>45</v>
      </c>
      <c r="BH352" s="17">
        <f t="shared" ca="1" si="5"/>
        <v>77</v>
      </c>
      <c r="BI352" s="17"/>
      <c r="BJ352" s="17"/>
    </row>
    <row r="353" spans="1:62" hidden="1">
      <c r="A353">
        <v>28021107</v>
      </c>
      <c r="B353" s="15" t="str">
        <f>HYPERLINK("http://www.windermere.com/index.cfm?fuseaction=Listing.ListingDetail&amp;ListingID=19350736","Subject To Inspection")</f>
        <v>Subject To Inspection</v>
      </c>
      <c r="D353" t="s">
        <v>1153</v>
      </c>
      <c r="E353" t="s">
        <v>1154</v>
      </c>
      <c r="F353" s="10">
        <v>499000</v>
      </c>
      <c r="G353" t="s">
        <v>124</v>
      </c>
      <c r="H353" s="1">
        <v>2120</v>
      </c>
      <c r="I353">
        <v>5000</v>
      </c>
      <c r="J353">
        <v>3</v>
      </c>
      <c r="K353">
        <v>1.75</v>
      </c>
      <c r="M353" s="2" t="str">
        <f>HYPERLINK("http://www.windermere.com/index.cfm?fuseaction=Listing.MapPropertyInteractive&amp;ListingID=19350736&amp;resize=true&amp;windowWidth=800&amp;windowHeight=600","Map")</f>
        <v>Map</v>
      </c>
      <c r="O353" s="2" t="str">
        <f>HYPERLINK("http://www.windermere.com/index.cfm?fuseaction=Listing.MultiImageViewer&amp;ListingID=19350736&amp;ln=28021107&amp;pub_mls=1","More")</f>
        <v>More</v>
      </c>
      <c r="AI353" t="s">
        <v>66</v>
      </c>
      <c r="AJ353">
        <v>98115</v>
      </c>
      <c r="AS353" t="s">
        <v>1155</v>
      </c>
      <c r="AT353">
        <v>19350736</v>
      </c>
      <c r="AU353" s="12">
        <v>39495</v>
      </c>
      <c r="BB353" t="s">
        <v>912</v>
      </c>
      <c r="BC353" s="7">
        <v>39489</v>
      </c>
      <c r="BD353">
        <v>3</v>
      </c>
      <c r="BE353" t="s">
        <v>1344</v>
      </c>
      <c r="BF353" s="7">
        <v>39494</v>
      </c>
      <c r="BG353">
        <v>6</v>
      </c>
      <c r="BH353" s="17">
        <f t="shared" ca="1" si="5"/>
        <v>38</v>
      </c>
      <c r="BI353" s="17"/>
      <c r="BJ353" s="17"/>
    </row>
    <row r="354" spans="1:62" hidden="1">
      <c r="A354">
        <v>28027687</v>
      </c>
      <c r="B354" s="2" t="str">
        <f>HYPERLINK("http://www.windermere.com/index.cfm?fuseaction=Listing.ListingDetail&amp;ListingID=19381434","Active")</f>
        <v>Active</v>
      </c>
      <c r="D354" t="s">
        <v>100</v>
      </c>
      <c r="E354" t="s">
        <v>889</v>
      </c>
      <c r="F354" s="10">
        <v>499000</v>
      </c>
      <c r="G354" t="s">
        <v>135</v>
      </c>
      <c r="H354" s="1">
        <v>2390</v>
      </c>
      <c r="I354">
        <v>3600</v>
      </c>
      <c r="J354">
        <v>5</v>
      </c>
      <c r="K354">
        <v>2.5</v>
      </c>
      <c r="M354" s="2" t="str">
        <f>HYPERLINK("http://www.windermere.com/index.cfm?fuseaction=Listing.MapPropertyInteractive&amp;ListingID=19381434&amp;resize=true&amp;windowWidth=800&amp;windowHeight=600","Map")</f>
        <v>Map</v>
      </c>
      <c r="O354" s="2" t="str">
        <f>HYPERLINK("http://www.windermere.com/index.cfm?fuseaction=Listing.MultiImageViewer&amp;ListingID=19381434&amp;ln=28027687&amp;pub_mls=1","More")</f>
        <v>More</v>
      </c>
      <c r="P354" t="s">
        <v>44</v>
      </c>
      <c r="AI354" t="s">
        <v>66</v>
      </c>
      <c r="AJ354">
        <v>98103</v>
      </c>
      <c r="AS354" t="s">
        <v>890</v>
      </c>
      <c r="AT354">
        <v>19381434</v>
      </c>
      <c r="AU354" s="12">
        <v>39495</v>
      </c>
      <c r="BB354" t="s">
        <v>912</v>
      </c>
      <c r="BC354" s="7">
        <v>39494</v>
      </c>
      <c r="BG354">
        <v>1</v>
      </c>
      <c r="BH354" s="17">
        <f t="shared" ca="1" si="5"/>
        <v>33</v>
      </c>
      <c r="BI354" s="17"/>
      <c r="BJ354" s="17"/>
    </row>
    <row r="355" spans="1:62" hidden="1">
      <c r="A355">
        <v>27199728</v>
      </c>
      <c r="B355" s="15" t="str">
        <f>HYPERLINK("http://www.windermere.com/index.cfm?fuseaction=Listing.ListingDetail&amp;ListingID=18941377","Subject To Inspection")</f>
        <v>Subject To Inspection</v>
      </c>
      <c r="D355" t="s">
        <v>109</v>
      </c>
      <c r="E355" t="s">
        <v>891</v>
      </c>
      <c r="F355" s="10">
        <v>499900</v>
      </c>
      <c r="G355" t="s">
        <v>256</v>
      </c>
      <c r="H355" s="1">
        <v>1450</v>
      </c>
      <c r="J355">
        <v>3</v>
      </c>
      <c r="K355">
        <v>3.25</v>
      </c>
      <c r="M355" s="2" t="str">
        <f>HYPERLINK("http://www.windermere.com/index.cfm?fuseaction=Listing.MapPropertyInteractive&amp;ListingID=18941377&amp;resize=true&amp;windowWidth=800&amp;windowHeight=600","Map")</f>
        <v>Map</v>
      </c>
      <c r="O355" s="2" t="str">
        <f>HYPERLINK("http://www.windermere.com/index.cfm?fuseaction=Listing.MultiImageViewer&amp;ListingID=18941377&amp;ln=27199728&amp;pub_mls=1","More")</f>
        <v>More</v>
      </c>
      <c r="P355" t="s">
        <v>44</v>
      </c>
      <c r="AI355" t="s">
        <v>66</v>
      </c>
      <c r="AJ355">
        <v>98103</v>
      </c>
      <c r="AS355" t="s">
        <v>892</v>
      </c>
      <c r="AT355">
        <v>18941377</v>
      </c>
      <c r="AU355" s="12">
        <v>39495</v>
      </c>
      <c r="BB355" t="s">
        <v>912</v>
      </c>
      <c r="BC355" s="7">
        <v>39395</v>
      </c>
      <c r="BD355">
        <v>0</v>
      </c>
      <c r="BE355" t="s">
        <v>1327</v>
      </c>
      <c r="BG355">
        <v>100</v>
      </c>
      <c r="BH355" s="17">
        <f t="shared" ca="1" si="5"/>
        <v>132</v>
      </c>
      <c r="BI355" s="17"/>
      <c r="BJ355" s="17"/>
    </row>
    <row r="356" spans="1:62" hidden="1">
      <c r="A356">
        <v>27167787</v>
      </c>
      <c r="B356" s="2" t="str">
        <f>HYPERLINK("http://www.windermere.com/index.cfm?fuseaction=Listing.ListingDetail&amp;ListingID=18632922","Active")</f>
        <v>Active</v>
      </c>
      <c r="D356" t="s">
        <v>60</v>
      </c>
      <c r="E356" t="s">
        <v>905</v>
      </c>
      <c r="F356" s="10">
        <v>499950</v>
      </c>
      <c r="G356" t="s">
        <v>215</v>
      </c>
      <c r="H356" s="1">
        <v>2240</v>
      </c>
      <c r="I356">
        <v>3821</v>
      </c>
      <c r="J356">
        <v>4</v>
      </c>
      <c r="K356">
        <v>2.75</v>
      </c>
      <c r="M356" s="2" t="str">
        <f>HYPERLINK("http://www.windermere.com/index.cfm?fuseaction=Listing.MapPropertyInteractive&amp;ListingID=18632922&amp;resize=true&amp;windowWidth=800&amp;windowHeight=600","Map")</f>
        <v>Map</v>
      </c>
      <c r="O356" s="2" t="str">
        <f>HYPERLINK("http://www.windermere.com/index.cfm?fuseaction=viewGallery.Home&amp;customTourID=193954&amp;wvt=0","More")</f>
        <v>More</v>
      </c>
      <c r="P356" t="s">
        <v>44</v>
      </c>
      <c r="AI356" t="s">
        <v>66</v>
      </c>
      <c r="AJ356">
        <v>98103</v>
      </c>
      <c r="AS356" t="s">
        <v>906</v>
      </c>
      <c r="AT356">
        <v>18632922</v>
      </c>
      <c r="AU356" s="12">
        <v>39495</v>
      </c>
      <c r="BB356" t="s">
        <v>912</v>
      </c>
      <c r="BC356" s="7">
        <v>39338</v>
      </c>
      <c r="BG356">
        <v>157</v>
      </c>
      <c r="BH356" s="17">
        <f t="shared" ca="1" si="5"/>
        <v>189</v>
      </c>
      <c r="BI356" s="17"/>
      <c r="BJ356" s="17"/>
    </row>
    <row r="357" spans="1:62" hidden="1">
      <c r="A357">
        <v>27176949</v>
      </c>
      <c r="B357" s="2" t="str">
        <f>HYPERLINK("http://www.windermere.com/index.cfm?fuseaction=Listing.ListingDetail&amp;ListingID=18734876","Active")</f>
        <v>Active</v>
      </c>
      <c r="D357" t="s">
        <v>188</v>
      </c>
      <c r="E357" t="s">
        <v>223</v>
      </c>
      <c r="F357" s="10">
        <v>499950</v>
      </c>
      <c r="G357" t="s">
        <v>162</v>
      </c>
      <c r="H357" s="1">
        <v>1230</v>
      </c>
      <c r="I357">
        <v>8774</v>
      </c>
      <c r="J357">
        <v>3</v>
      </c>
      <c r="K357">
        <v>1</v>
      </c>
      <c r="M357" s="2" t="str">
        <f>HYPERLINK("http://www.windermere.com/index.cfm?fuseaction=Listing.MapPropertyInteractive&amp;ListingID=18734876&amp;resize=true&amp;windowWidth=800&amp;windowHeight=600","Map")</f>
        <v>Map</v>
      </c>
      <c r="O357" s="2" t="str">
        <f>HYPERLINK("http://www.windermere.com/index.cfm?fuseaction=viewGallery.Home&amp;customTourID=105948&amp;wvt=0","More")</f>
        <v>More</v>
      </c>
      <c r="AI357" t="s">
        <v>66</v>
      </c>
      <c r="AJ357">
        <v>98125</v>
      </c>
      <c r="AS357" t="s">
        <v>1158</v>
      </c>
      <c r="AT357">
        <v>18734876</v>
      </c>
      <c r="AU357" s="12">
        <v>39495</v>
      </c>
      <c r="BB357" t="s">
        <v>912</v>
      </c>
      <c r="BC357" s="7">
        <v>39354</v>
      </c>
      <c r="BG357">
        <v>141</v>
      </c>
      <c r="BH357" s="17">
        <f t="shared" ca="1" si="5"/>
        <v>173</v>
      </c>
      <c r="BI357" s="17"/>
      <c r="BJ357" s="17"/>
    </row>
    <row r="358" spans="1:62" hidden="1">
      <c r="A358">
        <v>27183015</v>
      </c>
      <c r="B358" s="2" t="str">
        <f>HYPERLINK("http://www.windermere.com/index.cfm?fuseaction=Listing.ListingDetail&amp;ListingID=18803463","Active")</f>
        <v>Active</v>
      </c>
      <c r="D358" t="s">
        <v>188</v>
      </c>
      <c r="E358" t="s">
        <v>907</v>
      </c>
      <c r="F358" s="10">
        <v>499950</v>
      </c>
      <c r="G358" t="s">
        <v>248</v>
      </c>
      <c r="H358" s="1">
        <v>2460</v>
      </c>
      <c r="I358">
        <v>7216</v>
      </c>
      <c r="J358">
        <v>5</v>
      </c>
      <c r="K358">
        <v>2.5</v>
      </c>
      <c r="M358" s="2" t="str">
        <f>HYPERLINK("http://www.windermere.com/index.cfm?fuseaction=Listing.MapPropertyInteractive&amp;ListingID=18803463&amp;resize=true&amp;windowWidth=800&amp;windowHeight=600","Map")</f>
        <v>Map</v>
      </c>
      <c r="O358" s="2" t="str">
        <f>HYPERLINK("http://www.windermere.com/index.cfm?fuseaction=Listing.MultiImageViewer&amp;ListingID=18803463&amp;ln=27183015&amp;pub_mls=1","More")</f>
        <v>More</v>
      </c>
      <c r="AI358" t="s">
        <v>66</v>
      </c>
      <c r="AJ358">
        <v>98125</v>
      </c>
      <c r="AS358" t="s">
        <v>908</v>
      </c>
      <c r="AT358">
        <v>18803463</v>
      </c>
      <c r="AU358" s="12">
        <v>39495</v>
      </c>
      <c r="BB358" t="s">
        <v>912</v>
      </c>
      <c r="BC358" s="7">
        <v>39367</v>
      </c>
      <c r="BG358">
        <v>128</v>
      </c>
      <c r="BH358" s="17">
        <f t="shared" ca="1" si="5"/>
        <v>160</v>
      </c>
      <c r="BI358" s="17"/>
      <c r="BJ358" s="17"/>
    </row>
    <row r="359" spans="1:62" hidden="1">
      <c r="A359">
        <v>28008220</v>
      </c>
      <c r="B359" s="2" t="str">
        <f>HYPERLINK("http://www.windermere.com/index.cfm?fuseaction=Listing.ListingDetail&amp;ListingID=19219494","Active")</f>
        <v>Active</v>
      </c>
      <c r="D359" t="s">
        <v>55</v>
      </c>
      <c r="E359" t="s">
        <v>257</v>
      </c>
      <c r="F359" s="10">
        <v>499950</v>
      </c>
      <c r="G359" t="s">
        <v>129</v>
      </c>
      <c r="H359" s="1">
        <v>1180</v>
      </c>
      <c r="I359">
        <v>4700</v>
      </c>
      <c r="J359">
        <v>3</v>
      </c>
      <c r="K359">
        <v>1.5</v>
      </c>
      <c r="M359" s="2" t="str">
        <f>HYPERLINK("http://www.windermere.com/index.cfm?fuseaction=Listing.MapPropertyInteractive&amp;ListingID=19219494&amp;resize=true&amp;windowWidth=800&amp;windowHeight=600","Map")</f>
        <v>Map</v>
      </c>
      <c r="O359" s="2" t="str">
        <f>HYPERLINK("http://www.windermere.com/index.cfm?fuseaction=Listing.MultiImageViewer&amp;ListingID=19219494&amp;ln=28008220&amp;pub_mls=1","More")</f>
        <v>More</v>
      </c>
      <c r="AI359" t="s">
        <v>66</v>
      </c>
      <c r="AJ359">
        <v>98117</v>
      </c>
      <c r="AS359" t="s">
        <v>258</v>
      </c>
      <c r="AT359">
        <v>19219494</v>
      </c>
      <c r="AU359" s="12">
        <v>39495</v>
      </c>
      <c r="BB359" t="s">
        <v>912</v>
      </c>
      <c r="BC359" s="7">
        <v>39460</v>
      </c>
      <c r="BG359">
        <v>35</v>
      </c>
      <c r="BH359" s="17">
        <f t="shared" ca="1" si="5"/>
        <v>67</v>
      </c>
      <c r="BI359" s="17"/>
      <c r="BJ359" s="17"/>
    </row>
    <row r="360" spans="1:62" hidden="1">
      <c r="A360">
        <v>28014004</v>
      </c>
      <c r="B360" s="2" t="str">
        <f>HYPERLINK("http://www.windermere.com/index.cfm?fuseaction=Listing.ListingDetail&amp;ListingID=19265101","Active")</f>
        <v>Active</v>
      </c>
      <c r="D360" t="s">
        <v>226</v>
      </c>
      <c r="E360" t="s">
        <v>901</v>
      </c>
      <c r="F360" s="13">
        <v>489950</v>
      </c>
      <c r="G360" t="s">
        <v>247</v>
      </c>
      <c r="H360" s="1">
        <v>1545</v>
      </c>
      <c r="J360">
        <v>3</v>
      </c>
      <c r="K360">
        <v>2.5</v>
      </c>
      <c r="M360" s="2" t="str">
        <f>HYPERLINK("http://www.windermere.com/index.cfm?fuseaction=Listing.MapPropertyInteractive&amp;ListingID=19265101&amp;resize=true&amp;windowWidth=800&amp;windowHeight=600","Map")</f>
        <v>Map</v>
      </c>
      <c r="O360" s="2" t="str">
        <f>HYPERLINK("http://www.windermere.com/index.cfm?fuseaction=Listing.MultiImageViewer&amp;ListingID=19265101&amp;ln=28014004&amp;pub_mls=1","More")</f>
        <v>More</v>
      </c>
      <c r="P360" t="s">
        <v>44</v>
      </c>
      <c r="AI360" t="s">
        <v>66</v>
      </c>
      <c r="AJ360">
        <v>98105</v>
      </c>
      <c r="AS360" t="s">
        <v>902</v>
      </c>
      <c r="AT360">
        <v>19265101</v>
      </c>
      <c r="AU360" s="12">
        <v>39495</v>
      </c>
      <c r="BB360" t="s">
        <v>912</v>
      </c>
      <c r="BC360" s="7">
        <v>39470</v>
      </c>
      <c r="BG360">
        <v>25</v>
      </c>
      <c r="BH360" s="17">
        <f t="shared" ca="1" si="5"/>
        <v>57</v>
      </c>
      <c r="BI360" s="17"/>
      <c r="BJ360" s="17"/>
    </row>
    <row r="361" spans="1:62" hidden="1">
      <c r="A361">
        <v>28014006</v>
      </c>
      <c r="B361" s="2" t="str">
        <f>HYPERLINK("http://www.windermere.com/index.cfm?fuseaction=Listing.ListingDetail&amp;ListingID=19265102","Active")</f>
        <v>Active</v>
      </c>
      <c r="D361" t="s">
        <v>226</v>
      </c>
      <c r="E361" t="s">
        <v>899</v>
      </c>
      <c r="F361" s="13">
        <v>474995</v>
      </c>
      <c r="G361" t="s">
        <v>247</v>
      </c>
      <c r="H361" s="1">
        <v>1545</v>
      </c>
      <c r="J361">
        <v>3</v>
      </c>
      <c r="K361">
        <v>2.5</v>
      </c>
      <c r="M361" s="2" t="str">
        <f>HYPERLINK("http://www.windermere.com/index.cfm?fuseaction=Listing.MapPropertyInteractive&amp;ListingID=19265102&amp;resize=true&amp;windowWidth=800&amp;windowHeight=600","Map")</f>
        <v>Map</v>
      </c>
      <c r="O361" s="2" t="str">
        <f>HYPERLINK("http://www.windermere.com/index.cfm?fuseaction=Listing.MultiImageViewer&amp;ListingID=19265102&amp;ln=28014006&amp;pub_mls=1","More")</f>
        <v>More</v>
      </c>
      <c r="P361" t="s">
        <v>44</v>
      </c>
      <c r="AI361" t="s">
        <v>66</v>
      </c>
      <c r="AJ361">
        <v>98105</v>
      </c>
      <c r="AS361" t="s">
        <v>900</v>
      </c>
      <c r="AT361">
        <v>19265102</v>
      </c>
      <c r="AU361" s="12">
        <v>39495</v>
      </c>
      <c r="BB361" t="s">
        <v>912</v>
      </c>
      <c r="BC361" s="7">
        <v>39470</v>
      </c>
      <c r="BG361">
        <v>25</v>
      </c>
      <c r="BH361" s="17">
        <f t="shared" ca="1" si="5"/>
        <v>57</v>
      </c>
      <c r="BI361" s="17"/>
      <c r="BJ361" s="17"/>
    </row>
    <row r="362" spans="1:62" hidden="1">
      <c r="A362">
        <v>28020407</v>
      </c>
      <c r="B362" s="2" t="str">
        <f>HYPERLINK("http://www.windermere.com/index.cfm?fuseaction=Listing.ListingDetail&amp;ListingID=19318148","Active")</f>
        <v>Active</v>
      </c>
      <c r="D362" t="s">
        <v>213</v>
      </c>
      <c r="E362" t="s">
        <v>1156</v>
      </c>
      <c r="F362" s="10">
        <v>499950</v>
      </c>
      <c r="G362" t="s">
        <v>878</v>
      </c>
      <c r="H362" s="1">
        <v>1780</v>
      </c>
      <c r="I362">
        <v>5051</v>
      </c>
      <c r="J362">
        <v>3</v>
      </c>
      <c r="K362">
        <v>2</v>
      </c>
      <c r="M362" s="2" t="str">
        <f>HYPERLINK("http://www.windermere.com/index.cfm?fuseaction=Listing.MapPropertyInteractive&amp;ListingID=19318148&amp;resize=true&amp;windowWidth=800&amp;windowHeight=600","Map")</f>
        <v>Map</v>
      </c>
      <c r="O362" s="2" t="str">
        <f>HYPERLINK("http://www.windermere.com/index.cfm?fuseaction=Listing.MultiImageViewer&amp;ListingID=19318148&amp;ln=28020407&amp;pub_mls=1","More")</f>
        <v>More</v>
      </c>
      <c r="P362" t="s">
        <v>44</v>
      </c>
      <c r="AI362" t="s">
        <v>66</v>
      </c>
      <c r="AJ362">
        <v>98125</v>
      </c>
      <c r="AS362" t="s">
        <v>1157</v>
      </c>
      <c r="AT362">
        <v>19318148</v>
      </c>
      <c r="AU362" s="12">
        <v>39495</v>
      </c>
      <c r="BB362" t="s">
        <v>912</v>
      </c>
      <c r="BC362" s="7">
        <v>39481</v>
      </c>
      <c r="BG362">
        <v>14</v>
      </c>
      <c r="BH362" s="17">
        <f t="shared" ca="1" si="5"/>
        <v>46</v>
      </c>
      <c r="BI362" s="17"/>
      <c r="BJ362" s="17"/>
    </row>
    <row r="363" spans="1:62">
      <c r="A363">
        <v>28022663</v>
      </c>
      <c r="B363" s="2" t="str">
        <f>HYPERLINK("http://www.windermere.com/index.cfm?fuseaction=Listing.ListingDetail&amp;ListingID=19336224","Active")</f>
        <v>Active</v>
      </c>
      <c r="D363" t="s">
        <v>194</v>
      </c>
      <c r="E363" t="s">
        <v>1159</v>
      </c>
      <c r="F363" s="10">
        <v>499950</v>
      </c>
      <c r="G363" t="s">
        <v>731</v>
      </c>
      <c r="H363" s="1">
        <v>1400</v>
      </c>
      <c r="I363">
        <v>6120</v>
      </c>
      <c r="J363">
        <v>2</v>
      </c>
      <c r="K363">
        <v>2</v>
      </c>
      <c r="M363" s="2" t="str">
        <f>HYPERLINK("http://www.windermere.com/index.cfm?fuseaction=Listing.MapPropertyInteractive&amp;ListingID=19336224&amp;resize=true&amp;windowWidth=800&amp;windowHeight=600","Map")</f>
        <v>Map</v>
      </c>
      <c r="O363" s="2" t="str">
        <f>HYPERLINK("http://www.windermere.com/index.cfm?fuseaction=viewGallery.Home&amp;customTourID=206977&amp;wvt=0","More")</f>
        <v>More</v>
      </c>
      <c r="P363" t="s">
        <v>44</v>
      </c>
      <c r="AI363" t="s">
        <v>66</v>
      </c>
      <c r="AJ363">
        <v>98115</v>
      </c>
      <c r="AS363" t="s">
        <v>1160</v>
      </c>
      <c r="AT363">
        <v>19336224</v>
      </c>
      <c r="AU363" s="12">
        <v>39495</v>
      </c>
      <c r="BB363" t="s">
        <v>912</v>
      </c>
      <c r="BC363" s="7">
        <v>39485</v>
      </c>
      <c r="BD363" t="s">
        <v>1621</v>
      </c>
      <c r="BE363" t="s">
        <v>1620</v>
      </c>
      <c r="BF363" s="7">
        <v>39508</v>
      </c>
      <c r="BG363">
        <v>10</v>
      </c>
      <c r="BH363" s="17">
        <f t="shared" ca="1" si="5"/>
        <v>42</v>
      </c>
      <c r="BI363" s="17"/>
      <c r="BJ363" s="17"/>
    </row>
    <row r="364" spans="1:62" hidden="1">
      <c r="A364">
        <v>28023001</v>
      </c>
      <c r="B364" s="4" t="str">
        <f>HYPERLINK("http://www.windermere.com/index.cfm?fuseaction=Listing.ListingDetail&amp;ListingID=19336980","Subject To Inspection")</f>
        <v>Subject To Inspection</v>
      </c>
      <c r="D364" t="s">
        <v>100</v>
      </c>
      <c r="E364" t="s">
        <v>893</v>
      </c>
      <c r="F364" s="10">
        <v>499950</v>
      </c>
      <c r="G364" t="s">
        <v>247</v>
      </c>
      <c r="J364">
        <v>3</v>
      </c>
      <c r="K364">
        <v>2.25</v>
      </c>
      <c r="M364" s="2" t="str">
        <f>HYPERLINK("http://www.windermere.com/index.cfm?fuseaction=Listing.MapPropertyInteractive&amp;ListingID=19336980&amp;resize=true&amp;windowWidth=800&amp;windowHeight=600","Map")</f>
        <v>Map</v>
      </c>
      <c r="O364" s="2" t="str">
        <f>HYPERLINK("http://www.windermere.com/index.cfm?fuseaction=viewGallery.Home&amp;customTourID=198344&amp;wvt=0","More")</f>
        <v>More</v>
      </c>
      <c r="AI364" t="s">
        <v>66</v>
      </c>
      <c r="AJ364">
        <v>98103</v>
      </c>
      <c r="AS364" t="s">
        <v>894</v>
      </c>
      <c r="AT364">
        <v>19336980</v>
      </c>
      <c r="AU364" s="12">
        <v>39495</v>
      </c>
      <c r="BB364" t="s">
        <v>912</v>
      </c>
      <c r="BC364" s="7">
        <v>39485</v>
      </c>
      <c r="BG364">
        <v>10</v>
      </c>
      <c r="BH364" s="17">
        <f t="shared" ca="1" si="5"/>
        <v>42</v>
      </c>
      <c r="BI364" s="17"/>
      <c r="BJ364" s="17"/>
    </row>
    <row r="365" spans="1:62" hidden="1">
      <c r="A365">
        <v>28024790</v>
      </c>
      <c r="B365" s="2" t="str">
        <f>HYPERLINK("http://www.windermere.com/index.cfm?fuseaction=Listing.ListingDetail&amp;ListingID=19376679","Active")</f>
        <v>Active</v>
      </c>
      <c r="D365" t="s">
        <v>70</v>
      </c>
      <c r="E365" t="s">
        <v>903</v>
      </c>
      <c r="F365" s="10">
        <v>499950</v>
      </c>
      <c r="G365" t="s">
        <v>135</v>
      </c>
      <c r="H365" s="1">
        <v>2120</v>
      </c>
      <c r="I365">
        <v>6700</v>
      </c>
      <c r="J365">
        <v>3</v>
      </c>
      <c r="K365">
        <v>1.5</v>
      </c>
      <c r="M365" s="2" t="str">
        <f>HYPERLINK("http://www.windermere.com/index.cfm?fuseaction=Listing.MapPropertyInteractive&amp;ListingID=19376679&amp;resize=true&amp;windowWidth=800&amp;windowHeight=600","Map")</f>
        <v>Map</v>
      </c>
      <c r="O365" s="2" t="str">
        <f>HYPERLINK("http://www.windermere.com/index.cfm?fuseaction=viewGallery.Home&amp;customTourID=207709&amp;wvt=0","More")</f>
        <v>More</v>
      </c>
      <c r="AI365" t="s">
        <v>66</v>
      </c>
      <c r="AJ365">
        <v>98103</v>
      </c>
      <c r="AS365" t="s">
        <v>904</v>
      </c>
      <c r="AT365">
        <v>19376679</v>
      </c>
      <c r="AU365" s="12">
        <v>39495</v>
      </c>
      <c r="BB365" t="s">
        <v>912</v>
      </c>
      <c r="BC365" s="7">
        <v>39493</v>
      </c>
      <c r="BG365">
        <v>2</v>
      </c>
      <c r="BH365" s="17">
        <f t="shared" ca="1" si="5"/>
        <v>34</v>
      </c>
      <c r="BI365" s="17"/>
      <c r="BJ365" s="17"/>
    </row>
    <row r="366" spans="1:62" hidden="1">
      <c r="A366">
        <v>28027231</v>
      </c>
      <c r="B366" s="2" t="str">
        <f>HYPERLINK("http://www.windermere.com/index.cfm?fuseaction=Listing.ListingDetail&amp;ListingID=19371419","Active")</f>
        <v>Active</v>
      </c>
      <c r="D366" t="s">
        <v>100</v>
      </c>
      <c r="E366" t="s">
        <v>895</v>
      </c>
      <c r="F366" s="10">
        <v>499950</v>
      </c>
      <c r="G366" t="s">
        <v>147</v>
      </c>
      <c r="H366" s="1">
        <v>1470</v>
      </c>
      <c r="J366">
        <v>3</v>
      </c>
      <c r="K366">
        <v>2.5</v>
      </c>
      <c r="M366" s="2" t="str">
        <f>HYPERLINK("http://www.windermere.com/index.cfm?fuseaction=Listing.MapPropertyInteractive&amp;ListingID=19371419&amp;resize=true&amp;windowWidth=800&amp;windowHeight=600","Map")</f>
        <v>Map</v>
      </c>
      <c r="O366" s="2" t="str">
        <f>HYPERLINK("http://www.windermere.com/index.cfm?fuseaction=Listing.MultiImageViewer&amp;ListingID=19371419&amp;ln=28027231&amp;pub_mls=1","More")</f>
        <v>More</v>
      </c>
      <c r="AI366" t="s">
        <v>66</v>
      </c>
      <c r="AJ366">
        <v>98103</v>
      </c>
      <c r="AS366" t="s">
        <v>896</v>
      </c>
      <c r="AT366">
        <v>19371419</v>
      </c>
      <c r="AU366" s="12">
        <v>39495</v>
      </c>
      <c r="BB366" t="s">
        <v>912</v>
      </c>
      <c r="BC366" s="7">
        <v>39492</v>
      </c>
      <c r="BG366">
        <v>3</v>
      </c>
      <c r="BH366" s="17">
        <f t="shared" ca="1" si="5"/>
        <v>35</v>
      </c>
      <c r="BI366" s="17"/>
      <c r="BJ366" s="17"/>
    </row>
    <row r="367" spans="1:62" hidden="1">
      <c r="A367">
        <v>28027236</v>
      </c>
      <c r="B367" s="2" t="str">
        <f>HYPERLINK("http://www.windermere.com/index.cfm?fuseaction=Listing.ListingDetail&amp;ListingID=19371420","Active")</f>
        <v>Active</v>
      </c>
      <c r="D367" t="s">
        <v>100</v>
      </c>
      <c r="E367" t="s">
        <v>897</v>
      </c>
      <c r="F367" s="10">
        <v>499950</v>
      </c>
      <c r="G367" t="s">
        <v>147</v>
      </c>
      <c r="H367" s="1">
        <v>1470</v>
      </c>
      <c r="J367">
        <v>3</v>
      </c>
      <c r="K367">
        <v>2.5</v>
      </c>
      <c r="M367" s="2" t="str">
        <f>HYPERLINK("http://www.windermere.com/index.cfm?fuseaction=Listing.MapPropertyInteractive&amp;ListingID=19371420&amp;resize=true&amp;windowWidth=800&amp;windowHeight=600","Map")</f>
        <v>Map</v>
      </c>
      <c r="O367" s="2" t="str">
        <f>HYPERLINK("http://www.windermere.com/index.cfm?fuseaction=Listing.MultiImageViewer&amp;ListingID=19371420&amp;ln=28027236&amp;pub_mls=1","More")</f>
        <v>More</v>
      </c>
      <c r="AI367" t="s">
        <v>66</v>
      </c>
      <c r="AJ367">
        <v>98103</v>
      </c>
      <c r="AS367" t="s">
        <v>898</v>
      </c>
      <c r="AT367">
        <v>19371420</v>
      </c>
      <c r="AU367" s="12">
        <v>39495</v>
      </c>
      <c r="BB367" t="s">
        <v>912</v>
      </c>
      <c r="BC367" s="7">
        <v>39492</v>
      </c>
      <c r="BG367">
        <v>3</v>
      </c>
      <c r="BH367" s="17">
        <f t="shared" ca="1" si="5"/>
        <v>35</v>
      </c>
      <c r="BI367" s="17"/>
      <c r="BJ367" s="17"/>
    </row>
    <row r="368" spans="1:62" hidden="1">
      <c r="A368">
        <v>27159537</v>
      </c>
      <c r="B368" s="2" t="str">
        <f>HYPERLINK("http://www.windermere.com/index.cfm?fuseaction=Listing.ListingDetail&amp;ListingID=18548242","Active")</f>
        <v>Active</v>
      </c>
      <c r="D368" t="s">
        <v>60</v>
      </c>
      <c r="E368" t="s">
        <v>175</v>
      </c>
      <c r="F368" s="10">
        <v>499999</v>
      </c>
      <c r="G368" t="s">
        <v>135</v>
      </c>
      <c r="H368" s="1">
        <v>1460</v>
      </c>
      <c r="I368">
        <v>3060</v>
      </c>
      <c r="J368">
        <v>3</v>
      </c>
      <c r="K368">
        <v>1.75</v>
      </c>
      <c r="M368" s="2" t="str">
        <f>HYPERLINK("http://www.windermere.com/index.cfm?fuseaction=Listing.MapPropertyInteractive&amp;ListingID=18548242&amp;resize=true&amp;windowWidth=800&amp;windowHeight=600","Map")</f>
        <v>Map</v>
      </c>
      <c r="O368" s="2" t="str">
        <f>HYPERLINK("http://www.windermere.com/index.cfm?fuseaction=Listing.MultiImageViewer&amp;ListingID=18548242&amp;ln=27159537&amp;pub_mls=1","More")</f>
        <v>More</v>
      </c>
      <c r="P368" t="s">
        <v>44</v>
      </c>
      <c r="AI368" t="s">
        <v>66</v>
      </c>
      <c r="AJ368">
        <v>98105</v>
      </c>
      <c r="AS368" t="s">
        <v>909</v>
      </c>
      <c r="AT368">
        <v>18548242</v>
      </c>
      <c r="AU368" s="12">
        <v>39495</v>
      </c>
      <c r="BB368" t="s">
        <v>912</v>
      </c>
      <c r="BC368" s="7">
        <v>39325</v>
      </c>
      <c r="BD368">
        <v>1</v>
      </c>
      <c r="BE368" s="6" t="s">
        <v>1324</v>
      </c>
      <c r="BG368">
        <v>170</v>
      </c>
      <c r="BH368" s="17">
        <f t="shared" ca="1" si="5"/>
        <v>202</v>
      </c>
      <c r="BI368" s="17"/>
      <c r="BJ368" s="17"/>
    </row>
    <row r="369" spans="1:63" hidden="1">
      <c r="A369">
        <v>27185399</v>
      </c>
      <c r="B369" s="2" t="str">
        <f>HYPERLINK("http://www.windermere.com/index.cfm?fuseaction=Listing.ListingDetail&amp;ListingID=18801515","Active")</f>
        <v>Active</v>
      </c>
      <c r="D369" t="s">
        <v>55</v>
      </c>
      <c r="E369" t="s">
        <v>254</v>
      </c>
      <c r="F369" s="13">
        <v>500000</v>
      </c>
      <c r="G369" t="s">
        <v>176</v>
      </c>
      <c r="H369" s="1">
        <v>1800</v>
      </c>
      <c r="I369">
        <v>4600</v>
      </c>
      <c r="J369">
        <v>4</v>
      </c>
      <c r="K369">
        <v>1.75</v>
      </c>
      <c r="M369" s="2" t="str">
        <f>HYPERLINK("http://www.windermere.com/index.cfm?fuseaction=Listing.MapPropertyInteractive&amp;ListingID=18801515&amp;resize=true&amp;windowWidth=800&amp;windowHeight=600","Map")</f>
        <v>Map</v>
      </c>
      <c r="O369" s="2" t="str">
        <f>HYPERLINK("http://www.windermere.com/index.cfm?fuseaction=Listing.MultiImageViewer&amp;ListingID=18801515&amp;ln=27185399&amp;pub_mls=1","More")</f>
        <v>More</v>
      </c>
      <c r="AI369" t="s">
        <v>66</v>
      </c>
      <c r="AJ369">
        <v>98117</v>
      </c>
      <c r="AS369" t="s">
        <v>255</v>
      </c>
      <c r="AT369">
        <v>18801515</v>
      </c>
      <c r="AU369" s="12">
        <v>39495</v>
      </c>
      <c r="BB369" t="s">
        <v>912</v>
      </c>
      <c r="BC369" s="7">
        <v>39367</v>
      </c>
      <c r="BG369">
        <v>128</v>
      </c>
      <c r="BH369" s="17">
        <f t="shared" ca="1" si="5"/>
        <v>160</v>
      </c>
      <c r="BI369" s="17"/>
      <c r="BJ369" s="17"/>
    </row>
    <row r="370" spans="1:63" hidden="1">
      <c r="A370">
        <v>27192377</v>
      </c>
      <c r="B370" s="2" t="str">
        <f>HYPERLINK("http://www.windermere.com/index.cfm?fuseaction=Listing.ListingDetail&amp;ListingID=18868122","Active")</f>
        <v>Active</v>
      </c>
      <c r="D370" t="s">
        <v>55</v>
      </c>
      <c r="E370" t="s">
        <v>251</v>
      </c>
      <c r="F370" s="10">
        <v>500000</v>
      </c>
      <c r="G370" t="s">
        <v>252</v>
      </c>
      <c r="H370" s="1">
        <v>2400</v>
      </c>
      <c r="J370">
        <v>3</v>
      </c>
      <c r="K370">
        <v>2.5</v>
      </c>
      <c r="M370" s="2" t="str">
        <f>HYPERLINK("http://www.windermere.com/index.cfm?fuseaction=Listing.MapPropertyInteractive&amp;ListingID=18868122&amp;resize=true&amp;windowWidth=800&amp;windowHeight=600","Map")</f>
        <v>Map</v>
      </c>
      <c r="O370" s="2" t="str">
        <f>HYPERLINK("http://www.windermere.com/index.cfm?fuseaction=Listing.MultiImageViewer&amp;ListingID=18868122&amp;ln=27192377&amp;pub_mls=1","More")</f>
        <v>More</v>
      </c>
      <c r="AI370" t="s">
        <v>66</v>
      </c>
      <c r="AJ370">
        <v>98117</v>
      </c>
      <c r="AS370" t="s">
        <v>253</v>
      </c>
      <c r="AT370">
        <v>18868122</v>
      </c>
      <c r="AU370" s="12">
        <v>39495</v>
      </c>
      <c r="BB370" t="s">
        <v>912</v>
      </c>
      <c r="BC370" s="7">
        <v>39381</v>
      </c>
      <c r="BG370">
        <v>114</v>
      </c>
      <c r="BH370" s="17">
        <f t="shared" ca="1" si="5"/>
        <v>146</v>
      </c>
      <c r="BI370" s="17"/>
      <c r="BJ370" s="17"/>
    </row>
    <row r="371" spans="1:63" hidden="1">
      <c r="A371">
        <v>28011273</v>
      </c>
      <c r="B371" s="2" t="str">
        <f>HYPERLINK("http://www.windermere.com/index.cfm?fuseaction=Listing.ListingDetail&amp;ListingID=19242886","Active")</f>
        <v>Active</v>
      </c>
      <c r="D371" t="s">
        <v>1023</v>
      </c>
      <c r="E371" t="s">
        <v>249</v>
      </c>
      <c r="F371" s="10">
        <v>500000</v>
      </c>
      <c r="G371" t="s">
        <v>159</v>
      </c>
      <c r="H371" s="1">
        <v>2300</v>
      </c>
      <c r="I371">
        <v>4200</v>
      </c>
      <c r="J371">
        <v>4</v>
      </c>
      <c r="K371">
        <v>1.5</v>
      </c>
      <c r="M371" s="2" t="str">
        <f>HYPERLINK("http://www.windermere.com/index.cfm?fuseaction=Listing.MapPropertyInteractive&amp;ListingID=19242886&amp;resize=true&amp;windowWidth=800&amp;windowHeight=600","Map")</f>
        <v>Map</v>
      </c>
      <c r="O371" s="2" t="str">
        <f>HYPERLINK("http://www.windermere.com/index.cfm?fuseaction=Listing.MultiImageViewer&amp;ListingID=19242886&amp;ln=28011273&amp;pub_mls=1","More")</f>
        <v>More</v>
      </c>
      <c r="AI371" t="s">
        <v>66</v>
      </c>
      <c r="AJ371">
        <v>98117</v>
      </c>
      <c r="AS371" t="s">
        <v>250</v>
      </c>
      <c r="AT371">
        <v>19242886</v>
      </c>
      <c r="AU371" s="12">
        <v>39495</v>
      </c>
      <c r="BB371" t="s">
        <v>912</v>
      </c>
      <c r="BC371" s="7">
        <v>39465</v>
      </c>
      <c r="BG371">
        <v>30</v>
      </c>
      <c r="BH371" s="17">
        <f t="shared" ca="1" si="5"/>
        <v>62</v>
      </c>
      <c r="BI371" s="17"/>
      <c r="BJ371" s="17"/>
    </row>
    <row r="372" spans="1:63" hidden="1">
      <c r="A372">
        <v>28027350</v>
      </c>
      <c r="B372" s="2" t="str">
        <f>HYPERLINK("http://www.windermere.com/index.cfm?fuseaction=Listing.ListingDetail&amp;ListingID=19378561","Active")</f>
        <v>Active</v>
      </c>
      <c r="D372" t="s">
        <v>100</v>
      </c>
      <c r="E372" s="3" t="s">
        <v>1371</v>
      </c>
      <c r="F372" s="10">
        <v>500000</v>
      </c>
      <c r="G372" t="s">
        <v>440</v>
      </c>
      <c r="H372" s="1">
        <v>1780</v>
      </c>
      <c r="I372">
        <v>4800</v>
      </c>
      <c r="J372">
        <v>3</v>
      </c>
      <c r="K372">
        <v>1</v>
      </c>
      <c r="M372" s="2" t="str">
        <f>HYPERLINK("http://www.windermere.com/index.cfm?fuseaction=Listing.MapPropertyInteractive&amp;ListingID=19378561&amp;resize=true&amp;windowWidth=800&amp;windowHeight=600","Map")</f>
        <v>Map</v>
      </c>
      <c r="O372" s="2" t="str">
        <f>HYPERLINK("http://www.windermere.com/index.cfm?fuseaction=Listing.MultiImageViewer&amp;ListingID=19378561&amp;ln=28027350&amp;pub_mls=1","More")</f>
        <v>More</v>
      </c>
      <c r="P372" t="s">
        <v>44</v>
      </c>
      <c r="AI372" t="s">
        <v>66</v>
      </c>
      <c r="AJ372">
        <v>98103</v>
      </c>
      <c r="AS372" t="s">
        <v>910</v>
      </c>
      <c r="AT372">
        <v>19378561</v>
      </c>
      <c r="AU372" s="12">
        <v>39495</v>
      </c>
      <c r="BB372" t="s">
        <v>912</v>
      </c>
      <c r="BC372" s="7">
        <v>39493</v>
      </c>
      <c r="BG372">
        <v>2</v>
      </c>
      <c r="BH372" s="17">
        <f t="shared" ca="1" si="5"/>
        <v>34</v>
      </c>
      <c r="BI372" s="17"/>
      <c r="BJ372" s="17"/>
    </row>
    <row r="373" spans="1:63" hidden="1">
      <c r="A373">
        <v>27182712</v>
      </c>
      <c r="B373" s="2" t="str">
        <f>HYPERLINK("http://www.windermere.com/index.cfm?fuseaction=Listing.ListingDetail&amp;ListingID=18779676","Active")</f>
        <v>Active</v>
      </c>
      <c r="D373" t="s">
        <v>66</v>
      </c>
      <c r="E373" t="s">
        <v>1163</v>
      </c>
      <c r="F373" s="10">
        <v>509000</v>
      </c>
      <c r="G373" t="s">
        <v>137</v>
      </c>
      <c r="H373" s="1">
        <v>2340</v>
      </c>
      <c r="I373">
        <v>8820</v>
      </c>
      <c r="J373">
        <v>4</v>
      </c>
      <c r="K373">
        <v>1.75</v>
      </c>
      <c r="M373" s="2" t="str">
        <f>HYPERLINK("http://www.windermere.com/index.cfm?fuseaction=Listing.MapPropertyInteractive&amp;ListingID=18779676&amp;resize=true&amp;windowWidth=800&amp;windowHeight=600","Map")</f>
        <v>Map</v>
      </c>
      <c r="AI373" t="s">
        <v>66</v>
      </c>
      <c r="AJ373">
        <v>98117</v>
      </c>
      <c r="AS373" t="s">
        <v>1164</v>
      </c>
      <c r="AT373">
        <v>18779676</v>
      </c>
      <c r="AU373" s="12">
        <v>39495</v>
      </c>
      <c r="BB373" t="s">
        <v>912</v>
      </c>
      <c r="BC373" s="7">
        <v>39363</v>
      </c>
      <c r="BG373">
        <v>132</v>
      </c>
      <c r="BH373" s="17">
        <f t="shared" ca="1" si="5"/>
        <v>164</v>
      </c>
      <c r="BI373" s="17"/>
      <c r="BJ373" s="17"/>
    </row>
    <row r="374" spans="1:63" hidden="1">
      <c r="A374">
        <v>28013361</v>
      </c>
      <c r="B374" s="2" t="str">
        <f>HYPERLINK("http://www.windermere.com/index.cfm?fuseaction=Listing.ListingDetail&amp;ListingID=19264293","Subject To Inspection")</f>
        <v>Subject To Inspection</v>
      </c>
      <c r="D374" t="s">
        <v>1165</v>
      </c>
      <c r="E374" t="s">
        <v>1166</v>
      </c>
      <c r="F374" s="10">
        <v>524900</v>
      </c>
      <c r="G374" t="s">
        <v>164</v>
      </c>
      <c r="H374" s="1">
        <v>2320</v>
      </c>
      <c r="I374">
        <v>5100</v>
      </c>
      <c r="J374">
        <v>2</v>
      </c>
      <c r="K374">
        <v>2</v>
      </c>
      <c r="M374" s="2" t="str">
        <f>HYPERLINK("http://www.windermere.com/index.cfm?fuseaction=Listing.MapPropertyInteractive&amp;ListingID=19264293&amp;resize=true&amp;windowWidth=800&amp;windowHeight=600","Map")</f>
        <v>Map</v>
      </c>
      <c r="O374" s="2" t="str">
        <f>HYPERLINK("http://www.windermere.com/index.cfm?fuseaction=viewGallery.Home&amp;customTourID=205329&amp;wvt=0","More")</f>
        <v>More</v>
      </c>
      <c r="AI374" t="s">
        <v>66</v>
      </c>
      <c r="AJ374">
        <v>98117</v>
      </c>
      <c r="AS374" t="s">
        <v>1167</v>
      </c>
      <c r="AT374">
        <v>19264293</v>
      </c>
      <c r="AU374" s="12">
        <v>39495</v>
      </c>
      <c r="BB374" t="s">
        <v>912</v>
      </c>
      <c r="BC374" s="7">
        <v>39469</v>
      </c>
      <c r="BG374">
        <v>26</v>
      </c>
      <c r="BH374" s="17">
        <f t="shared" ca="1" si="5"/>
        <v>58</v>
      </c>
      <c r="BI374" s="17"/>
      <c r="BJ374" s="17"/>
      <c r="BK374" t="str">
        <f>B374</f>
        <v>Subject To Inspection</v>
      </c>
    </row>
    <row r="375" spans="1:63" hidden="1">
      <c r="A375">
        <v>28016773</v>
      </c>
      <c r="B375" s="2" t="str">
        <f>HYPERLINK("http://www.windermere.com/index.cfm?fuseaction=Listing.ListingDetail&amp;ListingID=19296030","Active")</f>
        <v>Active</v>
      </c>
      <c r="D375" t="s">
        <v>63</v>
      </c>
      <c r="E375" t="s">
        <v>1168</v>
      </c>
      <c r="F375" s="10">
        <v>524924</v>
      </c>
      <c r="G375" t="s">
        <v>140</v>
      </c>
      <c r="H375" s="1">
        <v>1520</v>
      </c>
      <c r="I375">
        <v>3750</v>
      </c>
      <c r="J375">
        <v>3</v>
      </c>
      <c r="K375">
        <v>1.75</v>
      </c>
      <c r="M375" s="2" t="str">
        <f>HYPERLINK("http://www.windermere.com/index.cfm?fuseaction=Listing.MapPropertyInteractive&amp;ListingID=19296030&amp;resize=true&amp;windowWidth=800&amp;windowHeight=600","Map")</f>
        <v>Map</v>
      </c>
      <c r="O375" s="2" t="str">
        <f>HYPERLINK("http://www.windermere.com/index.cfm?fuseaction=viewGallery.Home&amp;customTourID=205928&amp;wvt=0","More")</f>
        <v>More</v>
      </c>
      <c r="P375" t="s">
        <v>44</v>
      </c>
      <c r="AI375" t="s">
        <v>66</v>
      </c>
      <c r="AJ375">
        <v>98117</v>
      </c>
      <c r="AS375" t="s">
        <v>1169</v>
      </c>
      <c r="AT375">
        <v>19296030</v>
      </c>
      <c r="AU375" s="12">
        <v>39495</v>
      </c>
      <c r="BB375" t="s">
        <v>912</v>
      </c>
      <c r="BC375" s="7">
        <v>39478</v>
      </c>
      <c r="BG375">
        <v>17</v>
      </c>
      <c r="BH375" s="17">
        <f t="shared" ca="1" si="5"/>
        <v>49</v>
      </c>
      <c r="BI375" s="17"/>
      <c r="BJ375" s="17"/>
    </row>
    <row r="376" spans="1:63" hidden="1">
      <c r="A376">
        <v>28008105</v>
      </c>
      <c r="B376" s="2" t="str">
        <f>HYPERLINK("http://www.windermere.com/index.cfm?fuseaction=Listing.ListingDetail&amp;ListingID=19219049","Active")</f>
        <v>Active</v>
      </c>
      <c r="D376" t="s">
        <v>78</v>
      </c>
      <c r="E376" t="s">
        <v>1170</v>
      </c>
      <c r="F376" s="10">
        <v>524950</v>
      </c>
      <c r="G376" t="s">
        <v>146</v>
      </c>
      <c r="H376" s="1">
        <v>1540</v>
      </c>
      <c r="I376">
        <v>3880</v>
      </c>
      <c r="J376">
        <v>4</v>
      </c>
      <c r="K376">
        <v>2</v>
      </c>
      <c r="M376" s="2" t="str">
        <f>HYPERLINK("http://www.windermere.com/index.cfm?fuseaction=Listing.MapPropertyInteractive&amp;ListingID=19219049&amp;resize=true&amp;windowWidth=800&amp;windowHeight=600","Map")</f>
        <v>Map</v>
      </c>
      <c r="O376" s="2" t="str">
        <f>HYPERLINK("http://www.windermere.com/index.cfm?fuseaction=Listing.MultiImageViewer&amp;ListingID=19219049&amp;ln=28008105&amp;pub_mls=1","More")</f>
        <v>More</v>
      </c>
      <c r="P376" t="s">
        <v>44</v>
      </c>
      <c r="AI376" t="s">
        <v>66</v>
      </c>
      <c r="AJ376">
        <v>98117</v>
      </c>
      <c r="AS376" t="s">
        <v>1171</v>
      </c>
      <c r="AT376">
        <v>19219049</v>
      </c>
      <c r="AU376" s="12">
        <v>39495</v>
      </c>
      <c r="BB376" t="s">
        <v>912</v>
      </c>
      <c r="BC376" s="7">
        <v>39460</v>
      </c>
      <c r="BG376">
        <v>35</v>
      </c>
      <c r="BH376" s="17">
        <f t="shared" ca="1" si="5"/>
        <v>67</v>
      </c>
      <c r="BI376" s="17"/>
      <c r="BJ376" s="17"/>
    </row>
    <row r="377" spans="1:63" hidden="1">
      <c r="A377">
        <v>27049642</v>
      </c>
      <c r="B377" s="2" t="str">
        <f>HYPERLINK("http://www.windermere.com/index.cfm?fuseaction=Listing.ListingDetail&amp;ListingID=19326308","Active")</f>
        <v>Active</v>
      </c>
      <c r="D377" t="s">
        <v>63</v>
      </c>
      <c r="E377" t="s">
        <v>1172</v>
      </c>
      <c r="F377" s="10">
        <v>525000</v>
      </c>
      <c r="G377" t="s">
        <v>151</v>
      </c>
      <c r="H377" s="1">
        <v>3000</v>
      </c>
      <c r="I377">
        <v>4230</v>
      </c>
      <c r="J377">
        <v>5</v>
      </c>
      <c r="K377">
        <v>1.5</v>
      </c>
      <c r="M377" s="2" t="str">
        <f>HYPERLINK("http://www.windermere.com/index.cfm?fuseaction=Listing.MapPropertyInteractive&amp;ListingID=19326308&amp;resize=true&amp;windowWidth=800&amp;windowHeight=600","Map")</f>
        <v>Map</v>
      </c>
      <c r="O377" s="2" t="str">
        <f>HYPERLINK("http://www.windermere.com/index.cfm?fuseaction=Listing.MultiImageViewer&amp;ListingID=19326308&amp;ln=27049642&amp;pub_mls=1","More")</f>
        <v>More</v>
      </c>
      <c r="P377" t="s">
        <v>44</v>
      </c>
      <c r="AI377" t="s">
        <v>66</v>
      </c>
      <c r="AJ377">
        <v>98117</v>
      </c>
      <c r="AS377" t="s">
        <v>1173</v>
      </c>
      <c r="AT377">
        <v>19326308</v>
      </c>
      <c r="AU377" s="12">
        <v>39495</v>
      </c>
      <c r="BB377" t="s">
        <v>912</v>
      </c>
      <c r="BC377" s="7">
        <v>39169</v>
      </c>
      <c r="BD377">
        <v>1</v>
      </c>
      <c r="BG377">
        <v>326</v>
      </c>
      <c r="BH377" s="17">
        <f t="shared" ca="1" si="5"/>
        <v>358</v>
      </c>
      <c r="BI377" s="17"/>
      <c r="BJ377" s="17"/>
    </row>
    <row r="378" spans="1:63" hidden="1">
      <c r="A378">
        <v>27165871</v>
      </c>
      <c r="B378" s="2" t="str">
        <f>HYPERLINK("http://www.windermere.com/index.cfm?fuseaction=Listing.ListingDetail&amp;ListingID=18613160","Active")</f>
        <v>Active</v>
      </c>
      <c r="D378" t="s">
        <v>63</v>
      </c>
      <c r="E378" t="s">
        <v>1174</v>
      </c>
      <c r="F378" s="10">
        <v>535000</v>
      </c>
      <c r="G378" t="s">
        <v>157</v>
      </c>
      <c r="H378" s="1">
        <v>2060</v>
      </c>
      <c r="I378">
        <v>3796</v>
      </c>
      <c r="J378">
        <v>4</v>
      </c>
      <c r="K378">
        <v>2</v>
      </c>
      <c r="M378" s="2" t="str">
        <f>HYPERLINK("http://www.windermere.com/index.cfm?fuseaction=Listing.MapPropertyInteractive&amp;ListingID=18613160&amp;resize=true&amp;windowWidth=800&amp;windowHeight=600","Map")</f>
        <v>Map</v>
      </c>
      <c r="O378" s="2" t="str">
        <f>HYPERLINK("http://www.windermere.com/index.cfm?fuseaction=Listing.MultiImageViewer&amp;ListingID=18613160&amp;ln=27165871&amp;pub_mls=1","More")</f>
        <v>More</v>
      </c>
      <c r="AI378" t="s">
        <v>66</v>
      </c>
      <c r="AJ378">
        <v>98117</v>
      </c>
      <c r="AS378" t="s">
        <v>1175</v>
      </c>
      <c r="AT378">
        <v>18613160</v>
      </c>
      <c r="AU378" s="12">
        <v>39495</v>
      </c>
      <c r="BB378" t="s">
        <v>912</v>
      </c>
      <c r="BC378" s="7">
        <v>39336</v>
      </c>
      <c r="BD378">
        <v>1</v>
      </c>
      <c r="BE378" s="6" t="s">
        <v>1331</v>
      </c>
      <c r="BG378">
        <v>159</v>
      </c>
      <c r="BH378" s="17">
        <f t="shared" ca="1" si="5"/>
        <v>191</v>
      </c>
      <c r="BI378" s="17"/>
      <c r="BJ378" s="17"/>
    </row>
    <row r="379" spans="1:63" hidden="1">
      <c r="A379">
        <v>28018682</v>
      </c>
      <c r="B379" s="2" t="str">
        <f>HYPERLINK("http://www.windermere.com/index.cfm?fuseaction=Listing.ListingDetail&amp;ListingID=19304182","Subject To Inspection")</f>
        <v>Subject To Inspection</v>
      </c>
      <c r="D379" t="s">
        <v>88</v>
      </c>
      <c r="E379" t="s">
        <v>1176</v>
      </c>
      <c r="F379" s="10">
        <v>537000</v>
      </c>
      <c r="G379" t="s">
        <v>796</v>
      </c>
      <c r="H379" s="1">
        <v>2060</v>
      </c>
      <c r="I379">
        <v>3500</v>
      </c>
      <c r="J379">
        <v>4</v>
      </c>
      <c r="K379">
        <v>2.5</v>
      </c>
      <c r="M379" s="2" t="str">
        <f>HYPERLINK("http://www.windermere.com/index.cfm?fuseaction=Listing.MapPropertyInteractive&amp;ListingID=19304182&amp;resize=true&amp;windowWidth=800&amp;windowHeight=600","Map")</f>
        <v>Map</v>
      </c>
      <c r="O379" s="2" t="str">
        <f>HYPERLINK("http://www.windermere.com/index.cfm?fuseaction=Listing.MultiImageViewer&amp;ListingID=19304182&amp;ln=28018682&amp;pub_mls=1","More")</f>
        <v>More</v>
      </c>
      <c r="P379" t="s">
        <v>44</v>
      </c>
      <c r="AI379" t="s">
        <v>66</v>
      </c>
      <c r="AJ379">
        <v>98117</v>
      </c>
      <c r="AS379" t="s">
        <v>1177</v>
      </c>
      <c r="AT379">
        <v>19304182</v>
      </c>
      <c r="AU379" s="12">
        <v>39495</v>
      </c>
      <c r="BB379" t="s">
        <v>912</v>
      </c>
      <c r="BC379" s="7">
        <v>39478</v>
      </c>
      <c r="BG379">
        <v>17</v>
      </c>
      <c r="BH379" s="17">
        <f t="shared" ca="1" si="5"/>
        <v>49</v>
      </c>
      <c r="BI379" s="17"/>
      <c r="BJ379" s="17"/>
      <c r="BK379" t="str">
        <f>B379</f>
        <v>Subject To Inspection</v>
      </c>
    </row>
    <row r="380" spans="1:63" hidden="1">
      <c r="A380">
        <v>28024386</v>
      </c>
      <c r="B380" s="2" t="str">
        <f>HYPERLINK("http://www.windermere.com/index.cfm?fuseaction=Listing.ListingDetail&amp;ListingID=19347056","Active")</f>
        <v>Active</v>
      </c>
      <c r="D380" t="s">
        <v>101</v>
      </c>
      <c r="E380" t="s">
        <v>1178</v>
      </c>
      <c r="F380" s="13">
        <v>539500</v>
      </c>
      <c r="G380" t="s">
        <v>168</v>
      </c>
      <c r="I380">
        <v>5000</v>
      </c>
      <c r="J380">
        <v>3</v>
      </c>
      <c r="K380">
        <v>1.75</v>
      </c>
      <c r="M380" s="2" t="str">
        <f>HYPERLINK("http://www.windermere.com/index.cfm?fuseaction=Listing.MapPropertyInteractive&amp;ListingID=19347056&amp;resize=true&amp;windowWidth=800&amp;windowHeight=600","Map")</f>
        <v>Map</v>
      </c>
      <c r="O380" s="2" t="str">
        <f>HYPERLINK("http://www.windermere.com/index.cfm?fuseaction=Listing.MultiImageViewer&amp;ListingID=19347056&amp;ln=28024386&amp;pub_mls=1","More")</f>
        <v>More</v>
      </c>
      <c r="AI380" t="s">
        <v>66</v>
      </c>
      <c r="AJ380">
        <v>98117</v>
      </c>
      <c r="AS380" t="s">
        <v>1179</v>
      </c>
      <c r="AT380">
        <v>19347056</v>
      </c>
      <c r="AU380" s="12">
        <v>39495</v>
      </c>
      <c r="BB380" t="s">
        <v>912</v>
      </c>
      <c r="BC380" s="7">
        <v>39487</v>
      </c>
      <c r="BG380">
        <v>8</v>
      </c>
      <c r="BH380" s="17">
        <f t="shared" ca="1" si="5"/>
        <v>40</v>
      </c>
      <c r="BI380" s="17"/>
      <c r="BJ380" s="17"/>
    </row>
    <row r="381" spans="1:63" hidden="1">
      <c r="A381">
        <v>27185790</v>
      </c>
      <c r="B381" s="4" t="str">
        <f>HYPERLINK("http://www.windermere.com/index.cfm?fuseaction=Listing.ListingDetail&amp;ListingID=18811833","Subject To Inspection")</f>
        <v>Subject To Inspection</v>
      </c>
      <c r="D381" t="s">
        <v>63</v>
      </c>
      <c r="E381" t="s">
        <v>1180</v>
      </c>
      <c r="F381" s="10">
        <v>549950</v>
      </c>
      <c r="G381" t="s">
        <v>151</v>
      </c>
      <c r="H381" s="1">
        <v>2490</v>
      </c>
      <c r="I381">
        <v>3350</v>
      </c>
      <c r="J381">
        <v>3</v>
      </c>
      <c r="K381">
        <v>1.75</v>
      </c>
      <c r="M381" s="2" t="str">
        <f>HYPERLINK("http://www.windermere.com/index.cfm?fuseaction=Listing.MapPropertyInteractive&amp;ListingID=18811833&amp;resize=true&amp;windowWidth=800&amp;windowHeight=600","Map")</f>
        <v>Map</v>
      </c>
      <c r="O381" s="2" t="str">
        <f>HYPERLINK("http://www.windermere.com/index.cfm?fuseaction=viewGallery.Home&amp;customTourID=197410&amp;wvt=0","More")</f>
        <v>More</v>
      </c>
      <c r="P381" t="s">
        <v>44</v>
      </c>
      <c r="AI381" t="s">
        <v>66</v>
      </c>
      <c r="AJ381">
        <v>98117</v>
      </c>
      <c r="AS381" t="s">
        <v>1181</v>
      </c>
      <c r="AT381">
        <v>18811833</v>
      </c>
      <c r="AU381" s="12">
        <v>39495</v>
      </c>
      <c r="BB381" t="s">
        <v>912</v>
      </c>
      <c r="BC381" s="7">
        <v>39370</v>
      </c>
      <c r="BG381">
        <v>125</v>
      </c>
      <c r="BH381" s="17">
        <f t="shared" ca="1" si="5"/>
        <v>157</v>
      </c>
      <c r="BI381" s="17"/>
      <c r="BJ381" s="17"/>
    </row>
    <row r="382" spans="1:63" hidden="1">
      <c r="A382">
        <v>28007665</v>
      </c>
      <c r="B382" s="2" t="str">
        <f>HYPERLINK("http://www.windermere.com/index.cfm?fuseaction=Listing.ListingDetail&amp;ListingID=19215921","Active")</f>
        <v>Active</v>
      </c>
      <c r="D382" t="s">
        <v>88</v>
      </c>
      <c r="E382" t="s">
        <v>1182</v>
      </c>
      <c r="F382" s="13">
        <v>535000</v>
      </c>
      <c r="G382" t="s">
        <v>126</v>
      </c>
      <c r="H382" s="1">
        <v>2010</v>
      </c>
      <c r="J382">
        <v>4</v>
      </c>
      <c r="K382">
        <v>2</v>
      </c>
      <c r="M382" s="2" t="str">
        <f>HYPERLINK("http://www.windermere.com/index.cfm?fuseaction=Listing.MapPropertyInteractive&amp;ListingID=19215921&amp;resize=true&amp;windowWidth=800&amp;windowHeight=600","Map")</f>
        <v>Map</v>
      </c>
      <c r="O382" s="2" t="str">
        <f>HYPERLINK("http://www.windermere.com/index.cfm?fuseaction=viewGallery.Home&amp;customTourID=204275&amp;wvt=0","More")</f>
        <v>More</v>
      </c>
      <c r="P382" t="s">
        <v>44</v>
      </c>
      <c r="AI382" t="s">
        <v>66</v>
      </c>
      <c r="AJ382">
        <v>98117</v>
      </c>
      <c r="AS382" t="s">
        <v>1183</v>
      </c>
      <c r="AT382">
        <v>19215921</v>
      </c>
      <c r="AU382" s="12">
        <v>39495</v>
      </c>
      <c r="BB382" t="s">
        <v>912</v>
      </c>
      <c r="BC382" s="7">
        <v>39459</v>
      </c>
      <c r="BG382">
        <v>36</v>
      </c>
      <c r="BH382" s="17">
        <f t="shared" ca="1" si="5"/>
        <v>68</v>
      </c>
      <c r="BI382" s="17"/>
      <c r="BJ382" s="17"/>
    </row>
    <row r="383" spans="1:63" hidden="1">
      <c r="A383">
        <v>28021052</v>
      </c>
      <c r="B383" s="2" t="str">
        <f>HYPERLINK("http://www.windermere.com/index.cfm?fuseaction=Listing.ListingDetail&amp;ListingID=19327126","Active")</f>
        <v>Active</v>
      </c>
      <c r="D383" t="s">
        <v>99</v>
      </c>
      <c r="E383" t="s">
        <v>1184</v>
      </c>
      <c r="F383" s="10">
        <v>550000</v>
      </c>
      <c r="G383" t="s">
        <v>718</v>
      </c>
      <c r="H383" s="1">
        <v>2100</v>
      </c>
      <c r="I383">
        <v>7204</v>
      </c>
      <c r="J383">
        <v>3</v>
      </c>
      <c r="K383">
        <v>2.75</v>
      </c>
      <c r="M383" s="2" t="str">
        <f>HYPERLINK("http://www.windermere.com/index.cfm?fuseaction=Listing.MapPropertyInteractive&amp;ListingID=19327126&amp;resize=true&amp;windowWidth=800&amp;windowHeight=600","Map")</f>
        <v>Map</v>
      </c>
      <c r="O383" s="2" t="str">
        <f>HYPERLINK("http://www.windermere.com/index.cfm?fuseaction=Listing.MultiImageViewer&amp;ListingID=19327126&amp;ln=28021052&amp;pub_mls=1","More")</f>
        <v>More</v>
      </c>
      <c r="P383" t="s">
        <v>44</v>
      </c>
      <c r="AI383" t="s">
        <v>66</v>
      </c>
      <c r="AJ383">
        <v>98117</v>
      </c>
      <c r="AS383" t="s">
        <v>1185</v>
      </c>
      <c r="AT383">
        <v>19327126</v>
      </c>
      <c r="AU383" s="12">
        <v>39495</v>
      </c>
      <c r="BB383" t="s">
        <v>912</v>
      </c>
      <c r="BC383" s="7">
        <v>39483</v>
      </c>
      <c r="BG383">
        <v>12</v>
      </c>
      <c r="BH383" s="17">
        <f t="shared" ca="1" si="5"/>
        <v>44</v>
      </c>
      <c r="BI383" s="17"/>
      <c r="BJ383" s="17"/>
    </row>
    <row r="384" spans="1:63" hidden="1">
      <c r="A384">
        <v>27136843</v>
      </c>
      <c r="B384" s="2" t="str">
        <f>HYPERLINK("http://www.windermere.com/index.cfm?fuseaction=Listing.ListingDetail&amp;ListingID=18370665","Active")</f>
        <v>Active</v>
      </c>
      <c r="D384" t="s">
        <v>99</v>
      </c>
      <c r="E384" t="s">
        <v>1186</v>
      </c>
      <c r="F384" s="10">
        <v>555000</v>
      </c>
      <c r="G384" t="s">
        <v>1187</v>
      </c>
      <c r="H384" s="1">
        <v>2000</v>
      </c>
      <c r="I384">
        <v>7359</v>
      </c>
      <c r="J384">
        <v>4</v>
      </c>
      <c r="K384">
        <v>3</v>
      </c>
      <c r="M384" s="2" t="str">
        <f>HYPERLINK("http://www.windermere.com/index.cfm?fuseaction=Listing.MapPropertyInteractive&amp;ListingID=18370665&amp;resize=true&amp;windowWidth=800&amp;windowHeight=600","Map")</f>
        <v>Map</v>
      </c>
      <c r="O384" s="2" t="str">
        <f>HYPERLINK("http://www.windermere.com/index.cfm?fuseaction=Listing.MultiImageViewer&amp;ListingID=18370665&amp;ln=27136843&amp;pub_mls=1","More")</f>
        <v>More</v>
      </c>
      <c r="P384" t="s">
        <v>44</v>
      </c>
      <c r="AI384" t="s">
        <v>66</v>
      </c>
      <c r="AJ384">
        <v>98117</v>
      </c>
      <c r="AS384" t="s">
        <v>1188</v>
      </c>
      <c r="AT384">
        <v>18370665</v>
      </c>
      <c r="AU384" s="12">
        <v>39495</v>
      </c>
      <c r="BB384" t="s">
        <v>912</v>
      </c>
      <c r="BC384" s="7">
        <v>39290</v>
      </c>
      <c r="BD384">
        <v>-2</v>
      </c>
      <c r="BE384" s="6" t="s">
        <v>1320</v>
      </c>
      <c r="BG384">
        <v>205</v>
      </c>
      <c r="BH384" s="17">
        <f t="shared" ca="1" si="5"/>
        <v>237</v>
      </c>
      <c r="BI384" s="17"/>
      <c r="BJ384" s="17"/>
    </row>
    <row r="385" spans="1:63" hidden="1">
      <c r="A385">
        <v>27168320</v>
      </c>
      <c r="B385" s="2" t="str">
        <f>HYPERLINK("http://www.windermere.com/index.cfm?fuseaction=Listing.ListingDetail&amp;ListingID=18631941","Active")</f>
        <v>Active</v>
      </c>
      <c r="D385" t="s">
        <v>99</v>
      </c>
      <c r="E385" t="s">
        <v>1189</v>
      </c>
      <c r="F385" s="13">
        <v>509000</v>
      </c>
      <c r="G385" t="s">
        <v>644</v>
      </c>
      <c r="H385" s="14">
        <v>1962</v>
      </c>
      <c r="I385">
        <v>5415</v>
      </c>
      <c r="J385">
        <v>5</v>
      </c>
      <c r="K385">
        <v>3</v>
      </c>
      <c r="M385" s="2" t="str">
        <f>HYPERLINK("http://www.windermere.com/index.cfm?fuseaction=Listing.MapPropertyInteractive&amp;ListingID=18631941&amp;resize=true&amp;windowWidth=800&amp;windowHeight=600","Map")</f>
        <v>Map</v>
      </c>
      <c r="O385" s="2" t="str">
        <f>HYPERLINK("http://www.windermere.com/index.cfm?fuseaction=Listing.MultiImageViewer&amp;ListingID=18631941&amp;ln=27168320&amp;pub_mls=1","More")</f>
        <v>More</v>
      </c>
      <c r="P385" t="s">
        <v>44</v>
      </c>
      <c r="AI385" t="s">
        <v>66</v>
      </c>
      <c r="AJ385">
        <v>98117</v>
      </c>
      <c r="AS385" t="s">
        <v>1190</v>
      </c>
      <c r="AT385">
        <v>18631941</v>
      </c>
      <c r="AU385" s="12">
        <v>39495</v>
      </c>
      <c r="BB385" t="s">
        <v>912</v>
      </c>
      <c r="BC385" s="7">
        <v>39338</v>
      </c>
      <c r="BG385">
        <v>157</v>
      </c>
      <c r="BH385" s="17">
        <f t="shared" ca="1" si="5"/>
        <v>189</v>
      </c>
      <c r="BI385" s="17"/>
      <c r="BJ385" s="17"/>
    </row>
    <row r="386" spans="1:63" hidden="1">
      <c r="A386">
        <v>27207271</v>
      </c>
      <c r="B386" s="2" t="str">
        <f>HYPERLINK("http://www.windermere.com/index.cfm?fuseaction=Listing.ListingDetail&amp;ListingID=19038432","Active")</f>
        <v>Active</v>
      </c>
      <c r="D386" t="s">
        <v>63</v>
      </c>
      <c r="E386" t="s">
        <v>1191</v>
      </c>
      <c r="F386" s="10">
        <v>559950</v>
      </c>
      <c r="G386" t="s">
        <v>129</v>
      </c>
      <c r="H386" s="1">
        <v>2870</v>
      </c>
      <c r="I386">
        <v>4158</v>
      </c>
      <c r="J386">
        <v>3</v>
      </c>
      <c r="K386">
        <v>1.75</v>
      </c>
      <c r="M386" s="2" t="str">
        <f>HYPERLINK("http://www.windermere.com/index.cfm?fuseaction=Listing.MapPropertyInteractive&amp;ListingID=19038432&amp;resize=true&amp;windowWidth=800&amp;windowHeight=600","Map")</f>
        <v>Map</v>
      </c>
      <c r="O386" s="2" t="str">
        <f>HYPERLINK("http://www.windermere.com/index.cfm?fuseaction=Listing.MultiImageViewer&amp;ListingID=19038432&amp;ln=27207271&amp;pub_mls=1","More")</f>
        <v>More</v>
      </c>
      <c r="P386" t="s">
        <v>44</v>
      </c>
      <c r="AI386" t="s">
        <v>66</v>
      </c>
      <c r="AJ386">
        <v>98117</v>
      </c>
      <c r="AS386" t="s">
        <v>1192</v>
      </c>
      <c r="AT386">
        <v>19038432</v>
      </c>
      <c r="AU386" s="12">
        <v>39495</v>
      </c>
      <c r="BB386" t="s">
        <v>912</v>
      </c>
      <c r="BC386" s="7">
        <v>39417</v>
      </c>
      <c r="BG386">
        <v>78</v>
      </c>
      <c r="BH386" s="17">
        <f t="shared" ca="1" si="5"/>
        <v>110</v>
      </c>
      <c r="BI386" s="17"/>
      <c r="BJ386" s="17"/>
    </row>
    <row r="387" spans="1:63" hidden="1">
      <c r="A387">
        <v>28019206</v>
      </c>
      <c r="B387" s="2" t="str">
        <f>HYPERLINK("http://www.windermere.com/index.cfm?fuseaction=Listing.ListingDetail&amp;ListingID=19308826","Subject To Inspection")</f>
        <v>Subject To Inspection</v>
      </c>
      <c r="D387" t="s">
        <v>55</v>
      </c>
      <c r="E387" t="s">
        <v>1193</v>
      </c>
      <c r="F387" s="10">
        <v>560000</v>
      </c>
      <c r="G387" t="s">
        <v>177</v>
      </c>
      <c r="H387" s="1">
        <v>2700</v>
      </c>
      <c r="I387">
        <v>5648</v>
      </c>
      <c r="J387">
        <v>4</v>
      </c>
      <c r="K387">
        <v>2.5</v>
      </c>
      <c r="M387" s="2" t="str">
        <f>HYPERLINK("http://www.windermere.com/index.cfm?fuseaction=Listing.MapPropertyInteractive&amp;ListingID=19308826&amp;resize=true&amp;windowWidth=800&amp;windowHeight=600","Map")</f>
        <v>Map</v>
      </c>
      <c r="O387" s="2" t="str">
        <f>HYPERLINK("http://www.windermere.com/index.cfm?fuseaction=Listing.MultiImageViewer&amp;ListingID=19308826&amp;ln=28019206&amp;pub_mls=1","More")</f>
        <v>More</v>
      </c>
      <c r="AI387" t="s">
        <v>66</v>
      </c>
      <c r="AJ387">
        <v>98117</v>
      </c>
      <c r="AS387" t="s">
        <v>1194</v>
      </c>
      <c r="AT387">
        <v>19308826</v>
      </c>
      <c r="AU387" s="12">
        <v>39495</v>
      </c>
      <c r="BB387" t="s">
        <v>912</v>
      </c>
      <c r="BC387" s="7">
        <v>39479</v>
      </c>
      <c r="BG387">
        <v>16</v>
      </c>
      <c r="BH387" s="17">
        <f t="shared" ref="BH387:BH442" ca="1" si="6">TODAY()-BC387</f>
        <v>48</v>
      </c>
      <c r="BI387" s="17"/>
      <c r="BJ387" s="17"/>
      <c r="BK387" t="str">
        <f>B387</f>
        <v>Subject To Inspection</v>
      </c>
    </row>
    <row r="388" spans="1:63" hidden="1">
      <c r="A388">
        <v>28017090</v>
      </c>
      <c r="B388" s="2" t="str">
        <f>HYPERLINK("http://www.windermere.com/index.cfm?fuseaction=Listing.ListingDetail&amp;ListingID=19295724","Active")</f>
        <v>Active</v>
      </c>
      <c r="D388" s="19" t="s">
        <v>63</v>
      </c>
      <c r="E388" t="s">
        <v>1195</v>
      </c>
      <c r="F388" s="13">
        <v>554950</v>
      </c>
      <c r="G388" t="s">
        <v>176</v>
      </c>
      <c r="H388" s="1">
        <v>2590</v>
      </c>
      <c r="I388">
        <v>4224</v>
      </c>
      <c r="J388">
        <v>3</v>
      </c>
      <c r="K388">
        <v>2</v>
      </c>
      <c r="M388" s="2" t="str">
        <f>HYPERLINK("http://www.windermere.com/index.cfm?fuseaction=Listing.MapPropertyInteractive&amp;ListingID=19295724&amp;resize=true&amp;windowWidth=800&amp;windowHeight=600","Map")</f>
        <v>Map</v>
      </c>
      <c r="O388" s="2" t="str">
        <f>HYPERLINK("http://www.windermere.com/index.cfm?fuseaction=Listing.MultiImageViewer&amp;ListingID=19295724&amp;ln=28017090&amp;pub_mls=1","More")</f>
        <v>More</v>
      </c>
      <c r="AI388" t="s">
        <v>66</v>
      </c>
      <c r="AJ388">
        <v>98117</v>
      </c>
      <c r="AS388" t="s">
        <v>1196</v>
      </c>
      <c r="AT388">
        <v>19295724</v>
      </c>
      <c r="AU388" s="12">
        <v>39495</v>
      </c>
      <c r="BB388" t="s">
        <v>912</v>
      </c>
      <c r="BC388" s="7">
        <v>39477</v>
      </c>
      <c r="BG388">
        <v>18</v>
      </c>
      <c r="BH388" s="17">
        <f t="shared" ca="1" si="6"/>
        <v>50</v>
      </c>
      <c r="BI388" s="17"/>
      <c r="BJ388" s="17"/>
    </row>
    <row r="389" spans="1:63" hidden="1">
      <c r="A389">
        <v>28026215</v>
      </c>
      <c r="B389" s="15" t="str">
        <f>HYPERLINK("http://www.windermere.com/index.cfm?fuseaction=Listing.ListingDetail&amp;ListingID=19368908","Subject To Inspection")</f>
        <v>Subject To Inspection</v>
      </c>
      <c r="D389" t="s">
        <v>63</v>
      </c>
      <c r="E389" t="s">
        <v>1197</v>
      </c>
      <c r="F389" s="10">
        <v>569500</v>
      </c>
      <c r="G389" t="s">
        <v>153</v>
      </c>
      <c r="H389" s="1">
        <v>2860</v>
      </c>
      <c r="I389">
        <v>4000</v>
      </c>
      <c r="J389">
        <v>4</v>
      </c>
      <c r="K389">
        <v>2</v>
      </c>
      <c r="M389" s="2" t="str">
        <f>HYPERLINK("http://www.windermere.com/index.cfm?fuseaction=Listing.MapPropertyInteractive&amp;ListingID=19368908&amp;resize=true&amp;windowWidth=800&amp;windowHeight=600","Map")</f>
        <v>Map</v>
      </c>
      <c r="O389" s="2" t="str">
        <f>HYPERLINK("http://www.windermere.com/index.cfm?fuseaction=Listing.MultiImageViewer&amp;ListingID=19368908&amp;ln=28026215&amp;pub_mls=1","More")</f>
        <v>More</v>
      </c>
      <c r="P389" t="s">
        <v>44</v>
      </c>
      <c r="AI389" t="s">
        <v>66</v>
      </c>
      <c r="AJ389">
        <v>98117</v>
      </c>
      <c r="AS389" t="s">
        <v>1198</v>
      </c>
      <c r="AT389">
        <v>19368908</v>
      </c>
      <c r="AU389" s="12">
        <v>39495</v>
      </c>
      <c r="BB389" t="s">
        <v>912</v>
      </c>
      <c r="BC389" s="7">
        <v>39492</v>
      </c>
      <c r="BG389">
        <v>3</v>
      </c>
      <c r="BH389" s="17">
        <f t="shared" ca="1" si="6"/>
        <v>35</v>
      </c>
      <c r="BI389" s="17"/>
      <c r="BJ389" s="17"/>
    </row>
    <row r="390" spans="1:63" hidden="1">
      <c r="A390">
        <v>28000608</v>
      </c>
      <c r="B390" s="2" t="str">
        <f>HYPERLINK("http://www.windermere.com/index.cfm?fuseaction=Listing.ListingDetail&amp;ListingID=19146533","Active")</f>
        <v>Active</v>
      </c>
      <c r="D390" t="s">
        <v>88</v>
      </c>
      <c r="E390" t="s">
        <v>1201</v>
      </c>
      <c r="F390" s="10">
        <v>575000</v>
      </c>
      <c r="G390" t="s">
        <v>170</v>
      </c>
      <c r="J390">
        <v>3</v>
      </c>
      <c r="K390">
        <v>2</v>
      </c>
      <c r="M390" s="2" t="str">
        <f>HYPERLINK("http://www.windermere.com/index.cfm?fuseaction=Listing.MapPropertyInteractive&amp;ListingID=19146533&amp;resize=true&amp;windowWidth=800&amp;windowHeight=600","Map")</f>
        <v>Map</v>
      </c>
      <c r="O390" s="2" t="str">
        <f>HYPERLINK("http://www.windermere.com/index.cfm?fuseaction=Listing.MultiImageViewer&amp;ListingID=19146533&amp;ln=28000608&amp;pub_mls=1","More")</f>
        <v>More</v>
      </c>
      <c r="AI390" t="s">
        <v>66</v>
      </c>
      <c r="AJ390">
        <v>98117</v>
      </c>
      <c r="AS390" t="s">
        <v>1202</v>
      </c>
      <c r="AT390">
        <v>19146533</v>
      </c>
      <c r="AU390" s="12">
        <v>39495</v>
      </c>
      <c r="BB390" t="s">
        <v>912</v>
      </c>
      <c r="BC390" s="7">
        <v>39449</v>
      </c>
      <c r="BG390">
        <v>46</v>
      </c>
      <c r="BH390" s="17">
        <f t="shared" ca="1" si="6"/>
        <v>78</v>
      </c>
      <c r="BI390" s="17"/>
      <c r="BJ390" s="17"/>
    </row>
    <row r="391" spans="1:63" hidden="1">
      <c r="A391">
        <v>28005685</v>
      </c>
      <c r="B391" s="2" t="str">
        <f>HYPERLINK("http://www.windermere.com/index.cfm?fuseaction=Listing.ListingDetail&amp;ListingID=19187084","Active")</f>
        <v>Active</v>
      </c>
      <c r="D391" t="s">
        <v>1024</v>
      </c>
      <c r="E391" t="s">
        <v>1199</v>
      </c>
      <c r="F391" s="13">
        <v>565000</v>
      </c>
      <c r="G391" t="s">
        <v>227</v>
      </c>
      <c r="H391" s="1">
        <v>2520</v>
      </c>
      <c r="I391">
        <v>5000</v>
      </c>
      <c r="J391">
        <v>3</v>
      </c>
      <c r="K391">
        <v>1.75</v>
      </c>
      <c r="M391" s="2" t="str">
        <f>HYPERLINK("http://www.windermere.com/index.cfm?fuseaction=Listing.MapPropertyInteractive&amp;ListingID=19187084&amp;resize=true&amp;windowWidth=800&amp;windowHeight=600","Map")</f>
        <v>Map</v>
      </c>
      <c r="O391" s="2" t="str">
        <f>HYPERLINK("http://www.windermere.com/index.cfm?fuseaction=Listing.MultiImageViewer&amp;ListingID=19187084&amp;ln=28005685&amp;pub_mls=1","More")</f>
        <v>More</v>
      </c>
      <c r="P391" t="s">
        <v>44</v>
      </c>
      <c r="AI391" t="s">
        <v>66</v>
      </c>
      <c r="AJ391">
        <v>98117</v>
      </c>
      <c r="AS391" t="s">
        <v>1200</v>
      </c>
      <c r="AT391">
        <v>19187084</v>
      </c>
      <c r="AU391" s="12">
        <v>39495</v>
      </c>
      <c r="BB391" t="s">
        <v>912</v>
      </c>
      <c r="BC391" s="7">
        <v>39456</v>
      </c>
      <c r="BG391">
        <v>39</v>
      </c>
      <c r="BH391" s="17">
        <f t="shared" ca="1" si="6"/>
        <v>71</v>
      </c>
      <c r="BI391" s="17"/>
      <c r="BJ391" s="17"/>
    </row>
    <row r="392" spans="1:63" hidden="1">
      <c r="A392">
        <v>27213643</v>
      </c>
      <c r="B392" s="2" t="str">
        <f>HYPERLINK("http://www.windermere.com/index.cfm?fuseaction=Listing.ListingDetail&amp;ListingID=19103376","Subject To Inspection")</f>
        <v>Subject To Inspection</v>
      </c>
      <c r="D392" t="s">
        <v>1203</v>
      </c>
      <c r="E392" t="s">
        <v>1204</v>
      </c>
      <c r="F392" s="10">
        <v>580000</v>
      </c>
      <c r="G392" t="s">
        <v>419</v>
      </c>
      <c r="H392" s="1">
        <v>2120</v>
      </c>
      <c r="I392">
        <v>6009</v>
      </c>
      <c r="J392">
        <v>3</v>
      </c>
      <c r="K392">
        <v>1.75</v>
      </c>
      <c r="M392" s="2" t="str">
        <f>HYPERLINK("http://www.windermere.com/index.cfm?fuseaction=Listing.MapPropertyInteractive&amp;ListingID=19103376&amp;resize=true&amp;windowWidth=800&amp;windowHeight=600","Map")</f>
        <v>Map</v>
      </c>
      <c r="O392" s="2" t="str">
        <f>HYPERLINK("http://www.windermere.com/index.cfm?fuseaction=Listing.MultiImageViewer&amp;ListingID=19103376&amp;ln=27213643&amp;pub_mls=1","More")</f>
        <v>More</v>
      </c>
      <c r="P392" t="s">
        <v>44</v>
      </c>
      <c r="AI392" t="s">
        <v>66</v>
      </c>
      <c r="AJ392">
        <v>98117</v>
      </c>
      <c r="AS392" t="s">
        <v>1205</v>
      </c>
      <c r="AT392">
        <v>19103376</v>
      </c>
      <c r="AU392" s="12">
        <v>39495</v>
      </c>
      <c r="BB392" t="s">
        <v>912</v>
      </c>
      <c r="BC392" s="7">
        <v>39433</v>
      </c>
      <c r="BG392">
        <v>62</v>
      </c>
      <c r="BH392" s="17">
        <f t="shared" ca="1" si="6"/>
        <v>94</v>
      </c>
      <c r="BI392" s="17"/>
      <c r="BJ392" s="17"/>
      <c r="BK392" t="str">
        <f>B392</f>
        <v>Subject To Inspection</v>
      </c>
    </row>
    <row r="393" spans="1:63" hidden="1">
      <c r="A393">
        <v>28010205</v>
      </c>
      <c r="B393" s="2" t="str">
        <f>HYPERLINK("http://www.windermere.com/index.cfm?fuseaction=Listing.ListingDetail&amp;ListingID=19234794","Active")</f>
        <v>Active</v>
      </c>
      <c r="D393" t="s">
        <v>63</v>
      </c>
      <c r="E393" t="s">
        <v>1206</v>
      </c>
      <c r="F393" s="10">
        <v>585000</v>
      </c>
      <c r="G393" t="s">
        <v>161</v>
      </c>
      <c r="H393" s="1">
        <v>1650</v>
      </c>
      <c r="I393">
        <v>4640</v>
      </c>
      <c r="J393">
        <v>4</v>
      </c>
      <c r="K393">
        <v>2</v>
      </c>
      <c r="M393" s="2" t="str">
        <f>HYPERLINK("http://www.windermere.com/index.cfm?fuseaction=Listing.MapPropertyInteractive&amp;ListingID=19234794&amp;resize=true&amp;windowWidth=800&amp;windowHeight=600","Map")</f>
        <v>Map</v>
      </c>
      <c r="O393" s="2" t="str">
        <f>HYPERLINK("http://www.windermere.com/index.cfm?fuseaction=Listing.MultiImageViewer&amp;ListingID=19234794&amp;ln=28010205&amp;pub_mls=1","More")</f>
        <v>More</v>
      </c>
      <c r="P393" t="s">
        <v>44</v>
      </c>
      <c r="AI393" t="s">
        <v>66</v>
      </c>
      <c r="AJ393">
        <v>98117</v>
      </c>
      <c r="AS393" t="s">
        <v>1207</v>
      </c>
      <c r="AT393">
        <v>19234794</v>
      </c>
      <c r="AU393" s="12">
        <v>39495</v>
      </c>
      <c r="BB393" t="s">
        <v>912</v>
      </c>
      <c r="BC393" s="7">
        <v>39463</v>
      </c>
      <c r="BG393">
        <v>32</v>
      </c>
      <c r="BH393" s="17">
        <f t="shared" ca="1" si="6"/>
        <v>64</v>
      </c>
      <c r="BI393" s="17"/>
      <c r="BJ393" s="17"/>
    </row>
    <row r="394" spans="1:63" hidden="1">
      <c r="A394">
        <v>28005197</v>
      </c>
      <c r="B394" s="2" t="str">
        <f>HYPERLINK("http://www.windermere.com/index.cfm?fuseaction=Listing.ListingDetail&amp;ListingID=19182010","Subject To Inspection")</f>
        <v>Subject To Inspection</v>
      </c>
      <c r="D394" t="s">
        <v>63</v>
      </c>
      <c r="E394" t="s">
        <v>1208</v>
      </c>
      <c r="F394" s="10">
        <v>589000</v>
      </c>
      <c r="G394" t="s">
        <v>146</v>
      </c>
      <c r="I394">
        <v>6250</v>
      </c>
      <c r="J394">
        <v>3</v>
      </c>
      <c r="K394">
        <v>2</v>
      </c>
      <c r="M394" s="2" t="str">
        <f>HYPERLINK("http://www.windermere.com/index.cfm?fuseaction=Listing.MapPropertyInteractive&amp;ListingID=19182010&amp;resize=true&amp;windowWidth=800&amp;windowHeight=600","Map")</f>
        <v>Map</v>
      </c>
      <c r="O394" s="2" t="str">
        <f>HYPERLINK("http://www.windermere.com/index.cfm?fuseaction=Listing.MultiImageViewer&amp;ListingID=19182010&amp;ln=28005197&amp;pub_mls=1","More")</f>
        <v>More</v>
      </c>
      <c r="P394" t="s">
        <v>44</v>
      </c>
      <c r="AI394" t="s">
        <v>66</v>
      </c>
      <c r="AJ394">
        <v>98117</v>
      </c>
      <c r="AS394" t="s">
        <v>1209</v>
      </c>
      <c r="AT394">
        <v>19182010</v>
      </c>
      <c r="AU394" s="12">
        <v>39495</v>
      </c>
      <c r="BB394" t="s">
        <v>912</v>
      </c>
      <c r="BC394" s="7">
        <v>39455</v>
      </c>
      <c r="BG394">
        <v>40</v>
      </c>
      <c r="BH394" s="17">
        <f t="shared" ca="1" si="6"/>
        <v>72</v>
      </c>
      <c r="BI394" s="17"/>
      <c r="BJ394" s="17"/>
      <c r="BK394" t="str">
        <f>B394</f>
        <v>Subject To Inspection</v>
      </c>
    </row>
    <row r="395" spans="1:63" hidden="1">
      <c r="A395">
        <v>28000534</v>
      </c>
      <c r="B395" s="2" t="str">
        <f>HYPERLINK("http://www.windermere.com/index.cfm?fuseaction=Listing.ListingDetail&amp;ListingID=19146142","Active")</f>
        <v>Active</v>
      </c>
      <c r="D395" t="s">
        <v>1024</v>
      </c>
      <c r="E395" t="s">
        <v>1210</v>
      </c>
      <c r="F395" s="10">
        <v>590000</v>
      </c>
      <c r="G395" t="s">
        <v>132</v>
      </c>
      <c r="I395">
        <v>7640</v>
      </c>
      <c r="J395">
        <v>3</v>
      </c>
      <c r="K395">
        <v>1.75</v>
      </c>
      <c r="M395" s="2" t="str">
        <f>HYPERLINK("http://www.windermere.com/index.cfm?fuseaction=Listing.MapPropertyInteractive&amp;ListingID=19146142&amp;resize=true&amp;windowWidth=800&amp;windowHeight=600","Map")</f>
        <v>Map</v>
      </c>
      <c r="O395" s="2" t="str">
        <f>HYPERLINK("http://www.windermere.com/index.cfm?fuseaction=Listing.MultiImageViewer&amp;ListingID=19146142&amp;ln=28000534&amp;pub_mls=1","More")</f>
        <v>More</v>
      </c>
      <c r="P395" t="s">
        <v>44</v>
      </c>
      <c r="AI395" t="s">
        <v>66</v>
      </c>
      <c r="AJ395">
        <v>98117</v>
      </c>
      <c r="AS395" t="s">
        <v>1211</v>
      </c>
      <c r="AT395">
        <v>19146142</v>
      </c>
      <c r="AU395" s="12">
        <v>39495</v>
      </c>
      <c r="BB395" t="s">
        <v>912</v>
      </c>
      <c r="BC395" s="7">
        <v>39449</v>
      </c>
      <c r="BG395">
        <v>46</v>
      </c>
      <c r="BH395" s="17">
        <f t="shared" ca="1" si="6"/>
        <v>78</v>
      </c>
      <c r="BI395" s="17"/>
      <c r="BJ395" s="17"/>
    </row>
    <row r="396" spans="1:63" hidden="1">
      <c r="A396">
        <v>28000049</v>
      </c>
      <c r="B396" s="2" t="str">
        <f>HYPERLINK("http://www.windermere.com/index.cfm?fuseaction=Listing.ListingDetail&amp;ListingID=19141822","Active")</f>
        <v>Active</v>
      </c>
      <c r="D396" t="s">
        <v>1024</v>
      </c>
      <c r="E396" t="s">
        <v>1212</v>
      </c>
      <c r="F396" s="10">
        <v>594950</v>
      </c>
      <c r="G396" t="s">
        <v>146</v>
      </c>
      <c r="H396" s="1">
        <v>2300</v>
      </c>
      <c r="I396">
        <v>4756</v>
      </c>
      <c r="J396">
        <v>4</v>
      </c>
      <c r="K396">
        <v>2.5</v>
      </c>
      <c r="M396" s="2" t="str">
        <f>HYPERLINK("http://www.windermere.com/index.cfm?fuseaction=Listing.MapPropertyInteractive&amp;ListingID=19141822&amp;resize=true&amp;windowWidth=800&amp;windowHeight=600","Map")</f>
        <v>Map</v>
      </c>
      <c r="O396" s="2" t="str">
        <f>HYPERLINK("http://www.windermere.com/index.cfm?fuseaction=Listing.MultiImageViewer&amp;ListingID=19141822&amp;ln=28000049&amp;pub_mls=1","More")</f>
        <v>More</v>
      </c>
      <c r="P396" t="s">
        <v>44</v>
      </c>
      <c r="AI396" t="s">
        <v>66</v>
      </c>
      <c r="AJ396">
        <v>98117</v>
      </c>
      <c r="AS396" t="s">
        <v>1213</v>
      </c>
      <c r="AT396">
        <v>19141822</v>
      </c>
      <c r="AU396" s="12">
        <v>39495</v>
      </c>
      <c r="BB396" t="s">
        <v>912</v>
      </c>
      <c r="BC396" s="7">
        <v>39448</v>
      </c>
      <c r="BG396">
        <v>47</v>
      </c>
      <c r="BH396" s="17">
        <f t="shared" ca="1" si="6"/>
        <v>79</v>
      </c>
      <c r="BI396" s="17"/>
      <c r="BJ396" s="17"/>
    </row>
    <row r="397" spans="1:63" hidden="1">
      <c r="A397">
        <v>28023397</v>
      </c>
      <c r="B397" s="2" t="str">
        <f>HYPERLINK("http://www.windermere.com/index.cfm?fuseaction=Listing.ListingDetail&amp;ListingID=19338665","Active")</f>
        <v>Active</v>
      </c>
      <c r="D397" t="s">
        <v>63</v>
      </c>
      <c r="E397" t="s">
        <v>1214</v>
      </c>
      <c r="F397" s="10">
        <v>595000</v>
      </c>
      <c r="G397" t="s">
        <v>1215</v>
      </c>
      <c r="H397" s="1">
        <v>1840</v>
      </c>
      <c r="I397">
        <v>3960</v>
      </c>
      <c r="J397">
        <v>3</v>
      </c>
      <c r="K397">
        <v>2</v>
      </c>
      <c r="M397" s="2" t="str">
        <f>HYPERLINK("http://www.windermere.com/index.cfm?fuseaction=Listing.MapPropertyInteractive&amp;ListingID=19338665&amp;resize=true&amp;windowWidth=800&amp;windowHeight=600","Map")</f>
        <v>Map</v>
      </c>
      <c r="O397" s="2" t="str">
        <f>HYPERLINK("http://www.windermere.com/index.cfm?fuseaction=Listing.MultiImageViewer&amp;ListingID=19338665&amp;ln=28023397&amp;pub_mls=1","More")</f>
        <v>More</v>
      </c>
      <c r="AI397" t="s">
        <v>66</v>
      </c>
      <c r="AJ397">
        <v>98117</v>
      </c>
      <c r="AS397" t="s">
        <v>1216</v>
      </c>
      <c r="AT397">
        <v>19338665</v>
      </c>
      <c r="AU397" s="12">
        <v>39495</v>
      </c>
      <c r="BB397" t="s">
        <v>912</v>
      </c>
      <c r="BC397" s="7">
        <v>39485</v>
      </c>
      <c r="BG397">
        <v>10</v>
      </c>
      <c r="BH397" s="17">
        <f t="shared" ca="1" si="6"/>
        <v>42</v>
      </c>
      <c r="BI397" s="17"/>
      <c r="BJ397" s="17"/>
    </row>
    <row r="398" spans="1:63" hidden="1">
      <c r="A398">
        <v>27214711</v>
      </c>
      <c r="B398" s="2" t="str">
        <f>HYPERLINK("http://www.windermere.com/index.cfm?fuseaction=Listing.ListingDetail&amp;ListingID=19115696","Active")</f>
        <v>Active</v>
      </c>
      <c r="D398" t="s">
        <v>63</v>
      </c>
      <c r="E398" t="s">
        <v>1219</v>
      </c>
      <c r="F398" s="10">
        <v>599000</v>
      </c>
      <c r="G398" t="s">
        <v>137</v>
      </c>
      <c r="H398" s="1">
        <v>2000</v>
      </c>
      <c r="I398">
        <v>5750</v>
      </c>
      <c r="J398">
        <v>3</v>
      </c>
      <c r="K398">
        <v>1.75</v>
      </c>
      <c r="M398" s="2" t="str">
        <f>HYPERLINK("http://www.windermere.com/index.cfm?fuseaction=Listing.MapPropertyInteractive&amp;ListingID=19115696&amp;resize=true&amp;windowWidth=800&amp;windowHeight=600","Map")</f>
        <v>Map</v>
      </c>
      <c r="O398" s="2" t="str">
        <f>HYPERLINK("http://www.windermere.com/index.cfm?fuseaction=Listing.MultiImageViewer&amp;ListingID=19115696&amp;ln=27214711&amp;pub_mls=1","More")</f>
        <v>More</v>
      </c>
      <c r="P398" t="s">
        <v>44</v>
      </c>
      <c r="AI398" t="s">
        <v>66</v>
      </c>
      <c r="AJ398">
        <v>98117</v>
      </c>
      <c r="AS398" t="s">
        <v>1220</v>
      </c>
      <c r="AT398">
        <v>19115696</v>
      </c>
      <c r="AU398" s="12">
        <v>39495</v>
      </c>
      <c r="BB398" t="s">
        <v>912</v>
      </c>
      <c r="BC398" s="7">
        <v>39436</v>
      </c>
      <c r="BG398">
        <v>59</v>
      </c>
      <c r="BH398" s="17">
        <f t="shared" ca="1" si="6"/>
        <v>91</v>
      </c>
      <c r="BI398" s="17"/>
      <c r="BJ398" s="17"/>
    </row>
    <row r="399" spans="1:63" hidden="1">
      <c r="A399">
        <v>28009407</v>
      </c>
      <c r="B399" s="2" t="str">
        <f>HYPERLINK("http://www.windermere.com/index.cfm?fuseaction=Listing.ListingDetail&amp;ListingID=19227645","Active")</f>
        <v>Active</v>
      </c>
      <c r="D399" t="s">
        <v>1024</v>
      </c>
      <c r="E399" t="s">
        <v>1217</v>
      </c>
      <c r="F399" s="10">
        <v>599000</v>
      </c>
      <c r="G399" t="s">
        <v>171</v>
      </c>
      <c r="H399" s="1">
        <v>3020</v>
      </c>
      <c r="J399">
        <v>4</v>
      </c>
      <c r="K399">
        <v>2.5</v>
      </c>
      <c r="M399" s="2" t="str">
        <f>HYPERLINK("http://www.windermere.com/index.cfm?fuseaction=Listing.MapPropertyInteractive&amp;ListingID=19227645&amp;resize=true&amp;windowWidth=800&amp;windowHeight=600","Map")</f>
        <v>Map</v>
      </c>
      <c r="O399" s="2" t="str">
        <f>HYPERLINK("http://www.windermere.com/index.cfm?fuseaction=Listing.MultiImageViewer&amp;ListingID=19227645&amp;ln=28009407&amp;pub_mls=1","More")</f>
        <v>More</v>
      </c>
      <c r="P399" t="s">
        <v>44</v>
      </c>
      <c r="AI399" t="s">
        <v>66</v>
      </c>
      <c r="AJ399">
        <v>98117</v>
      </c>
      <c r="AS399" t="s">
        <v>1218</v>
      </c>
      <c r="AT399">
        <v>19227645</v>
      </c>
      <c r="AU399" s="12">
        <v>39495</v>
      </c>
      <c r="BB399" t="s">
        <v>912</v>
      </c>
      <c r="BC399" s="7">
        <v>39463</v>
      </c>
      <c r="BG399">
        <v>32</v>
      </c>
      <c r="BH399" s="17">
        <f t="shared" ca="1" si="6"/>
        <v>64</v>
      </c>
      <c r="BI399" s="17"/>
      <c r="BJ399" s="17"/>
    </row>
    <row r="400" spans="1:63" hidden="1">
      <c r="A400">
        <v>28011619</v>
      </c>
      <c r="B400" s="2" t="str">
        <f>HYPERLINK("http://www.windermere.com/index.cfm?fuseaction=Listing.ListingDetail&amp;ListingID=19262546","Subject To Inspection")</f>
        <v>Subject To Inspection</v>
      </c>
      <c r="D400" t="s">
        <v>88</v>
      </c>
      <c r="E400" t="s">
        <v>1221</v>
      </c>
      <c r="F400" s="10">
        <v>599900</v>
      </c>
      <c r="G400" t="s">
        <v>173</v>
      </c>
      <c r="H400" s="1">
        <v>2080</v>
      </c>
      <c r="I400">
        <v>5000</v>
      </c>
      <c r="J400">
        <v>2</v>
      </c>
      <c r="K400">
        <v>1</v>
      </c>
      <c r="M400" s="2" t="str">
        <f>HYPERLINK("http://www.windermere.com/index.cfm?fuseaction=Listing.MapPropertyInteractive&amp;ListingID=19262546&amp;resize=true&amp;windowWidth=800&amp;windowHeight=600","Map")</f>
        <v>Map</v>
      </c>
      <c r="O400" s="2" t="str">
        <f>HYPERLINK("http://www.windermere.com/index.cfm?fuseaction=viewGallery.Home&amp;customTourID=204973&amp;wvt=0","More")</f>
        <v>More</v>
      </c>
      <c r="P400" t="s">
        <v>44</v>
      </c>
      <c r="AI400" t="s">
        <v>66</v>
      </c>
      <c r="AJ400">
        <v>98117</v>
      </c>
      <c r="AS400" t="s">
        <v>1222</v>
      </c>
      <c r="AT400">
        <v>19262546</v>
      </c>
      <c r="AU400" s="12">
        <v>39495</v>
      </c>
      <c r="BB400" t="s">
        <v>912</v>
      </c>
      <c r="BC400" s="7">
        <v>39469</v>
      </c>
      <c r="BG400">
        <v>26</v>
      </c>
      <c r="BH400" s="17">
        <f t="shared" ca="1" si="6"/>
        <v>58</v>
      </c>
      <c r="BI400" s="17"/>
      <c r="BJ400" s="17"/>
      <c r="BK400" t="str">
        <f>B400</f>
        <v>Subject To Inspection</v>
      </c>
    </row>
    <row r="401" spans="1:63" hidden="1">
      <c r="A401">
        <v>28028148</v>
      </c>
      <c r="B401" s="2" t="str">
        <f>HYPERLINK("http://www.windermere.com/index.cfm?fuseaction=Listing.ListingDetail&amp;ListingID=19378194","Active")</f>
        <v>Active</v>
      </c>
      <c r="D401" t="s">
        <v>99</v>
      </c>
      <c r="E401" t="s">
        <v>1223</v>
      </c>
      <c r="F401" s="13">
        <v>599900</v>
      </c>
      <c r="G401" t="s">
        <v>124</v>
      </c>
      <c r="H401" s="1">
        <v>2440</v>
      </c>
      <c r="I401">
        <v>8910</v>
      </c>
      <c r="J401">
        <v>3</v>
      </c>
      <c r="K401">
        <v>1.75</v>
      </c>
      <c r="M401" s="2" t="str">
        <f>HYPERLINK("http://www.windermere.com/index.cfm?fuseaction=Listing.MapPropertyInteractive&amp;ListingID=19378194&amp;resize=true&amp;windowWidth=800&amp;windowHeight=600","Map")</f>
        <v>Map</v>
      </c>
      <c r="O401" s="2" t="str">
        <f>HYPERLINK("http://www.windermere.com/index.cfm?fuseaction=Listing.MultiImageViewer&amp;ListingID=19378194&amp;ln=28028148&amp;pub_mls=1","More")</f>
        <v>More</v>
      </c>
      <c r="AI401" t="s">
        <v>66</v>
      </c>
      <c r="AJ401">
        <v>98117</v>
      </c>
      <c r="AS401" t="s">
        <v>1224</v>
      </c>
      <c r="AT401">
        <v>19378194</v>
      </c>
      <c r="AU401" s="12">
        <v>39495</v>
      </c>
      <c r="BB401" t="s">
        <v>912</v>
      </c>
      <c r="BC401" s="7">
        <v>39493</v>
      </c>
      <c r="BG401">
        <v>2</v>
      </c>
      <c r="BH401" s="17">
        <f t="shared" ca="1" si="6"/>
        <v>34</v>
      </c>
      <c r="BI401" s="17"/>
      <c r="BJ401" s="17"/>
    </row>
    <row r="402" spans="1:63" hidden="1">
      <c r="A402">
        <v>28023849</v>
      </c>
      <c r="B402" s="2" t="str">
        <f>HYPERLINK("http://www.windermere.com/index.cfm?fuseaction=Listing.ListingDetail&amp;ListingID=19342514","Active")</f>
        <v>Active</v>
      </c>
      <c r="D402" t="s">
        <v>99</v>
      </c>
      <c r="E402" t="s">
        <v>1225</v>
      </c>
      <c r="F402" s="10">
        <v>618000</v>
      </c>
      <c r="G402" t="s">
        <v>146</v>
      </c>
      <c r="H402" s="1">
        <v>1720</v>
      </c>
      <c r="I402">
        <v>11653</v>
      </c>
      <c r="J402">
        <v>3</v>
      </c>
      <c r="K402">
        <v>1.5</v>
      </c>
      <c r="M402" s="2" t="str">
        <f>HYPERLINK("http://www.windermere.com/index.cfm?fuseaction=Listing.MapPropertyInteractive&amp;ListingID=19342514&amp;resize=true&amp;windowWidth=800&amp;windowHeight=600","Map")</f>
        <v>Map</v>
      </c>
      <c r="O402" s="2" t="str">
        <f>HYPERLINK("http://www.windermere.com/index.cfm?fuseaction=Listing.MultiImageViewer&amp;ListingID=19342514&amp;ln=28023849&amp;pub_mls=1","More")</f>
        <v>More</v>
      </c>
      <c r="P402" t="s">
        <v>44</v>
      </c>
      <c r="AI402" t="s">
        <v>66</v>
      </c>
      <c r="AJ402">
        <v>98117</v>
      </c>
      <c r="AS402" t="s">
        <v>1226</v>
      </c>
      <c r="AT402">
        <v>19342514</v>
      </c>
      <c r="AU402" s="12">
        <v>39495</v>
      </c>
      <c r="BB402" t="s">
        <v>912</v>
      </c>
      <c r="BC402" s="7">
        <v>39486</v>
      </c>
      <c r="BG402">
        <v>9</v>
      </c>
      <c r="BH402" s="17">
        <f t="shared" ca="1" si="6"/>
        <v>41</v>
      </c>
      <c r="BI402" s="17"/>
      <c r="BJ402" s="17"/>
    </row>
    <row r="403" spans="1:63" hidden="1">
      <c r="A403">
        <v>27138728</v>
      </c>
      <c r="B403" s="2" t="str">
        <f>HYPERLINK("http://www.windermere.com/index.cfm?fuseaction=Listing.ListingDetail&amp;ListingID=18900215","Active")</f>
        <v>Active</v>
      </c>
      <c r="D403" t="s">
        <v>101</v>
      </c>
      <c r="E403" t="s">
        <v>1227</v>
      </c>
      <c r="F403" s="10">
        <v>625000</v>
      </c>
      <c r="G403" t="s">
        <v>168</v>
      </c>
      <c r="H403" s="1">
        <v>2140</v>
      </c>
      <c r="I403">
        <v>6600</v>
      </c>
      <c r="J403">
        <v>4</v>
      </c>
      <c r="K403">
        <v>1.75</v>
      </c>
      <c r="M403" s="2" t="str">
        <f>HYPERLINK("http://www.windermere.com/index.cfm?fuseaction=Listing.MapPropertyInteractive&amp;ListingID=18900215&amp;resize=true&amp;windowWidth=800&amp;windowHeight=600","Map")</f>
        <v>Map</v>
      </c>
      <c r="O403" s="2" t="str">
        <f>HYPERLINK("http://www.windermere.com/index.cfm?fuseaction=Listing.MultiImageViewer&amp;ListingID=18900215&amp;ln=27138728&amp;pub_mls=1","More")</f>
        <v>More</v>
      </c>
      <c r="P403" t="s">
        <v>44</v>
      </c>
      <c r="AI403" t="s">
        <v>66</v>
      </c>
      <c r="AJ403">
        <v>98117</v>
      </c>
      <c r="AS403" t="s">
        <v>1228</v>
      </c>
      <c r="AT403">
        <v>18900215</v>
      </c>
      <c r="AU403" s="12">
        <v>39495</v>
      </c>
      <c r="BB403" t="s">
        <v>912</v>
      </c>
      <c r="BC403" s="7">
        <v>39293</v>
      </c>
      <c r="BD403">
        <v>2</v>
      </c>
      <c r="BG403">
        <v>202</v>
      </c>
      <c r="BH403" s="17">
        <f t="shared" ca="1" si="6"/>
        <v>234</v>
      </c>
      <c r="BI403" s="17"/>
      <c r="BJ403" s="17"/>
    </row>
    <row r="404" spans="1:63" hidden="1">
      <c r="A404">
        <v>28025594</v>
      </c>
      <c r="B404" s="2" t="str">
        <f>HYPERLINK("http://www.windermere.com/index.cfm?fuseaction=Listing.ListingDetail&amp;ListingID=19356196","Active")</f>
        <v>Active</v>
      </c>
      <c r="D404" t="s">
        <v>88</v>
      </c>
      <c r="E404" t="s">
        <v>1229</v>
      </c>
      <c r="F404" s="10">
        <v>625000</v>
      </c>
      <c r="G404" t="s">
        <v>440</v>
      </c>
      <c r="H404" s="1">
        <v>3380</v>
      </c>
      <c r="I404">
        <v>3750</v>
      </c>
      <c r="J404">
        <v>3</v>
      </c>
      <c r="K404">
        <v>2.5</v>
      </c>
      <c r="M404" s="2" t="str">
        <f>HYPERLINK("http://www.windermere.com/index.cfm?fuseaction=Listing.MapPropertyInteractive&amp;ListingID=19356196&amp;resize=true&amp;windowWidth=800&amp;windowHeight=600","Map")</f>
        <v>Map</v>
      </c>
      <c r="O404" s="2" t="str">
        <f>HYPERLINK("http://www.windermere.com/index.cfm?fuseaction=Listing.MultiImageViewer&amp;ListingID=19356196&amp;ln=28025594&amp;pub_mls=1","More")</f>
        <v>More</v>
      </c>
      <c r="P404" t="s">
        <v>44</v>
      </c>
      <c r="AI404" t="s">
        <v>66</v>
      </c>
      <c r="AJ404">
        <v>98117</v>
      </c>
      <c r="AS404" t="s">
        <v>1230</v>
      </c>
      <c r="AT404">
        <v>19356196</v>
      </c>
      <c r="AU404" s="12">
        <v>39495</v>
      </c>
      <c r="BB404" t="s">
        <v>912</v>
      </c>
      <c r="BC404" s="7">
        <v>39490</v>
      </c>
      <c r="BG404">
        <v>5</v>
      </c>
      <c r="BH404" s="17">
        <f t="shared" ca="1" si="6"/>
        <v>37</v>
      </c>
      <c r="BI404" s="17"/>
      <c r="BJ404" s="17"/>
    </row>
    <row r="405" spans="1:63" hidden="1">
      <c r="A405">
        <v>28024868</v>
      </c>
      <c r="B405" s="2" t="str">
        <f>HYPERLINK("http://www.windermere.com/index.cfm?fuseaction=Listing.ListingDetail&amp;ListingID=19351026","Active")</f>
        <v>Active</v>
      </c>
      <c r="D405" t="s">
        <v>101</v>
      </c>
      <c r="E405" t="s">
        <v>1231</v>
      </c>
      <c r="F405" s="10">
        <v>659950</v>
      </c>
      <c r="G405" t="s">
        <v>147</v>
      </c>
      <c r="H405" s="1">
        <v>2659</v>
      </c>
      <c r="J405">
        <v>4</v>
      </c>
      <c r="K405">
        <v>3.5</v>
      </c>
      <c r="M405" s="2" t="str">
        <f>HYPERLINK("http://www.windermere.com/index.cfm?fuseaction=Listing.MapPropertyInteractive&amp;ListingID=19351026&amp;resize=true&amp;windowWidth=800&amp;windowHeight=600","Map")</f>
        <v>Map</v>
      </c>
      <c r="O405" s="2" t="str">
        <f>HYPERLINK("http://www.windermere.com/index.cfm?fuseaction=Listing.MultiImageViewer&amp;ListingID=19351026&amp;ln=28024868&amp;pub_mls=1","More")</f>
        <v>More</v>
      </c>
      <c r="AI405" t="s">
        <v>66</v>
      </c>
      <c r="AJ405">
        <v>98117</v>
      </c>
      <c r="AS405" t="s">
        <v>1232</v>
      </c>
      <c r="AT405">
        <v>19351026</v>
      </c>
      <c r="AU405" s="12">
        <v>39495</v>
      </c>
      <c r="BB405" t="s">
        <v>912</v>
      </c>
      <c r="BC405" s="7">
        <v>39489</v>
      </c>
      <c r="BG405">
        <v>6</v>
      </c>
      <c r="BH405" s="17">
        <f t="shared" ca="1" si="6"/>
        <v>38</v>
      </c>
      <c r="BI405" s="17"/>
      <c r="BJ405" s="17"/>
    </row>
    <row r="406" spans="1:63" hidden="1">
      <c r="A406">
        <v>27187552</v>
      </c>
      <c r="B406" s="2" t="str">
        <f>HYPERLINK("http://www.windermere.com/index.cfm?fuseaction=Listing.ListingDetail&amp;ListingID=18825661","Subject To Inspection")</f>
        <v>Subject To Inspection</v>
      </c>
      <c r="D406" t="s">
        <v>63</v>
      </c>
      <c r="E406" t="s">
        <v>1233</v>
      </c>
      <c r="F406" s="10">
        <v>669500</v>
      </c>
      <c r="G406" t="s">
        <v>147</v>
      </c>
      <c r="H406" s="1">
        <v>2425</v>
      </c>
      <c r="J406">
        <v>4</v>
      </c>
      <c r="K406">
        <v>3.5</v>
      </c>
      <c r="M406" s="2" t="str">
        <f>HYPERLINK("http://www.windermere.com/index.cfm?fuseaction=Listing.MapPropertyInteractive&amp;ListingID=18825661&amp;resize=true&amp;windowWidth=800&amp;windowHeight=600","Map")</f>
        <v>Map</v>
      </c>
      <c r="O406" s="2" t="str">
        <f>HYPERLINK("http://www.windermere.com/index.cfm?fuseaction=viewGallery.Home&amp;customTourID=197563&amp;wvt=0","More")</f>
        <v>More</v>
      </c>
      <c r="AI406" t="s">
        <v>66</v>
      </c>
      <c r="AJ406">
        <v>98117</v>
      </c>
      <c r="AS406" t="s">
        <v>1234</v>
      </c>
      <c r="AT406">
        <v>18825661</v>
      </c>
      <c r="AU406" s="12">
        <v>39495</v>
      </c>
      <c r="BB406" t="s">
        <v>912</v>
      </c>
      <c r="BC406" s="7">
        <v>39372</v>
      </c>
      <c r="BG406">
        <v>123</v>
      </c>
      <c r="BH406" s="17">
        <f t="shared" ca="1" si="6"/>
        <v>155</v>
      </c>
      <c r="BI406" s="17"/>
      <c r="BJ406" s="17"/>
      <c r="BK406" t="str">
        <f>B406</f>
        <v>Subject To Inspection</v>
      </c>
    </row>
    <row r="407" spans="1:63" hidden="1">
      <c r="A407">
        <v>27203745</v>
      </c>
      <c r="B407" s="2" t="str">
        <f>HYPERLINK("http://www.windermere.com/index.cfm?fuseaction=Listing.ListingDetail&amp;ListingID=18992860","Active")</f>
        <v>Active</v>
      </c>
      <c r="D407" t="s">
        <v>63</v>
      </c>
      <c r="E407" t="s">
        <v>1235</v>
      </c>
      <c r="F407" s="10">
        <v>674950</v>
      </c>
      <c r="G407" t="s">
        <v>134</v>
      </c>
      <c r="H407" s="1">
        <v>2140</v>
      </c>
      <c r="I407">
        <v>3877</v>
      </c>
      <c r="J407">
        <v>3</v>
      </c>
      <c r="K407">
        <v>2.75</v>
      </c>
      <c r="M407" s="2" t="str">
        <f>HYPERLINK("http://www.windermere.com/index.cfm?fuseaction=Listing.MapPropertyInteractive&amp;ListingID=18992860&amp;resize=true&amp;windowWidth=800&amp;windowHeight=600","Map")</f>
        <v>Map</v>
      </c>
      <c r="O407" s="2" t="str">
        <f>HYPERLINK("http://www.windermere.com/index.cfm?fuseaction=Listing.MultiImageViewer&amp;ListingID=18992860&amp;ln=27203745&amp;pub_mls=1","More")</f>
        <v>More</v>
      </c>
      <c r="P407" t="s">
        <v>44</v>
      </c>
      <c r="AI407" t="s">
        <v>66</v>
      </c>
      <c r="AJ407">
        <v>98117</v>
      </c>
      <c r="AS407" t="s">
        <v>1236</v>
      </c>
      <c r="AT407">
        <v>18992860</v>
      </c>
      <c r="AU407" s="12">
        <v>39495</v>
      </c>
      <c r="BB407" t="s">
        <v>912</v>
      </c>
      <c r="BC407" s="7">
        <v>39489</v>
      </c>
      <c r="BG407">
        <v>93</v>
      </c>
      <c r="BH407" s="17">
        <f t="shared" ca="1" si="6"/>
        <v>38</v>
      </c>
      <c r="BI407" s="17"/>
      <c r="BJ407" s="17"/>
    </row>
    <row r="408" spans="1:63" hidden="1">
      <c r="A408">
        <v>27212473</v>
      </c>
      <c r="B408" s="2" t="str">
        <f>HYPERLINK("http://www.windermere.com/index.cfm?fuseaction=Listing.ListingDetail&amp;ListingID=19092155","Active")</f>
        <v>Active</v>
      </c>
      <c r="D408" t="s">
        <v>63</v>
      </c>
      <c r="E408" t="s">
        <v>1237</v>
      </c>
      <c r="F408" s="10">
        <v>674950</v>
      </c>
      <c r="G408" t="s">
        <v>135</v>
      </c>
      <c r="H408" s="1">
        <v>2260</v>
      </c>
      <c r="J408">
        <v>4</v>
      </c>
      <c r="K408">
        <v>2.25</v>
      </c>
      <c r="M408" s="2" t="str">
        <f>HYPERLINK("http://www.windermere.com/index.cfm?fuseaction=Listing.MapPropertyInteractive&amp;ListingID=19092155&amp;resize=true&amp;windowWidth=800&amp;windowHeight=600","Map")</f>
        <v>Map</v>
      </c>
      <c r="O408" s="2" t="str">
        <f>HYPERLINK("http://www.windermere.com/index.cfm?fuseaction=Listing.MultiImageViewer&amp;ListingID=19092155&amp;ln=27212473&amp;pub_mls=1","More")</f>
        <v>More</v>
      </c>
      <c r="AI408" t="s">
        <v>66</v>
      </c>
      <c r="AJ408">
        <v>98117</v>
      </c>
      <c r="AS408" t="s">
        <v>1238</v>
      </c>
      <c r="AT408">
        <v>19092155</v>
      </c>
      <c r="AU408" s="12">
        <v>39495</v>
      </c>
      <c r="BB408" t="s">
        <v>912</v>
      </c>
      <c r="BC408" s="7">
        <v>39429</v>
      </c>
      <c r="BG408">
        <v>69</v>
      </c>
      <c r="BH408" s="17">
        <f t="shared" ca="1" si="6"/>
        <v>98</v>
      </c>
      <c r="BI408" s="17"/>
      <c r="BJ408" s="17"/>
      <c r="BK408" t="s">
        <v>1414</v>
      </c>
    </row>
    <row r="409" spans="1:63" hidden="1">
      <c r="A409">
        <v>27207281</v>
      </c>
      <c r="B409" s="2" t="str">
        <f>HYPERLINK("http://www.windermere.com/index.cfm?fuseaction=Listing.ListingDetail&amp;ListingID=19034826","Active")</f>
        <v>Active</v>
      </c>
      <c r="D409" t="s">
        <v>1239</v>
      </c>
      <c r="E409" t="s">
        <v>1240</v>
      </c>
      <c r="F409" s="13">
        <v>629950</v>
      </c>
      <c r="G409" t="s">
        <v>247</v>
      </c>
      <c r="H409" s="1">
        <v>1785</v>
      </c>
      <c r="J409">
        <v>3</v>
      </c>
      <c r="K409">
        <v>2.5</v>
      </c>
      <c r="M409" s="2" t="str">
        <f>HYPERLINK("http://www.windermere.com/index.cfm?fuseaction=Listing.MapPropertyInteractive&amp;ListingID=19034826&amp;resize=true&amp;windowWidth=800&amp;windowHeight=600","Map")</f>
        <v>Map</v>
      </c>
      <c r="O409" s="2" t="str">
        <f>HYPERLINK("http://www.windermere.com/index.cfm?fuseaction=Listing.MultiImageViewer&amp;ListingID=19034826&amp;ln=27207281&amp;pub_mls=1","More")</f>
        <v>More</v>
      </c>
      <c r="P409" t="s">
        <v>44</v>
      </c>
      <c r="AI409" t="s">
        <v>66</v>
      </c>
      <c r="AJ409">
        <v>98117</v>
      </c>
      <c r="AS409" t="s">
        <v>1241</v>
      </c>
      <c r="AT409">
        <v>19034826</v>
      </c>
      <c r="AU409" s="12">
        <v>39495</v>
      </c>
      <c r="BB409" t="s">
        <v>912</v>
      </c>
      <c r="BC409" s="7">
        <v>39416</v>
      </c>
      <c r="BG409">
        <v>82</v>
      </c>
      <c r="BH409" s="17">
        <f t="shared" ca="1" si="6"/>
        <v>111</v>
      </c>
      <c r="BI409" s="17"/>
      <c r="BJ409" s="17"/>
    </row>
    <row r="410" spans="1:63" hidden="1">
      <c r="A410">
        <v>28011311</v>
      </c>
      <c r="B410" s="2" t="str">
        <f>HYPERLINK("http://www.windermere.com/index.cfm?fuseaction=Listing.ListingDetail&amp;ListingID=19243527","Active")</f>
        <v>Active</v>
      </c>
      <c r="D410" t="s">
        <v>63</v>
      </c>
      <c r="E410" t="s">
        <v>1242</v>
      </c>
      <c r="F410" s="10">
        <v>695000</v>
      </c>
      <c r="G410" t="s">
        <v>177</v>
      </c>
      <c r="H410" s="1">
        <v>1940</v>
      </c>
      <c r="I410">
        <v>3000</v>
      </c>
      <c r="J410">
        <v>3</v>
      </c>
      <c r="K410">
        <v>2.75</v>
      </c>
      <c r="M410" s="2" t="str">
        <f>HYPERLINK("http://www.windermere.com/index.cfm?fuseaction=Listing.MapPropertyInteractive&amp;ListingID=19243527&amp;resize=true&amp;windowWidth=800&amp;windowHeight=600","Map")</f>
        <v>Map</v>
      </c>
      <c r="O410" s="2" t="str">
        <f>HYPERLINK("http://www.windermere.com/index.cfm?fuseaction=Listing.MultiImageViewer&amp;ListingID=19243527&amp;ln=28011311&amp;pub_mls=1","More")</f>
        <v>More</v>
      </c>
      <c r="P410" t="s">
        <v>44</v>
      </c>
      <c r="AI410" t="s">
        <v>66</v>
      </c>
      <c r="AJ410">
        <v>98117</v>
      </c>
      <c r="AS410" t="s">
        <v>1243</v>
      </c>
      <c r="AT410">
        <v>19243527</v>
      </c>
      <c r="AU410" s="12">
        <v>39495</v>
      </c>
      <c r="BB410" t="s">
        <v>912</v>
      </c>
      <c r="BC410" s="7">
        <v>39465</v>
      </c>
      <c r="BG410">
        <v>33</v>
      </c>
      <c r="BH410" s="17">
        <f t="shared" ca="1" si="6"/>
        <v>62</v>
      </c>
      <c r="BI410" s="17"/>
      <c r="BJ410" s="17"/>
    </row>
    <row r="411" spans="1:63" hidden="1">
      <c r="A411">
        <v>28004731</v>
      </c>
      <c r="B411" s="2" t="str">
        <f>HYPERLINK("http://www.windermere.com/index.cfm?fuseaction=Listing.ListingDetail&amp;ListingID=19181505","Active")</f>
        <v>Active</v>
      </c>
      <c r="D411" t="s">
        <v>1239</v>
      </c>
      <c r="E411" t="s">
        <v>1250</v>
      </c>
      <c r="F411" s="13">
        <v>689950</v>
      </c>
      <c r="G411" t="s">
        <v>247</v>
      </c>
      <c r="H411" s="1">
        <v>2093</v>
      </c>
      <c r="J411">
        <v>3</v>
      </c>
      <c r="K411">
        <v>2.5</v>
      </c>
      <c r="M411" s="2" t="str">
        <f>HYPERLINK("http://www.windermere.com/index.cfm?fuseaction=Listing.MapPropertyInteractive&amp;ListingID=19181505&amp;resize=true&amp;windowWidth=800&amp;windowHeight=600","Map")</f>
        <v>Map</v>
      </c>
      <c r="O411" s="2" t="str">
        <f>HYPERLINK("http://www.windermere.com/index.cfm?fuseaction=Listing.MultiImageViewer&amp;ListingID=19181505&amp;ln=28004731&amp;pub_mls=1","More")</f>
        <v>More</v>
      </c>
      <c r="P411" t="s">
        <v>44</v>
      </c>
      <c r="AI411" t="s">
        <v>66</v>
      </c>
      <c r="AJ411">
        <v>98117</v>
      </c>
      <c r="AS411" t="s">
        <v>1251</v>
      </c>
      <c r="AT411">
        <v>19181505</v>
      </c>
      <c r="AU411" s="12">
        <v>39495</v>
      </c>
      <c r="BB411" t="s">
        <v>912</v>
      </c>
      <c r="BC411" s="7">
        <v>39455</v>
      </c>
      <c r="BG411">
        <v>43</v>
      </c>
      <c r="BH411" s="17">
        <f t="shared" ca="1" si="6"/>
        <v>72</v>
      </c>
      <c r="BI411" s="17"/>
      <c r="BJ411" s="17"/>
    </row>
    <row r="412" spans="1:63" hidden="1">
      <c r="A412">
        <v>28004734</v>
      </c>
      <c r="B412" s="2" t="str">
        <f>HYPERLINK("http://www.windermere.com/index.cfm?fuseaction=Listing.ListingDetail&amp;ListingID=19181506","Active")</f>
        <v>Active</v>
      </c>
      <c r="D412" t="s">
        <v>1239</v>
      </c>
      <c r="E412" t="s">
        <v>1244</v>
      </c>
      <c r="F412" s="13">
        <v>689950</v>
      </c>
      <c r="G412" t="s">
        <v>247</v>
      </c>
      <c r="H412" s="1">
        <v>2094</v>
      </c>
      <c r="J412">
        <v>3</v>
      </c>
      <c r="K412">
        <v>2.5</v>
      </c>
      <c r="M412" s="2" t="str">
        <f>HYPERLINK("http://www.windermere.com/index.cfm?fuseaction=Listing.MapPropertyInteractive&amp;ListingID=19181506&amp;resize=true&amp;windowWidth=800&amp;windowHeight=600","Map")</f>
        <v>Map</v>
      </c>
      <c r="O412" s="2" t="str">
        <f>HYPERLINK("http://www.windermere.com/index.cfm?fuseaction=Listing.MultiImageViewer&amp;ListingID=19181506&amp;ln=28004734&amp;pub_mls=1","More")</f>
        <v>More</v>
      </c>
      <c r="P412" t="s">
        <v>44</v>
      </c>
      <c r="AI412" t="s">
        <v>66</v>
      </c>
      <c r="AJ412">
        <v>98117</v>
      </c>
      <c r="AS412" t="s">
        <v>1245</v>
      </c>
      <c r="AT412">
        <v>19181506</v>
      </c>
      <c r="AU412" s="12">
        <v>39495</v>
      </c>
      <c r="BB412" t="s">
        <v>912</v>
      </c>
      <c r="BC412" s="7">
        <v>39455</v>
      </c>
      <c r="BG412">
        <v>43</v>
      </c>
      <c r="BH412" s="17">
        <f t="shared" ca="1" si="6"/>
        <v>72</v>
      </c>
      <c r="BI412" s="17"/>
      <c r="BJ412" s="17"/>
    </row>
    <row r="413" spans="1:63" hidden="1">
      <c r="A413">
        <v>28004743</v>
      </c>
      <c r="B413" s="2" t="str">
        <f>HYPERLINK("http://www.windermere.com/index.cfm?fuseaction=Listing.ListingDetail&amp;ListingID=19181512","Active")</f>
        <v>Active</v>
      </c>
      <c r="D413" t="s">
        <v>1239</v>
      </c>
      <c r="E413" t="s">
        <v>1246</v>
      </c>
      <c r="F413" s="13">
        <v>689950</v>
      </c>
      <c r="G413" t="s">
        <v>247</v>
      </c>
      <c r="H413" s="1">
        <v>2093</v>
      </c>
      <c r="J413">
        <v>3</v>
      </c>
      <c r="K413">
        <v>2.5</v>
      </c>
      <c r="M413" s="2" t="str">
        <f>HYPERLINK("http://www.windermere.com/index.cfm?fuseaction=Listing.MapPropertyInteractive&amp;ListingID=19181512&amp;resize=true&amp;windowWidth=800&amp;windowHeight=600","Map")</f>
        <v>Map</v>
      </c>
      <c r="O413" s="2" t="str">
        <f>HYPERLINK("http://www.windermere.com/index.cfm?fuseaction=Listing.MultiImageViewer&amp;ListingID=19181512&amp;ln=28004743&amp;pub_mls=1","More")</f>
        <v>More</v>
      </c>
      <c r="P413" t="s">
        <v>44</v>
      </c>
      <c r="AI413" t="s">
        <v>66</v>
      </c>
      <c r="AJ413">
        <v>98117</v>
      </c>
      <c r="AS413" t="s">
        <v>1247</v>
      </c>
      <c r="AT413">
        <v>19181512</v>
      </c>
      <c r="AU413" s="12">
        <v>39495</v>
      </c>
      <c r="BB413" t="s">
        <v>912</v>
      </c>
      <c r="BC413" s="7">
        <v>39455</v>
      </c>
      <c r="BG413">
        <v>43</v>
      </c>
      <c r="BH413" s="17">
        <f t="shared" ca="1" si="6"/>
        <v>72</v>
      </c>
      <c r="BI413" s="17"/>
      <c r="BJ413" s="17"/>
    </row>
    <row r="414" spans="1:63" hidden="1">
      <c r="A414">
        <v>28004745</v>
      </c>
      <c r="B414" s="2" t="str">
        <f>HYPERLINK("http://www.windermere.com/index.cfm?fuseaction=Listing.ListingDetail&amp;ListingID=19181513","Active")</f>
        <v>Active</v>
      </c>
      <c r="D414" t="s">
        <v>1239</v>
      </c>
      <c r="E414" t="s">
        <v>1248</v>
      </c>
      <c r="F414" s="13">
        <v>694950</v>
      </c>
      <c r="G414" t="s">
        <v>247</v>
      </c>
      <c r="H414" s="1">
        <v>2094</v>
      </c>
      <c r="J414">
        <v>3</v>
      </c>
      <c r="K414">
        <v>2.5</v>
      </c>
      <c r="M414" s="2" t="str">
        <f>HYPERLINK("http://www.windermere.com/index.cfm?fuseaction=Listing.MapPropertyInteractive&amp;ListingID=19181513&amp;resize=true&amp;windowWidth=800&amp;windowHeight=600","Map")</f>
        <v>Map</v>
      </c>
      <c r="O414" s="2" t="str">
        <f>HYPERLINK("http://www.windermere.com/index.cfm?fuseaction=Listing.MultiImageViewer&amp;ListingID=19181513&amp;ln=28004745&amp;pub_mls=1","More")</f>
        <v>More</v>
      </c>
      <c r="P414" t="s">
        <v>44</v>
      </c>
      <c r="AI414" t="s">
        <v>66</v>
      </c>
      <c r="AJ414">
        <v>98117</v>
      </c>
      <c r="AS414" t="s">
        <v>1249</v>
      </c>
      <c r="AT414">
        <v>19181513</v>
      </c>
      <c r="AU414" s="12">
        <v>39495</v>
      </c>
      <c r="BB414" t="s">
        <v>912</v>
      </c>
      <c r="BC414" s="7">
        <v>39455</v>
      </c>
      <c r="BG414">
        <v>43</v>
      </c>
      <c r="BH414" s="17">
        <f t="shared" ca="1" si="6"/>
        <v>72</v>
      </c>
      <c r="BI414" s="17"/>
      <c r="BJ414" s="17"/>
    </row>
    <row r="415" spans="1:63" hidden="1">
      <c r="A415">
        <v>28027450</v>
      </c>
      <c r="B415" s="2" t="str">
        <f>HYPERLINK("http://www.windermere.com/index.cfm?fuseaction=Listing.ListingDetail&amp;ListingID=19373391","Active")</f>
        <v>Active</v>
      </c>
      <c r="D415" t="s">
        <v>1203</v>
      </c>
      <c r="E415" t="s">
        <v>1252</v>
      </c>
      <c r="F415" s="10">
        <v>700000</v>
      </c>
      <c r="G415" t="s">
        <v>419</v>
      </c>
      <c r="H415" s="1">
        <v>2550</v>
      </c>
      <c r="I415">
        <v>7440</v>
      </c>
      <c r="J415">
        <v>3</v>
      </c>
      <c r="K415">
        <v>2.5</v>
      </c>
      <c r="M415" s="2" t="str">
        <f>HYPERLINK("http://www.windermere.com/index.cfm?fuseaction=Listing.MapPropertyInteractive&amp;ListingID=19373391&amp;resize=true&amp;windowWidth=800&amp;windowHeight=600","Map")</f>
        <v>Map</v>
      </c>
      <c r="O415" s="2" t="str">
        <f>HYPERLINK("http://www.windermere.com/index.cfm?fuseaction=Listing.MultiImageViewer&amp;ListingID=19373391&amp;ln=28027450&amp;pub_mls=1","More")</f>
        <v>More</v>
      </c>
      <c r="P415" t="s">
        <v>44</v>
      </c>
      <c r="AI415" t="s">
        <v>66</v>
      </c>
      <c r="AJ415">
        <v>98117</v>
      </c>
      <c r="AS415" t="s">
        <v>1253</v>
      </c>
      <c r="AT415">
        <v>19373391</v>
      </c>
      <c r="AU415" s="12">
        <v>39495</v>
      </c>
      <c r="BB415" t="s">
        <v>912</v>
      </c>
      <c r="BC415" s="7">
        <v>39492</v>
      </c>
      <c r="BG415">
        <v>6</v>
      </c>
      <c r="BH415" s="17">
        <f t="shared" ca="1" si="6"/>
        <v>35</v>
      </c>
      <c r="BI415" s="17"/>
      <c r="BJ415" s="17"/>
    </row>
    <row r="416" spans="1:63" hidden="1">
      <c r="A416">
        <v>28004740</v>
      </c>
      <c r="B416" s="2" t="str">
        <f>HYPERLINK("http://www.windermere.com/index.cfm?fuseaction=Listing.ListingDetail&amp;ListingID=19181511","Active")</f>
        <v>Active</v>
      </c>
      <c r="D416" t="s">
        <v>1239</v>
      </c>
      <c r="E416" t="s">
        <v>1254</v>
      </c>
      <c r="F416" s="13">
        <v>689950</v>
      </c>
      <c r="G416" t="s">
        <v>247</v>
      </c>
      <c r="H416" s="1">
        <v>2072</v>
      </c>
      <c r="J416">
        <v>3</v>
      </c>
      <c r="K416">
        <v>2.5</v>
      </c>
      <c r="M416" s="2" t="str">
        <f>HYPERLINK("http://www.windermere.com/index.cfm?fuseaction=Listing.MapPropertyInteractive&amp;ListingID=19181511&amp;resize=true&amp;windowWidth=800&amp;windowHeight=600","Map")</f>
        <v>Map</v>
      </c>
      <c r="O416" s="2" t="str">
        <f>HYPERLINK("http://www.windermere.com/index.cfm?fuseaction=Listing.MultiImageViewer&amp;ListingID=19181511&amp;ln=28004740&amp;pub_mls=1","More")</f>
        <v>More</v>
      </c>
      <c r="P416" t="s">
        <v>44</v>
      </c>
      <c r="AI416" t="s">
        <v>66</v>
      </c>
      <c r="AJ416">
        <v>98117</v>
      </c>
      <c r="AS416" t="s">
        <v>1255</v>
      </c>
      <c r="AT416">
        <v>19181511</v>
      </c>
      <c r="AU416" s="12">
        <v>39495</v>
      </c>
      <c r="BB416" t="s">
        <v>912</v>
      </c>
      <c r="BC416" s="7">
        <v>39455</v>
      </c>
      <c r="BG416">
        <v>43</v>
      </c>
      <c r="BH416" s="17">
        <f t="shared" ca="1" si="6"/>
        <v>72</v>
      </c>
      <c r="BI416" s="17"/>
      <c r="BJ416" s="17"/>
    </row>
    <row r="417" spans="1:62" hidden="1">
      <c r="A417">
        <v>28004738</v>
      </c>
      <c r="B417" s="2" t="str">
        <f>HYPERLINK("http://www.windermere.com/index.cfm?fuseaction=Listing.ListingDetail&amp;ListingID=19181507","Active")</f>
        <v>Active</v>
      </c>
      <c r="D417" t="s">
        <v>1239</v>
      </c>
      <c r="E417" t="s">
        <v>1256</v>
      </c>
      <c r="F417" s="13">
        <v>699950</v>
      </c>
      <c r="G417" t="s">
        <v>247</v>
      </c>
      <c r="H417" s="1">
        <v>2089</v>
      </c>
      <c r="J417">
        <v>3</v>
      </c>
      <c r="K417">
        <v>2.5</v>
      </c>
      <c r="M417" s="2" t="str">
        <f>HYPERLINK("http://www.windermere.com/index.cfm?fuseaction=Listing.MapPropertyInteractive&amp;ListingID=19181507&amp;resize=true&amp;windowWidth=800&amp;windowHeight=600","Map")</f>
        <v>Map</v>
      </c>
      <c r="O417" s="2" t="str">
        <f>HYPERLINK("http://www.windermere.com/index.cfm?fuseaction=Listing.MultiImageViewer&amp;ListingID=19181507&amp;ln=28004738&amp;pub_mls=1","More")</f>
        <v>More</v>
      </c>
      <c r="P417" t="s">
        <v>44</v>
      </c>
      <c r="AI417" t="s">
        <v>66</v>
      </c>
      <c r="AJ417">
        <v>98117</v>
      </c>
      <c r="AS417" t="s">
        <v>1257</v>
      </c>
      <c r="AT417">
        <v>19181507</v>
      </c>
      <c r="AU417" s="12">
        <v>39495</v>
      </c>
      <c r="BB417" t="s">
        <v>912</v>
      </c>
      <c r="BC417" s="7">
        <v>39455</v>
      </c>
      <c r="BG417">
        <v>43</v>
      </c>
      <c r="BH417" s="17">
        <f t="shared" ca="1" si="6"/>
        <v>72</v>
      </c>
      <c r="BI417" s="17"/>
      <c r="BJ417" s="17"/>
    </row>
    <row r="418" spans="1:62" hidden="1">
      <c r="A418">
        <v>28000387</v>
      </c>
      <c r="B418" s="2" t="str">
        <f>HYPERLINK("http://www.windermere.com/index.cfm?fuseaction=Listing.ListingDetail&amp;ListingID=19143759","Active")</f>
        <v>Active</v>
      </c>
      <c r="D418" t="s">
        <v>101</v>
      </c>
      <c r="E418" t="s">
        <v>1258</v>
      </c>
      <c r="F418" s="10">
        <v>729000</v>
      </c>
      <c r="G418" t="s">
        <v>162</v>
      </c>
      <c r="H418" s="1">
        <v>2240</v>
      </c>
      <c r="I418">
        <v>7094</v>
      </c>
      <c r="J418">
        <v>3</v>
      </c>
      <c r="K418">
        <v>2</v>
      </c>
      <c r="M418" s="2" t="str">
        <f>HYPERLINK("http://www.windermere.com/index.cfm?fuseaction=Listing.MapPropertyInteractive&amp;ListingID=19143759&amp;resize=true&amp;windowWidth=800&amp;windowHeight=600","Map")</f>
        <v>Map</v>
      </c>
      <c r="O418" s="2" t="str">
        <f>HYPERLINK("http://www.windermere.com/index.cfm?fuseaction=Listing.MultiImageViewer&amp;ListingID=19143759&amp;ln=28000387&amp;pub_mls=1","More")</f>
        <v>More</v>
      </c>
      <c r="P418" t="s">
        <v>44</v>
      </c>
      <c r="AI418" t="s">
        <v>66</v>
      </c>
      <c r="AJ418">
        <v>98117</v>
      </c>
      <c r="AS418" t="s">
        <v>1259</v>
      </c>
      <c r="AT418">
        <v>19143759</v>
      </c>
      <c r="AU418" s="12">
        <v>39495</v>
      </c>
      <c r="BB418" t="s">
        <v>912</v>
      </c>
      <c r="BC418" s="7">
        <v>39448</v>
      </c>
      <c r="BG418">
        <v>50</v>
      </c>
      <c r="BH418" s="17">
        <f t="shared" ca="1" si="6"/>
        <v>79</v>
      </c>
      <c r="BI418" s="17"/>
      <c r="BJ418" s="17"/>
    </row>
    <row r="419" spans="1:62" hidden="1">
      <c r="A419">
        <v>28009535</v>
      </c>
      <c r="B419" s="2" t="str">
        <f>HYPERLINK("http://www.windermere.com/index.cfm?fuseaction=Listing.ListingDetail&amp;ListingID=19233166","Active")</f>
        <v>Active</v>
      </c>
      <c r="D419" t="s">
        <v>1260</v>
      </c>
      <c r="E419" t="s">
        <v>1261</v>
      </c>
      <c r="F419" s="10">
        <v>735000</v>
      </c>
      <c r="G419" t="s">
        <v>151</v>
      </c>
      <c r="H419" s="1">
        <v>2760</v>
      </c>
      <c r="I419">
        <v>4500</v>
      </c>
      <c r="J419">
        <v>2</v>
      </c>
      <c r="K419">
        <v>1.75</v>
      </c>
      <c r="M419" s="2" t="str">
        <f>HYPERLINK("http://www.windermere.com/index.cfm?fuseaction=Listing.MapPropertyInteractive&amp;ListingID=19233166&amp;resize=true&amp;windowWidth=800&amp;windowHeight=600","Map")</f>
        <v>Map</v>
      </c>
      <c r="O419" s="2" t="str">
        <f>HYPERLINK("http://www.windermere.com/index.cfm?fuseaction=viewGallery.Home&amp;customTourID=197820&amp;wvt=0","More")</f>
        <v>More</v>
      </c>
      <c r="P419" t="s">
        <v>44</v>
      </c>
      <c r="AI419" t="s">
        <v>66</v>
      </c>
      <c r="AJ419">
        <v>98117</v>
      </c>
      <c r="AS419" t="s">
        <v>1262</v>
      </c>
      <c r="AT419">
        <v>19233166</v>
      </c>
      <c r="AU419" s="12">
        <v>39495</v>
      </c>
      <c r="BB419" t="s">
        <v>912</v>
      </c>
      <c r="BC419" s="7">
        <v>39463</v>
      </c>
      <c r="BG419">
        <v>35</v>
      </c>
      <c r="BH419" s="17">
        <f t="shared" ca="1" si="6"/>
        <v>64</v>
      </c>
      <c r="BI419" s="17"/>
      <c r="BJ419" s="17"/>
    </row>
    <row r="420" spans="1:62" hidden="1">
      <c r="A420">
        <v>27172480</v>
      </c>
      <c r="B420" s="2" t="str">
        <f>HYPERLINK("http://www.windermere.com/index.cfm?fuseaction=Listing.ListingDetail&amp;ListingID=18675948","Active")</f>
        <v>Active</v>
      </c>
      <c r="D420" t="s">
        <v>1239</v>
      </c>
      <c r="E420" t="s">
        <v>1263</v>
      </c>
      <c r="F420" s="13">
        <v>725950</v>
      </c>
      <c r="G420" t="s">
        <v>247</v>
      </c>
      <c r="H420" s="1">
        <v>2083</v>
      </c>
      <c r="J420">
        <v>3</v>
      </c>
      <c r="K420">
        <v>2.5</v>
      </c>
      <c r="M420" s="2" t="str">
        <f>HYPERLINK("http://www.windermere.com/index.cfm?fuseaction=Listing.MapPropertyInteractive&amp;ListingID=18675948&amp;resize=true&amp;windowWidth=800&amp;windowHeight=600","Map")</f>
        <v>Map</v>
      </c>
      <c r="O420" s="2" t="str">
        <f>HYPERLINK("http://www.windermere.com/index.cfm?fuseaction=Listing.MultiImageViewer&amp;ListingID=18675948&amp;ln=27172480&amp;pub_mls=1","More")</f>
        <v>More</v>
      </c>
      <c r="P420" t="s">
        <v>44</v>
      </c>
      <c r="AI420" t="s">
        <v>66</v>
      </c>
      <c r="AJ420">
        <v>98117</v>
      </c>
      <c r="AS420" t="s">
        <v>1264</v>
      </c>
      <c r="AT420">
        <v>18675948</v>
      </c>
      <c r="AU420" s="12">
        <v>39495</v>
      </c>
      <c r="BB420" t="s">
        <v>912</v>
      </c>
      <c r="BC420" s="7">
        <v>39346</v>
      </c>
      <c r="BG420">
        <v>152</v>
      </c>
      <c r="BH420" s="17">
        <f t="shared" ca="1" si="6"/>
        <v>181</v>
      </c>
      <c r="BI420" s="17"/>
      <c r="BJ420" s="17"/>
    </row>
    <row r="421" spans="1:62" hidden="1">
      <c r="A421">
        <v>28019954</v>
      </c>
      <c r="B421" s="2" t="str">
        <f>HYPERLINK("http://www.windermere.com/index.cfm?fuseaction=Listing.ListingDetail&amp;ListingID=19315379","Active")</f>
        <v>Active</v>
      </c>
      <c r="D421" s="3" t="s">
        <v>1616</v>
      </c>
      <c r="E421" t="s">
        <v>1265</v>
      </c>
      <c r="F421" s="10">
        <v>776000</v>
      </c>
      <c r="G421" t="s">
        <v>157</v>
      </c>
      <c r="H421" s="1">
        <v>1940</v>
      </c>
      <c r="I421">
        <v>8650</v>
      </c>
      <c r="J421">
        <v>2</v>
      </c>
      <c r="K421">
        <v>1.75</v>
      </c>
      <c r="M421" s="2" t="str">
        <f>HYPERLINK("http://www.windermere.com/index.cfm?fuseaction=Listing.MapPropertyInteractive&amp;ListingID=19315379&amp;resize=true&amp;windowWidth=800&amp;windowHeight=600","Map")</f>
        <v>Map</v>
      </c>
      <c r="O421" s="2" t="str">
        <f>HYPERLINK("http://www.windermere.com/index.cfm?fuseaction=viewGallery.Home&amp;customTourID=206456&amp;wvt=0","More")</f>
        <v>More</v>
      </c>
      <c r="P421" t="s">
        <v>44</v>
      </c>
      <c r="AI421" t="s">
        <v>66</v>
      </c>
      <c r="AJ421">
        <v>98117</v>
      </c>
      <c r="AS421" t="s">
        <v>1266</v>
      </c>
      <c r="AT421">
        <v>19315379</v>
      </c>
      <c r="AU421" s="12">
        <v>39495</v>
      </c>
      <c r="BB421" t="s">
        <v>912</v>
      </c>
      <c r="BC421" s="7">
        <v>39480</v>
      </c>
      <c r="BG421">
        <v>18</v>
      </c>
      <c r="BH421" s="17">
        <f t="shared" ca="1" si="6"/>
        <v>47</v>
      </c>
      <c r="BI421" s="17"/>
      <c r="BJ421" s="17"/>
    </row>
    <row r="422" spans="1:62" hidden="1">
      <c r="A422">
        <v>28005243</v>
      </c>
      <c r="B422" s="2" t="str">
        <f>HYPERLINK("http://www.windermere.com/index.cfm?fuseaction=Listing.ListingDetail&amp;ListingID=19213443","Active")</f>
        <v>Active</v>
      </c>
      <c r="D422" t="s">
        <v>101</v>
      </c>
      <c r="E422" t="s">
        <v>1267</v>
      </c>
      <c r="F422" s="10">
        <v>799000</v>
      </c>
      <c r="G422" t="s">
        <v>153</v>
      </c>
      <c r="H422" s="1">
        <v>2150</v>
      </c>
      <c r="I422">
        <v>5215</v>
      </c>
      <c r="J422">
        <v>3</v>
      </c>
      <c r="K422">
        <v>1.75</v>
      </c>
      <c r="M422" s="2" t="str">
        <f>HYPERLINK("http://www.windermere.com/index.cfm?fuseaction=Listing.MapPropertyInteractive&amp;ListingID=19213443&amp;resize=true&amp;windowWidth=800&amp;windowHeight=600","Map")</f>
        <v>Map</v>
      </c>
      <c r="O422" s="2" t="str">
        <f>HYPERLINK("http://www.windermere.com/index.cfm?fuseaction=viewGallery.Home&amp;customTourID=203898&amp;wvt=0","More")</f>
        <v>More</v>
      </c>
      <c r="P422" t="s">
        <v>44</v>
      </c>
      <c r="AI422" t="s">
        <v>66</v>
      </c>
      <c r="AJ422">
        <v>98117</v>
      </c>
      <c r="AS422" t="s">
        <v>1268</v>
      </c>
      <c r="AT422">
        <v>19213443</v>
      </c>
      <c r="AU422" s="12">
        <v>39495</v>
      </c>
      <c r="BB422" t="s">
        <v>912</v>
      </c>
      <c r="BC422" s="7">
        <v>39458</v>
      </c>
      <c r="BG422">
        <v>40</v>
      </c>
      <c r="BH422" s="17">
        <f t="shared" ca="1" si="6"/>
        <v>69</v>
      </c>
      <c r="BI422" s="17"/>
      <c r="BJ422" s="17"/>
    </row>
    <row r="423" spans="1:62" hidden="1">
      <c r="A423">
        <v>27163418</v>
      </c>
      <c r="B423" s="15" t="str">
        <f>HYPERLINK("http://www.windermere.com/index.cfm?fuseaction=Listing.ListingDetail&amp;ListingID=18576148","Subject To Inspection")</f>
        <v>Subject To Inspection</v>
      </c>
      <c r="D423" t="s">
        <v>78</v>
      </c>
      <c r="E423" t="s">
        <v>1269</v>
      </c>
      <c r="F423" s="10">
        <v>799950</v>
      </c>
      <c r="G423" t="s">
        <v>404</v>
      </c>
      <c r="H423" s="1">
        <v>2630</v>
      </c>
      <c r="I423">
        <v>6600</v>
      </c>
      <c r="J423">
        <v>4</v>
      </c>
      <c r="K423">
        <v>2.75</v>
      </c>
      <c r="M423" s="2" t="str">
        <f>HYPERLINK("http://www.windermere.com/index.cfm?fuseaction=Listing.MapPropertyInteractive&amp;ListingID=18576148&amp;resize=true&amp;windowWidth=800&amp;windowHeight=600","Map")</f>
        <v>Map</v>
      </c>
      <c r="O423" s="2" t="str">
        <f>HYPERLINK("http://www.windermere.com/index.cfm?fuseaction=Listing.MultiImageViewer&amp;ListingID=18576148&amp;ln=27163418&amp;pub_mls=1","More")</f>
        <v>More</v>
      </c>
      <c r="AI423" t="s">
        <v>66</v>
      </c>
      <c r="AJ423">
        <v>98117</v>
      </c>
      <c r="AS423" t="s">
        <v>1270</v>
      </c>
      <c r="AT423">
        <v>18576148</v>
      </c>
      <c r="AU423" s="12">
        <v>39495</v>
      </c>
      <c r="BB423" t="s">
        <v>912</v>
      </c>
      <c r="BC423" s="7">
        <v>39331</v>
      </c>
      <c r="BD423">
        <v>3</v>
      </c>
      <c r="BE423" s="6" t="s">
        <v>1328</v>
      </c>
      <c r="BG423">
        <v>167</v>
      </c>
      <c r="BH423" s="17">
        <f t="shared" ca="1" si="6"/>
        <v>196</v>
      </c>
      <c r="BI423" s="17"/>
      <c r="BJ423" s="17"/>
    </row>
    <row r="424" spans="1:62" hidden="1">
      <c r="A424">
        <v>28006190</v>
      </c>
      <c r="B424" s="2" t="str">
        <f>HYPERLINK("http://www.windermere.com/index.cfm?fuseaction=Listing.ListingDetail&amp;ListingID=19191851","Active")</f>
        <v>Active</v>
      </c>
      <c r="D424" t="s">
        <v>1203</v>
      </c>
      <c r="E424" t="s">
        <v>1271</v>
      </c>
      <c r="F424" s="10">
        <v>824500</v>
      </c>
      <c r="G424" t="s">
        <v>131</v>
      </c>
      <c r="H424" s="1">
        <v>2780</v>
      </c>
      <c r="I424">
        <v>6600</v>
      </c>
      <c r="J424">
        <v>4</v>
      </c>
      <c r="K424">
        <v>2.75</v>
      </c>
      <c r="M424" s="2" t="str">
        <f>HYPERLINK("http://www.windermere.com/index.cfm?fuseaction=Listing.MapPropertyInteractive&amp;ListingID=19191851&amp;resize=true&amp;windowWidth=800&amp;windowHeight=600","Map")</f>
        <v>Map</v>
      </c>
      <c r="O424" s="2" t="str">
        <f>HYPERLINK("http://www.windermere.com/index.cfm?fuseaction=viewGallery.Home&amp;customTourID=201998&amp;wvt=0","More")</f>
        <v>More</v>
      </c>
      <c r="P424" t="s">
        <v>44</v>
      </c>
      <c r="AI424" t="s">
        <v>66</v>
      </c>
      <c r="AJ424">
        <v>98117</v>
      </c>
      <c r="AS424" t="s">
        <v>1272</v>
      </c>
      <c r="AT424">
        <v>19191851</v>
      </c>
      <c r="AU424" s="12">
        <v>39495</v>
      </c>
      <c r="BB424" t="s">
        <v>912</v>
      </c>
      <c r="BC424" s="7">
        <v>39457</v>
      </c>
      <c r="BG424">
        <v>41</v>
      </c>
      <c r="BH424" s="17">
        <f t="shared" ca="1" si="6"/>
        <v>70</v>
      </c>
      <c r="BI424" s="17"/>
      <c r="BJ424" s="17"/>
    </row>
    <row r="425" spans="1:62" hidden="1">
      <c r="A425">
        <v>27189613</v>
      </c>
      <c r="B425" s="2" t="str">
        <f>HYPERLINK("http://www.windermere.com/index.cfm?fuseaction=Listing.ListingDetail&amp;ListingID=18844447","Active")</f>
        <v>Active</v>
      </c>
      <c r="D425" t="s">
        <v>55</v>
      </c>
      <c r="E425" t="s">
        <v>1273</v>
      </c>
      <c r="F425" s="10">
        <v>824900</v>
      </c>
      <c r="G425" t="s">
        <v>147</v>
      </c>
      <c r="H425" s="1">
        <v>2500</v>
      </c>
      <c r="I425">
        <v>5100</v>
      </c>
      <c r="J425">
        <v>3</v>
      </c>
      <c r="K425">
        <v>2.5</v>
      </c>
      <c r="M425" s="2" t="str">
        <f>HYPERLINK("http://www.windermere.com/index.cfm?fuseaction=Listing.MapPropertyInteractive&amp;ListingID=18844447&amp;resize=true&amp;windowWidth=800&amp;windowHeight=600","Map")</f>
        <v>Map</v>
      </c>
      <c r="O425" s="2" t="str">
        <f>HYPERLINK("http://www.windermere.com/index.cfm?fuseaction=Listing.MultiImageViewer&amp;ListingID=18844447&amp;ln=27189613&amp;pub_mls=1","More")</f>
        <v>More</v>
      </c>
      <c r="P425" t="s">
        <v>44</v>
      </c>
      <c r="AI425" t="s">
        <v>66</v>
      </c>
      <c r="AJ425">
        <v>98117</v>
      </c>
      <c r="AS425" t="s">
        <v>1274</v>
      </c>
      <c r="AT425">
        <v>18844447</v>
      </c>
      <c r="AU425" s="12">
        <v>39495</v>
      </c>
      <c r="BB425" t="s">
        <v>912</v>
      </c>
      <c r="BC425" s="7">
        <v>39375</v>
      </c>
      <c r="BG425">
        <v>123</v>
      </c>
      <c r="BH425" s="17">
        <f t="shared" ca="1" si="6"/>
        <v>152</v>
      </c>
      <c r="BI425" s="17"/>
      <c r="BJ425" s="17"/>
    </row>
    <row r="426" spans="1:62" hidden="1">
      <c r="A426">
        <v>27211767</v>
      </c>
      <c r="B426" s="2" t="str">
        <f>HYPERLINK("http://www.windermere.com/index.cfm?fuseaction=Listing.ListingDetail&amp;ListingID=19082599","Active")</f>
        <v>Active</v>
      </c>
      <c r="D426" t="s">
        <v>78</v>
      </c>
      <c r="E426" t="s">
        <v>1275</v>
      </c>
      <c r="F426" s="10">
        <v>839950</v>
      </c>
      <c r="G426" t="s">
        <v>147</v>
      </c>
      <c r="H426" s="1">
        <v>3111</v>
      </c>
      <c r="I426">
        <v>5500</v>
      </c>
      <c r="J426">
        <v>4</v>
      </c>
      <c r="K426">
        <v>2.75</v>
      </c>
      <c r="M426" s="2" t="str">
        <f>HYPERLINK("http://www.windermere.com/index.cfm?fuseaction=Listing.MapPropertyInteractive&amp;ListingID=19082599&amp;resize=true&amp;windowWidth=800&amp;windowHeight=600","Map")</f>
        <v>Map</v>
      </c>
      <c r="O426" s="2" t="str">
        <f>HYPERLINK("http://www.windermere.com/index.cfm?fuseaction=Listing.MultiImageViewer&amp;ListingID=19082599&amp;ln=27211767&amp;pub_mls=1","More")</f>
        <v>More</v>
      </c>
      <c r="P426" t="s">
        <v>44</v>
      </c>
      <c r="AI426" t="s">
        <v>66</v>
      </c>
      <c r="AJ426">
        <v>98117</v>
      </c>
      <c r="AS426" t="s">
        <v>1276</v>
      </c>
      <c r="AT426">
        <v>19082599</v>
      </c>
      <c r="AU426" s="12">
        <v>39495</v>
      </c>
      <c r="BB426" t="s">
        <v>912</v>
      </c>
      <c r="BC426" s="7">
        <v>39427</v>
      </c>
      <c r="BG426">
        <v>71</v>
      </c>
      <c r="BH426" s="17">
        <f t="shared" ca="1" si="6"/>
        <v>100</v>
      </c>
      <c r="BI426" s="17"/>
      <c r="BJ426" s="17"/>
    </row>
    <row r="427" spans="1:62" hidden="1">
      <c r="A427">
        <v>28026275</v>
      </c>
      <c r="B427" s="2" t="str">
        <f>HYPERLINK("http://www.windermere.com/index.cfm?fuseaction=Listing.ListingDetail&amp;ListingID=19361391","Active")</f>
        <v>Active</v>
      </c>
      <c r="D427" t="s">
        <v>101</v>
      </c>
      <c r="E427" t="s">
        <v>1277</v>
      </c>
      <c r="F427" s="10">
        <v>849950</v>
      </c>
      <c r="G427" t="s">
        <v>176</v>
      </c>
      <c r="H427" s="1">
        <v>2878</v>
      </c>
      <c r="I427">
        <v>21344</v>
      </c>
      <c r="J427">
        <v>4</v>
      </c>
      <c r="K427">
        <v>2.75</v>
      </c>
      <c r="M427" s="2" t="str">
        <f>HYPERLINK("http://www.windermere.com/index.cfm?fuseaction=Listing.MapPropertyInteractive&amp;ListingID=19361391&amp;resize=true&amp;windowWidth=800&amp;windowHeight=600","Map")</f>
        <v>Map</v>
      </c>
      <c r="O427" s="2" t="str">
        <f>HYPERLINK("http://www.windermere.com/index.cfm?fuseaction=Listing.MultiImageViewer&amp;ListingID=19361391&amp;ln=28026275&amp;pub_mls=1","More")</f>
        <v>More</v>
      </c>
      <c r="P427" t="s">
        <v>44</v>
      </c>
      <c r="AI427" t="s">
        <v>66</v>
      </c>
      <c r="AJ427">
        <v>98117</v>
      </c>
      <c r="AS427" t="s">
        <v>1278</v>
      </c>
      <c r="AT427">
        <v>19361391</v>
      </c>
      <c r="AU427" s="12">
        <v>39495</v>
      </c>
      <c r="BB427" t="s">
        <v>912</v>
      </c>
      <c r="BC427" s="7">
        <v>39491</v>
      </c>
      <c r="BG427">
        <v>7</v>
      </c>
      <c r="BH427" s="17">
        <f t="shared" ca="1" si="6"/>
        <v>36</v>
      </c>
      <c r="BI427" s="17"/>
      <c r="BJ427" s="17"/>
    </row>
    <row r="428" spans="1:62" hidden="1">
      <c r="A428">
        <v>28011833</v>
      </c>
      <c r="B428" s="15" t="str">
        <f>HYPERLINK("http://www.windermere.com/index.cfm?fuseaction=Listing.ListingDetail&amp;ListingID=19247573","Subject To Inspection")</f>
        <v>Subject To Inspection</v>
      </c>
      <c r="D428" t="s">
        <v>55</v>
      </c>
      <c r="E428" t="s">
        <v>1279</v>
      </c>
      <c r="F428" s="10">
        <v>899000</v>
      </c>
      <c r="G428" t="s">
        <v>147</v>
      </c>
      <c r="H428" s="1">
        <v>2820</v>
      </c>
      <c r="I428">
        <v>4650</v>
      </c>
      <c r="J428">
        <v>4</v>
      </c>
      <c r="K428">
        <v>3</v>
      </c>
      <c r="M428" s="2" t="str">
        <f>HYPERLINK("http://www.windermere.com/index.cfm?fuseaction=Listing.MapPropertyInteractive&amp;ListingID=19247573&amp;resize=true&amp;windowWidth=800&amp;windowHeight=600","Map")</f>
        <v>Map</v>
      </c>
      <c r="O428" s="2" t="str">
        <f>HYPERLINK("http://www.windermere.com/index.cfm?fuseaction=viewGallery.Home&amp;customTourID=198814&amp;wvt=0","More")</f>
        <v>More</v>
      </c>
      <c r="P428" t="s">
        <v>44</v>
      </c>
      <c r="AI428" t="s">
        <v>66</v>
      </c>
      <c r="AJ428">
        <v>98117</v>
      </c>
      <c r="AS428" t="s">
        <v>1280</v>
      </c>
      <c r="AT428">
        <v>19247573</v>
      </c>
      <c r="AU428" s="12">
        <v>39495</v>
      </c>
      <c r="BB428" t="s">
        <v>912</v>
      </c>
      <c r="BC428" s="7">
        <v>39465</v>
      </c>
      <c r="BG428">
        <v>33</v>
      </c>
      <c r="BH428" s="17">
        <f t="shared" ca="1" si="6"/>
        <v>62</v>
      </c>
      <c r="BI428" s="17"/>
      <c r="BJ428" s="17"/>
    </row>
    <row r="429" spans="1:62" hidden="1">
      <c r="A429">
        <v>28019761</v>
      </c>
      <c r="B429" s="2" t="str">
        <f>HYPERLINK("http://www.windermere.com/index.cfm?fuseaction=Listing.ListingDetail&amp;ListingID=19311701","Active")</f>
        <v>Active</v>
      </c>
      <c r="D429" t="s">
        <v>88</v>
      </c>
      <c r="E429" t="s">
        <v>1281</v>
      </c>
      <c r="F429" s="10">
        <v>959000</v>
      </c>
      <c r="G429" t="s">
        <v>247</v>
      </c>
      <c r="H429" s="1">
        <v>3200</v>
      </c>
      <c r="I429">
        <v>3750</v>
      </c>
      <c r="J429">
        <v>4</v>
      </c>
      <c r="K429">
        <v>3.5</v>
      </c>
      <c r="M429" s="2" t="str">
        <f>HYPERLINK("http://www.windermere.com/index.cfm?fuseaction=Listing.MapPropertyInteractive&amp;ListingID=19311701&amp;resize=true&amp;windowWidth=800&amp;windowHeight=600","Map")</f>
        <v>Map</v>
      </c>
      <c r="O429" s="2" t="str">
        <f>HYPERLINK("http://www.windermere.com/index.cfm?fuseaction=Listing.MultiImageViewer&amp;ListingID=19311701&amp;ln=28019761&amp;pub_mls=1","More")</f>
        <v>More</v>
      </c>
      <c r="P429" t="s">
        <v>44</v>
      </c>
      <c r="AI429" t="s">
        <v>66</v>
      </c>
      <c r="AJ429">
        <v>98117</v>
      </c>
      <c r="AS429" t="s">
        <v>1282</v>
      </c>
      <c r="AT429">
        <v>19311701</v>
      </c>
      <c r="AU429" s="12">
        <v>39495</v>
      </c>
      <c r="BB429" t="s">
        <v>912</v>
      </c>
      <c r="BC429" s="7">
        <v>39479</v>
      </c>
      <c r="BG429">
        <v>19</v>
      </c>
      <c r="BH429" s="17">
        <f t="shared" ca="1" si="6"/>
        <v>48</v>
      </c>
      <c r="BI429" s="17"/>
      <c r="BJ429" s="17"/>
    </row>
    <row r="430" spans="1:62" hidden="1">
      <c r="A430">
        <v>28015865</v>
      </c>
      <c r="B430" s="2" t="str">
        <f>HYPERLINK("http://www.windermere.com/index.cfm?fuseaction=Listing.ListingDetail&amp;ListingID=19280114","Active")</f>
        <v>Active</v>
      </c>
      <c r="D430" t="s">
        <v>78</v>
      </c>
      <c r="E430" t="s">
        <v>1283</v>
      </c>
      <c r="F430" s="18">
        <v>948950</v>
      </c>
      <c r="G430" t="s">
        <v>247</v>
      </c>
      <c r="H430" s="1">
        <v>3395</v>
      </c>
      <c r="I430">
        <v>4046</v>
      </c>
      <c r="J430">
        <v>4</v>
      </c>
      <c r="K430">
        <v>3.5</v>
      </c>
      <c r="M430" s="2" t="str">
        <f>HYPERLINK("http://www.windermere.com/index.cfm?fuseaction=Listing.MapPropertyInteractive&amp;ListingID=19280114&amp;resize=true&amp;windowWidth=800&amp;windowHeight=600","Map")</f>
        <v>Map</v>
      </c>
      <c r="O430" s="2" t="str">
        <f>HYPERLINK("http://www.windermere.com/index.cfm?fuseaction=Listing.MultiImageViewer&amp;ListingID=19280114&amp;ln=28015865&amp;pub_mls=1","More")</f>
        <v>More</v>
      </c>
      <c r="P430" t="s">
        <v>44</v>
      </c>
      <c r="AI430" t="s">
        <v>66</v>
      </c>
      <c r="AJ430">
        <v>98117</v>
      </c>
      <c r="AS430" t="s">
        <v>1284</v>
      </c>
      <c r="AT430">
        <v>19280114</v>
      </c>
      <c r="AU430" s="12">
        <v>39495</v>
      </c>
      <c r="BB430" t="s">
        <v>912</v>
      </c>
      <c r="BC430" s="7">
        <v>39472</v>
      </c>
      <c r="BG430">
        <v>26</v>
      </c>
      <c r="BH430" s="17">
        <f t="shared" ca="1" si="6"/>
        <v>55</v>
      </c>
      <c r="BI430" s="17"/>
      <c r="BJ430" s="17"/>
    </row>
    <row r="431" spans="1:62" hidden="1">
      <c r="A431">
        <v>28018874</v>
      </c>
      <c r="B431" s="2" t="str">
        <f>HYPERLINK("http://www.windermere.com/index.cfm?fuseaction=Listing.ListingDetail&amp;ListingID=19305262","Active")</f>
        <v>Active</v>
      </c>
      <c r="D431" t="s">
        <v>78</v>
      </c>
      <c r="E431" t="s">
        <v>1285</v>
      </c>
      <c r="F431" s="10">
        <v>988950</v>
      </c>
      <c r="G431" t="s">
        <v>147</v>
      </c>
      <c r="H431" s="1">
        <v>3654</v>
      </c>
      <c r="I431">
        <v>3880</v>
      </c>
      <c r="J431">
        <v>4</v>
      </c>
      <c r="K431">
        <v>3.25</v>
      </c>
      <c r="M431" s="2" t="str">
        <f>HYPERLINK("http://www.windermere.com/index.cfm?fuseaction=Listing.MapPropertyInteractive&amp;ListingID=19305262&amp;resize=true&amp;windowWidth=800&amp;windowHeight=600","Map")</f>
        <v>Map</v>
      </c>
      <c r="O431" s="2" t="str">
        <f>HYPERLINK("http://www.windermere.com/index.cfm?fuseaction=Listing.MultiImageViewer&amp;ListingID=19305262&amp;ln=28018874&amp;pub_mls=1","More")</f>
        <v>More</v>
      </c>
      <c r="P431" t="s">
        <v>44</v>
      </c>
      <c r="AI431" t="s">
        <v>66</v>
      </c>
      <c r="AJ431">
        <v>98117</v>
      </c>
      <c r="AS431" t="s">
        <v>1286</v>
      </c>
      <c r="AT431">
        <v>19305262</v>
      </c>
      <c r="AU431" s="12">
        <v>39495</v>
      </c>
      <c r="BB431" t="s">
        <v>912</v>
      </c>
      <c r="BC431" s="7">
        <v>39478</v>
      </c>
      <c r="BG431">
        <v>20</v>
      </c>
      <c r="BH431" s="17">
        <f t="shared" ca="1" si="6"/>
        <v>49</v>
      </c>
      <c r="BI431" s="17"/>
      <c r="BJ431" s="17"/>
    </row>
    <row r="432" spans="1:62" hidden="1">
      <c r="A432">
        <v>28015062</v>
      </c>
      <c r="B432" s="2" t="str">
        <f>HYPERLINK("http://www.windermere.com/index.cfm?fuseaction=Listing.ListingDetail&amp;ListingID=19280039","Active")</f>
        <v>Active</v>
      </c>
      <c r="D432" t="s">
        <v>1024</v>
      </c>
      <c r="E432" t="s">
        <v>1287</v>
      </c>
      <c r="F432" s="10">
        <v>997000</v>
      </c>
      <c r="G432" t="s">
        <v>247</v>
      </c>
      <c r="H432" s="1">
        <v>3078</v>
      </c>
      <c r="I432">
        <v>6476</v>
      </c>
      <c r="J432">
        <v>5</v>
      </c>
      <c r="K432">
        <v>3</v>
      </c>
      <c r="M432" s="2" t="str">
        <f>HYPERLINK("http://www.windermere.com/index.cfm?fuseaction=Listing.MapPropertyInteractive&amp;ListingID=19280039&amp;resize=true&amp;windowWidth=800&amp;windowHeight=600","Map")</f>
        <v>Map</v>
      </c>
      <c r="O432" s="2" t="str">
        <f>HYPERLINK("http://www.windermere.com/index.cfm?fuseaction=Listing.MultiImageViewer&amp;ListingID=19280039&amp;ln=28015062&amp;pub_mls=1","More")</f>
        <v>More</v>
      </c>
      <c r="P432" t="s">
        <v>44</v>
      </c>
      <c r="AI432" t="s">
        <v>66</v>
      </c>
      <c r="AJ432">
        <v>98117</v>
      </c>
      <c r="AS432" t="s">
        <v>1288</v>
      </c>
      <c r="AT432">
        <v>19280039</v>
      </c>
      <c r="AU432" s="12">
        <v>39495</v>
      </c>
      <c r="BB432" t="s">
        <v>912</v>
      </c>
      <c r="BC432" s="7">
        <v>39472</v>
      </c>
      <c r="BG432">
        <v>26</v>
      </c>
      <c r="BH432" s="17">
        <f t="shared" ca="1" si="6"/>
        <v>55</v>
      </c>
      <c r="BI432" s="17"/>
      <c r="BJ432" s="17"/>
    </row>
    <row r="433" spans="1:62" hidden="1">
      <c r="A433">
        <v>28019183</v>
      </c>
      <c r="B433" s="2" t="str">
        <f>HYPERLINK("http://www.windermere.com/index.cfm?fuseaction=Listing.ListingDetail&amp;ListingID=19308744","Active")</f>
        <v>Active</v>
      </c>
      <c r="D433" s="19" t="s">
        <v>1435</v>
      </c>
      <c r="E433" t="s">
        <v>1289</v>
      </c>
      <c r="F433" s="10">
        <v>1089000</v>
      </c>
      <c r="G433" t="s">
        <v>147</v>
      </c>
      <c r="H433" s="1">
        <v>2978</v>
      </c>
      <c r="I433">
        <v>5000</v>
      </c>
      <c r="J433">
        <v>3</v>
      </c>
      <c r="K433">
        <v>2.5</v>
      </c>
      <c r="M433" s="2" t="str">
        <f>HYPERLINK("http://www.windermere.com/index.cfm?fuseaction=Listing.MapPropertyInteractive&amp;ListingID=19308744&amp;resize=true&amp;windowWidth=800&amp;windowHeight=600","Map")</f>
        <v>Map</v>
      </c>
      <c r="O433" s="2" t="str">
        <f>HYPERLINK("http://www.windermere.com/index.cfm?fuseaction=viewGallery.Home&amp;customTourID=206358&amp;wvt=0","More")</f>
        <v>More</v>
      </c>
      <c r="P433" t="s">
        <v>44</v>
      </c>
      <c r="AI433" t="s">
        <v>66</v>
      </c>
      <c r="AJ433">
        <v>98117</v>
      </c>
      <c r="AS433" t="s">
        <v>1290</v>
      </c>
      <c r="AT433">
        <v>19308744</v>
      </c>
      <c r="AU433" s="12">
        <v>39495</v>
      </c>
      <c r="BB433" t="s">
        <v>912</v>
      </c>
      <c r="BC433" s="7">
        <v>39479</v>
      </c>
      <c r="BG433">
        <v>19</v>
      </c>
      <c r="BH433" s="17">
        <f t="shared" ca="1" si="6"/>
        <v>48</v>
      </c>
      <c r="BI433" s="17"/>
      <c r="BJ433" s="17"/>
    </row>
    <row r="434" spans="1:62" hidden="1">
      <c r="A434">
        <v>27209198</v>
      </c>
      <c r="B434" s="2" t="str">
        <f>HYPERLINK("http://www.windermere.com/index.cfm?fuseaction=Listing.ListingDetail&amp;ListingID=19048331","Active")</f>
        <v>Active</v>
      </c>
      <c r="D434" t="s">
        <v>101</v>
      </c>
      <c r="E434" t="s">
        <v>1291</v>
      </c>
      <c r="F434" s="10">
        <v>1099950</v>
      </c>
      <c r="G434" t="s">
        <v>171</v>
      </c>
      <c r="H434" s="1">
        <v>3900</v>
      </c>
      <c r="I434">
        <v>12635</v>
      </c>
      <c r="J434">
        <v>4</v>
      </c>
      <c r="K434">
        <v>3</v>
      </c>
      <c r="M434" s="2" t="str">
        <f>HYPERLINK("http://www.windermere.com/index.cfm?fuseaction=Listing.MapPropertyInteractive&amp;ListingID=19048331&amp;resize=true&amp;windowWidth=800&amp;windowHeight=600","Map")</f>
        <v>Map</v>
      </c>
      <c r="O434" s="2" t="str">
        <f>HYPERLINK("http://www.windermere.com/index.cfm?fuseaction=Listing.MultiImageViewer&amp;ListingID=19048331&amp;ln=27209198&amp;pub_mls=1","More")</f>
        <v>More</v>
      </c>
      <c r="P434" t="s">
        <v>44</v>
      </c>
      <c r="AI434" t="s">
        <v>66</v>
      </c>
      <c r="AJ434">
        <v>98117</v>
      </c>
      <c r="AS434" t="s">
        <v>1292</v>
      </c>
      <c r="AT434">
        <v>19048331</v>
      </c>
      <c r="AU434" s="12">
        <v>39495</v>
      </c>
      <c r="BB434" t="s">
        <v>912</v>
      </c>
      <c r="BC434" s="7">
        <v>39420</v>
      </c>
      <c r="BG434">
        <v>78</v>
      </c>
      <c r="BH434" s="17">
        <f t="shared" ca="1" si="6"/>
        <v>107</v>
      </c>
      <c r="BI434" s="17"/>
      <c r="BJ434" s="17"/>
    </row>
    <row r="435" spans="1:62" hidden="1">
      <c r="A435">
        <v>27135714</v>
      </c>
      <c r="B435" s="15" t="str">
        <f>HYPERLINK("http://www.windermere.com/index.cfm?fuseaction=Listing.ListingDetail&amp;ListingID=18893411","Subject To Inspection")</f>
        <v>Subject To Inspection</v>
      </c>
      <c r="D435" t="s">
        <v>63</v>
      </c>
      <c r="E435" t="s">
        <v>1293</v>
      </c>
      <c r="F435" s="10">
        <v>1105000</v>
      </c>
      <c r="G435" t="s">
        <v>147</v>
      </c>
      <c r="H435" s="1">
        <v>3439</v>
      </c>
      <c r="I435">
        <v>5000</v>
      </c>
      <c r="J435">
        <v>3</v>
      </c>
      <c r="K435">
        <v>2.5</v>
      </c>
      <c r="M435" s="2" t="str">
        <f>HYPERLINK("http://www.windermere.com/index.cfm?fuseaction=Listing.MapPropertyInteractive&amp;ListingID=18893411&amp;resize=true&amp;windowWidth=800&amp;windowHeight=600","Map")</f>
        <v>Map</v>
      </c>
      <c r="O435" s="2" t="str">
        <f>HYPERLINK("http://www.windermere.com/index.cfm?fuseaction=Listing.MultiImageViewer&amp;ListingID=18893411&amp;ln=27135714&amp;pub_mls=1","More")</f>
        <v>More</v>
      </c>
      <c r="P435" t="s">
        <v>44</v>
      </c>
      <c r="AI435" t="s">
        <v>66</v>
      </c>
      <c r="AJ435">
        <v>98117</v>
      </c>
      <c r="AS435" t="s">
        <v>1294</v>
      </c>
      <c r="AT435">
        <v>18893411</v>
      </c>
      <c r="AU435" s="12">
        <v>39495</v>
      </c>
      <c r="BB435" t="s">
        <v>912</v>
      </c>
      <c r="BC435" s="7">
        <v>39290</v>
      </c>
      <c r="BD435">
        <v>-2</v>
      </c>
      <c r="BE435" s="6" t="s">
        <v>1319</v>
      </c>
      <c r="BG435">
        <v>208</v>
      </c>
      <c r="BH435" s="17">
        <f t="shared" ca="1" si="6"/>
        <v>237</v>
      </c>
      <c r="BI435" s="17"/>
      <c r="BJ435" s="17"/>
    </row>
    <row r="436" spans="1:62" hidden="1">
      <c r="A436">
        <v>28026968</v>
      </c>
      <c r="B436" s="2" t="str">
        <f>HYPERLINK("http://www.windermere.com/index.cfm?fuseaction=Listing.ListingDetail&amp;ListingID=19370188","Active")</f>
        <v>Active</v>
      </c>
      <c r="D436" t="s">
        <v>88</v>
      </c>
      <c r="E436" t="s">
        <v>1295</v>
      </c>
      <c r="F436" s="10">
        <v>1149000</v>
      </c>
      <c r="G436" t="s">
        <v>147</v>
      </c>
      <c r="H436" s="1">
        <v>4240</v>
      </c>
      <c r="I436">
        <v>6180</v>
      </c>
      <c r="J436">
        <v>5</v>
      </c>
      <c r="K436">
        <v>3.5</v>
      </c>
      <c r="M436" s="2" t="str">
        <f>HYPERLINK("http://www.windermere.com/index.cfm?fuseaction=Listing.MapPropertyInteractive&amp;ListingID=19370188&amp;resize=true&amp;windowWidth=800&amp;windowHeight=600","Map")</f>
        <v>Map</v>
      </c>
      <c r="O436" s="2" t="str">
        <f>HYPERLINK("http://www.windermere.com/index.cfm?fuseaction=Listing.MultiImageViewer&amp;ListingID=19370188&amp;ln=28026968&amp;pub_mls=1","More")</f>
        <v>More</v>
      </c>
      <c r="P436" t="s">
        <v>44</v>
      </c>
      <c r="AI436" t="s">
        <v>66</v>
      </c>
      <c r="AJ436">
        <v>98117</v>
      </c>
      <c r="AS436" t="s">
        <v>1296</v>
      </c>
      <c r="AT436">
        <v>19370188</v>
      </c>
      <c r="AU436" s="12">
        <v>39495</v>
      </c>
      <c r="BB436" t="s">
        <v>912</v>
      </c>
      <c r="BC436" s="7">
        <v>39492</v>
      </c>
      <c r="BG436">
        <v>6</v>
      </c>
      <c r="BH436" s="17">
        <f t="shared" ca="1" si="6"/>
        <v>35</v>
      </c>
      <c r="BI436" s="17"/>
      <c r="BJ436" s="17"/>
    </row>
    <row r="437" spans="1:62" hidden="1">
      <c r="A437">
        <v>27186503</v>
      </c>
      <c r="B437" s="2" t="str">
        <f>HYPERLINK("http://www.windermere.com/index.cfm?fuseaction=Listing.ListingDetail&amp;ListingID=18821044","Active")</f>
        <v>Active</v>
      </c>
      <c r="D437" t="s">
        <v>1203</v>
      </c>
      <c r="E437" t="s">
        <v>1299</v>
      </c>
      <c r="F437" s="10">
        <v>1250000</v>
      </c>
      <c r="G437" t="s">
        <v>1300</v>
      </c>
      <c r="H437" s="1">
        <v>4790</v>
      </c>
      <c r="I437">
        <v>13735</v>
      </c>
      <c r="J437">
        <v>4</v>
      </c>
      <c r="K437">
        <v>3.25</v>
      </c>
      <c r="M437" s="2" t="str">
        <f>HYPERLINK("http://www.windermere.com/index.cfm?fuseaction=Listing.MapPropertyInteractive&amp;ListingID=18821044&amp;resize=true&amp;windowWidth=800&amp;windowHeight=600","Map")</f>
        <v>Map</v>
      </c>
      <c r="O437" s="2" t="str">
        <f>HYPERLINK("http://www.windermere.com/index.cfm?fuseaction=viewGallery.Home&amp;customTourID=197784&amp;wvt=0","More")</f>
        <v>More</v>
      </c>
      <c r="P437" t="s">
        <v>44</v>
      </c>
      <c r="AI437" t="s">
        <v>66</v>
      </c>
      <c r="AJ437">
        <v>98117</v>
      </c>
      <c r="AS437" t="s">
        <v>1301</v>
      </c>
      <c r="AT437">
        <v>18821044</v>
      </c>
      <c r="AU437" s="12">
        <v>39495</v>
      </c>
      <c r="BB437" t="s">
        <v>912</v>
      </c>
      <c r="BC437" s="7">
        <v>39372</v>
      </c>
      <c r="BG437">
        <v>126</v>
      </c>
      <c r="BH437" s="17">
        <f t="shared" ca="1" si="6"/>
        <v>155</v>
      </c>
      <c r="BI437" s="17"/>
      <c r="BJ437" s="17"/>
    </row>
    <row r="438" spans="1:62" hidden="1">
      <c r="A438">
        <v>28000688</v>
      </c>
      <c r="B438" s="2" t="str">
        <f>HYPERLINK("http://www.windermere.com/index.cfm?fuseaction=Listing.ListingDetail&amp;ListingID=19147071","Active")</f>
        <v>Active</v>
      </c>
      <c r="D438" t="s">
        <v>1024</v>
      </c>
      <c r="E438" t="s">
        <v>1297</v>
      </c>
      <c r="F438" s="10">
        <v>1250000</v>
      </c>
      <c r="G438" t="s">
        <v>495</v>
      </c>
      <c r="H438" s="1">
        <v>3930</v>
      </c>
      <c r="I438">
        <v>4800</v>
      </c>
      <c r="J438">
        <v>5</v>
      </c>
      <c r="K438">
        <v>4</v>
      </c>
      <c r="M438" s="2" t="str">
        <f>HYPERLINK("http://www.windermere.com/index.cfm?fuseaction=Listing.MapPropertyInteractive&amp;ListingID=19147071&amp;resize=true&amp;windowWidth=800&amp;windowHeight=600","Map")</f>
        <v>Map</v>
      </c>
      <c r="O438" s="2" t="str">
        <f>HYPERLINK("http://www.windermere.com/index.cfm?fuseaction=Listing.MultiImageViewer&amp;ListingID=19147071&amp;ln=28000688&amp;pub_mls=1","More")</f>
        <v>More</v>
      </c>
      <c r="P438" t="s">
        <v>44</v>
      </c>
      <c r="AI438" t="s">
        <v>66</v>
      </c>
      <c r="AJ438">
        <v>98117</v>
      </c>
      <c r="AS438" t="s">
        <v>1298</v>
      </c>
      <c r="AT438">
        <v>19147071</v>
      </c>
      <c r="AU438" s="12">
        <v>39495</v>
      </c>
      <c r="BB438" t="s">
        <v>912</v>
      </c>
      <c r="BC438" s="7">
        <v>39449</v>
      </c>
      <c r="BG438">
        <v>49</v>
      </c>
      <c r="BH438" s="17">
        <f t="shared" ca="1" si="6"/>
        <v>78</v>
      </c>
      <c r="BI438" s="17"/>
      <c r="BJ438" s="17"/>
    </row>
    <row r="439" spans="1:62" hidden="1">
      <c r="A439">
        <v>27167528</v>
      </c>
      <c r="B439" s="2" t="str">
        <f>HYPERLINK("http://www.windermere.com/index.cfm?fuseaction=Listing.ListingDetail&amp;ListingID=18622733","Active")</f>
        <v>Active</v>
      </c>
      <c r="D439" t="s">
        <v>78</v>
      </c>
      <c r="E439" t="s">
        <v>1302</v>
      </c>
      <c r="F439" s="10">
        <v>1445000</v>
      </c>
      <c r="G439" t="s">
        <v>1300</v>
      </c>
      <c r="H439" s="1">
        <v>2310</v>
      </c>
      <c r="I439">
        <v>11283</v>
      </c>
      <c r="J439">
        <v>4</v>
      </c>
      <c r="K439">
        <v>3</v>
      </c>
      <c r="M439" s="2" t="str">
        <f>HYPERLINK("http://www.windermere.com/index.cfm?fuseaction=Listing.MapPropertyInteractive&amp;ListingID=18622733&amp;resize=true&amp;windowWidth=800&amp;windowHeight=600","Map")</f>
        <v>Map</v>
      </c>
      <c r="O439" s="2" t="str">
        <f>HYPERLINK("http://www.windermere.com/index.cfm?fuseaction=Listing.MultiImageViewer&amp;ListingID=18622733&amp;ln=27167528&amp;pub_mls=1","More")</f>
        <v>More</v>
      </c>
      <c r="P439" t="s">
        <v>44</v>
      </c>
      <c r="AI439" t="s">
        <v>66</v>
      </c>
      <c r="AJ439">
        <v>98117</v>
      </c>
      <c r="AS439" t="s">
        <v>1303</v>
      </c>
      <c r="AT439">
        <v>18622733</v>
      </c>
      <c r="AU439" s="12">
        <v>39495</v>
      </c>
      <c r="BB439" t="s">
        <v>912</v>
      </c>
      <c r="BC439" s="7">
        <v>39337</v>
      </c>
      <c r="BG439">
        <v>161</v>
      </c>
      <c r="BH439" s="17">
        <f t="shared" ca="1" si="6"/>
        <v>190</v>
      </c>
      <c r="BI439" s="17"/>
      <c r="BJ439" s="17"/>
    </row>
    <row r="440" spans="1:62" hidden="1">
      <c r="A440">
        <v>27198848</v>
      </c>
      <c r="B440" s="2" t="str">
        <f>HYPERLINK("http://www.windermere.com/index.cfm?fuseaction=Listing.ListingDetail&amp;ListingID=18930143","Active")</f>
        <v>Active</v>
      </c>
      <c r="D440" t="s">
        <v>101</v>
      </c>
      <c r="E440" t="s">
        <v>1304</v>
      </c>
      <c r="F440" s="10">
        <v>1590000</v>
      </c>
      <c r="G440" t="s">
        <v>1187</v>
      </c>
      <c r="H440" s="1">
        <v>2870</v>
      </c>
      <c r="J440">
        <v>4</v>
      </c>
      <c r="K440">
        <v>3.5</v>
      </c>
      <c r="M440" s="2" t="str">
        <f>HYPERLINK("http://www.windermere.com/index.cfm?fuseaction=Listing.MapPropertyInteractive&amp;ListingID=18930143&amp;resize=true&amp;windowWidth=800&amp;windowHeight=600","Map")</f>
        <v>Map</v>
      </c>
      <c r="O440" s="2" t="str">
        <f>HYPERLINK("http://www.windermere.com/index.cfm?fuseaction=Listing.MultiImageViewer&amp;ListingID=18930143&amp;ln=27198848&amp;pub_mls=1","More")</f>
        <v>More</v>
      </c>
      <c r="P440" t="s">
        <v>44</v>
      </c>
      <c r="AI440" t="s">
        <v>66</v>
      </c>
      <c r="AJ440">
        <v>98117</v>
      </c>
      <c r="AS440" t="s">
        <v>1305</v>
      </c>
      <c r="AT440">
        <v>18930143</v>
      </c>
      <c r="AU440" s="12">
        <v>39495</v>
      </c>
      <c r="BB440" t="s">
        <v>912</v>
      </c>
      <c r="BC440" s="7">
        <v>39396</v>
      </c>
      <c r="BG440">
        <v>102</v>
      </c>
      <c r="BH440" s="17">
        <f t="shared" ca="1" si="6"/>
        <v>131</v>
      </c>
      <c r="BI440" s="17"/>
      <c r="BJ440" s="17"/>
    </row>
    <row r="441" spans="1:62" hidden="1">
      <c r="A441">
        <v>27209871</v>
      </c>
      <c r="B441" s="2" t="str">
        <f>HYPERLINK("http://www.windermere.com/index.cfm?fuseaction=Listing.ListingDetail&amp;ListingID=19461870","Active")</f>
        <v>Active</v>
      </c>
      <c r="D441" t="s">
        <v>1024</v>
      </c>
      <c r="E441" t="s">
        <v>1306</v>
      </c>
      <c r="F441" s="18">
        <v>1575000</v>
      </c>
      <c r="G441" t="s">
        <v>173</v>
      </c>
      <c r="H441" s="1">
        <v>4550</v>
      </c>
      <c r="I441">
        <v>10000</v>
      </c>
      <c r="J441">
        <v>4</v>
      </c>
      <c r="K441">
        <v>3</v>
      </c>
      <c r="M441" s="2" t="str">
        <f>HYPERLINK("http://www.windermere.com/index.cfm?fuseaction=Listing.MapPropertyInteractive&amp;ListingID=19461870&amp;resize=true&amp;windowWidth=800&amp;windowHeight=600","Map")</f>
        <v>Map</v>
      </c>
      <c r="O441" s="2" t="str">
        <f>HYPERLINK("http://www.windermere.com/index.cfm?fuseaction=Listing.MultiImageViewer&amp;ListingID=19461870&amp;ln=27209871&amp;pub_mls=1","More")</f>
        <v>More</v>
      </c>
      <c r="P441" t="s">
        <v>44</v>
      </c>
      <c r="AI441" t="s">
        <v>66</v>
      </c>
      <c r="AJ441">
        <v>98117</v>
      </c>
      <c r="AS441" s="3" t="s">
        <v>1619</v>
      </c>
      <c r="AT441" s="3">
        <v>19461870</v>
      </c>
      <c r="AU441" s="12">
        <v>39495</v>
      </c>
      <c r="BB441" t="s">
        <v>912</v>
      </c>
      <c r="BC441" s="7">
        <v>39426</v>
      </c>
      <c r="BG441">
        <v>72</v>
      </c>
      <c r="BH441" s="17">
        <f t="shared" ca="1" si="6"/>
        <v>101</v>
      </c>
      <c r="BI441" s="17"/>
      <c r="BJ441" s="17"/>
    </row>
    <row r="442" spans="1:62" hidden="1">
      <c r="A442">
        <v>28008620</v>
      </c>
      <c r="B442" s="2" t="str">
        <f>HYPERLINK("http://www.windermere.com/index.cfm?fuseaction=Listing.ListingDetail&amp;ListingID=19229227","Active")</f>
        <v>Active</v>
      </c>
      <c r="D442" t="s">
        <v>101</v>
      </c>
      <c r="E442" t="s">
        <v>1307</v>
      </c>
      <c r="F442" s="10">
        <v>1795000</v>
      </c>
      <c r="G442" t="s">
        <v>1308</v>
      </c>
      <c r="H442" s="1">
        <v>3830</v>
      </c>
      <c r="I442">
        <v>16048</v>
      </c>
      <c r="J442">
        <v>4</v>
      </c>
      <c r="K442">
        <v>3.5</v>
      </c>
      <c r="M442" s="2" t="str">
        <f>HYPERLINK("http://www.windermere.com/index.cfm?fuseaction=Listing.MapPropertyInteractive&amp;ListingID=19229227&amp;resize=true&amp;windowWidth=800&amp;windowHeight=600","Map")</f>
        <v>Map</v>
      </c>
      <c r="O442" s="2" t="str">
        <f>HYPERLINK("http://www.windermere.com/index.cfm?fuseaction=viewGallery.Home&amp;customTourID=203992&amp;wvt=0","More")</f>
        <v>More</v>
      </c>
      <c r="P442" t="s">
        <v>44</v>
      </c>
      <c r="AI442" t="s">
        <v>66</v>
      </c>
      <c r="AJ442">
        <v>98117</v>
      </c>
      <c r="AS442" t="s">
        <v>1309</v>
      </c>
      <c r="AT442">
        <v>19229227</v>
      </c>
      <c r="AU442" s="12">
        <v>39495</v>
      </c>
      <c r="BB442" t="s">
        <v>912</v>
      </c>
      <c r="BC442" s="7">
        <v>39466</v>
      </c>
      <c r="BG442">
        <v>32</v>
      </c>
      <c r="BH442" s="17">
        <f t="shared" ca="1" si="6"/>
        <v>61</v>
      </c>
      <c r="BI442" s="17"/>
      <c r="BJ442" s="17"/>
    </row>
    <row r="443" spans="1:62" hidden="1">
      <c r="A443">
        <v>28026914</v>
      </c>
      <c r="B443" s="2" t="str">
        <f>HYPERLINK("http://www.windermere.com/index.cfm?fuseaction=Listing.ListingDetail&amp;ListingID=19387987","Active")</f>
        <v>Active</v>
      </c>
      <c r="D443" t="s">
        <v>42</v>
      </c>
      <c r="E443" t="s">
        <v>1352</v>
      </c>
      <c r="F443" s="10">
        <v>349950</v>
      </c>
      <c r="G443" t="s">
        <v>132</v>
      </c>
      <c r="H443" s="1">
        <v>870</v>
      </c>
      <c r="I443">
        <v>5460</v>
      </c>
      <c r="J443">
        <v>2</v>
      </c>
      <c r="K443">
        <v>1</v>
      </c>
      <c r="M443" s="2" t="str">
        <f>HYPERLINK("http://www.windermere.com/index.cfm?fuseaction=Listing.MapPropertyInteractive&amp;ListingID=19387987&amp;resize=true&amp;windowWidth=800&amp;windowHeight=600","Map")</f>
        <v>Map</v>
      </c>
      <c r="O443" s="2" t="str">
        <f>HYPERLINK("http://www.windermere.com/index.cfm?fuseaction=viewGallery.Home&amp;customTourID=207470&amp;wvt=0","More")</f>
        <v>More</v>
      </c>
      <c r="AI443" t="s">
        <v>66</v>
      </c>
      <c r="AJ443">
        <v>98133</v>
      </c>
      <c r="AS443" t="s">
        <v>1353</v>
      </c>
      <c r="AT443">
        <v>19387987</v>
      </c>
      <c r="AU443" s="7">
        <v>39497</v>
      </c>
      <c r="BB443" t="s">
        <v>912</v>
      </c>
      <c r="BC443" s="7">
        <v>39496</v>
      </c>
      <c r="BD443">
        <v>2</v>
      </c>
      <c r="BE443" t="s">
        <v>1383</v>
      </c>
      <c r="BG443">
        <v>2</v>
      </c>
    </row>
    <row r="444" spans="1:62" hidden="1">
      <c r="A444">
        <v>28029437</v>
      </c>
      <c r="B444" s="2" t="str">
        <f>HYPERLINK("http://www.windermere.com/index.cfm?fuseaction=Listing.ListingDetail&amp;ListingID=19389689","Active")</f>
        <v>Active</v>
      </c>
      <c r="D444" t="s">
        <v>60</v>
      </c>
      <c r="E444" t="s">
        <v>1354</v>
      </c>
      <c r="F444" s="10">
        <v>350000</v>
      </c>
      <c r="G444" t="s">
        <v>137</v>
      </c>
      <c r="H444">
        <v>840</v>
      </c>
      <c r="I444">
        <v>5904</v>
      </c>
      <c r="J444">
        <v>2</v>
      </c>
      <c r="K444">
        <v>1</v>
      </c>
      <c r="M444" s="2" t="str">
        <f>HYPERLINK("http://www.windermere.com/index.cfm?fuseaction=Listing.MapPropertyInteractive&amp;ListingID=19389689&amp;resize=true&amp;windowWidth=800&amp;windowHeight=600","Map")</f>
        <v>Map</v>
      </c>
      <c r="AI444" t="s">
        <v>66</v>
      </c>
      <c r="AJ444">
        <v>98103</v>
      </c>
      <c r="AS444" t="s">
        <v>1355</v>
      </c>
      <c r="AT444">
        <v>19389689</v>
      </c>
      <c r="AU444" s="7">
        <v>39497</v>
      </c>
      <c r="BB444" t="s">
        <v>912</v>
      </c>
      <c r="BC444" s="7">
        <v>39497</v>
      </c>
      <c r="BD444">
        <v>2</v>
      </c>
      <c r="BE444" t="s">
        <v>1382</v>
      </c>
      <c r="BG444">
        <v>1</v>
      </c>
    </row>
    <row r="445" spans="1:62" hidden="1">
      <c r="A445">
        <v>28029674</v>
      </c>
      <c r="B445" s="2" t="str">
        <f>HYPERLINK("http://www.windermere.com/index.cfm?fuseaction=Listing.ListingDetail&amp;ListingID=19390786","Active")</f>
        <v>Active</v>
      </c>
      <c r="D445" t="s">
        <v>920</v>
      </c>
      <c r="E445" t="s">
        <v>1356</v>
      </c>
      <c r="F445" s="10">
        <v>376900</v>
      </c>
      <c r="G445" t="s">
        <v>247</v>
      </c>
      <c r="H445" s="1">
        <v>1845</v>
      </c>
      <c r="J445">
        <v>3</v>
      </c>
      <c r="K445">
        <v>3.5</v>
      </c>
      <c r="M445" s="2" t="str">
        <f>HYPERLINK("http://www.windermere.com/index.cfm?fuseaction=Listing.MapPropertyInteractive&amp;ListingID=19390786&amp;resize=true&amp;windowWidth=800&amp;windowHeight=600","Map")</f>
        <v>Map</v>
      </c>
      <c r="O445" s="2" t="str">
        <f>HYPERLINK("http://www.windermere.com/index.cfm?fuseaction=Listing.MultiImageViewer&amp;ListingID=19390786&amp;ln=28029674&amp;pub_mls=1","More")</f>
        <v>More</v>
      </c>
      <c r="AI445" t="s">
        <v>66</v>
      </c>
      <c r="AJ445">
        <v>98125</v>
      </c>
      <c r="AS445" t="s">
        <v>1357</v>
      </c>
      <c r="AT445">
        <v>19390786</v>
      </c>
      <c r="AU445" s="7">
        <v>39497</v>
      </c>
      <c r="BB445" t="s">
        <v>912</v>
      </c>
      <c r="BC445" s="7">
        <v>39497</v>
      </c>
      <c r="BD445">
        <v>3</v>
      </c>
      <c r="BE445" t="s">
        <v>1327</v>
      </c>
      <c r="BG445">
        <v>1</v>
      </c>
    </row>
    <row r="446" spans="1:62" hidden="1">
      <c r="A446">
        <v>28029629</v>
      </c>
      <c r="B446" s="2" t="str">
        <f>HYPERLINK("http://www.windermere.com/index.cfm?fuseaction=Listing.ListingDetail&amp;ListingID=19390529","Active")</f>
        <v>Active</v>
      </c>
      <c r="D446" t="s">
        <v>920</v>
      </c>
      <c r="E446" t="s">
        <v>1358</v>
      </c>
      <c r="F446" s="10">
        <v>376900</v>
      </c>
      <c r="G446" t="s">
        <v>147</v>
      </c>
      <c r="H446" s="1">
        <v>1680</v>
      </c>
      <c r="J446">
        <v>3</v>
      </c>
      <c r="K446">
        <v>3.5</v>
      </c>
      <c r="M446" s="2" t="str">
        <f>HYPERLINK("http://www.windermere.com/index.cfm?fuseaction=Listing.MapPropertyInteractive&amp;ListingID=19390529&amp;resize=true&amp;windowWidth=800&amp;windowHeight=600","Map")</f>
        <v>Map</v>
      </c>
      <c r="O446" s="2" t="str">
        <f>HYPERLINK("http://www.windermere.com/index.cfm?fuseaction=Listing.MultiImageViewer&amp;ListingID=19390529&amp;ln=28029629&amp;pub_mls=1","More")</f>
        <v>More</v>
      </c>
      <c r="AI446" t="s">
        <v>66</v>
      </c>
      <c r="AJ446">
        <v>98125</v>
      </c>
      <c r="AS446" t="s">
        <v>1359</v>
      </c>
      <c r="AT446">
        <v>19390529</v>
      </c>
      <c r="AU446" s="7">
        <v>39497</v>
      </c>
      <c r="BB446" t="s">
        <v>912</v>
      </c>
      <c r="BC446" s="7">
        <v>39497</v>
      </c>
      <c r="BD446">
        <v>3</v>
      </c>
      <c r="BE446" t="s">
        <v>1327</v>
      </c>
      <c r="BG446">
        <v>1</v>
      </c>
    </row>
    <row r="447" spans="1:62" hidden="1">
      <c r="A447">
        <v>28029687</v>
      </c>
      <c r="B447" s="2" t="str">
        <f>HYPERLINK("http://www.windermere.com/index.cfm?fuseaction=Listing.ListingDetail&amp;ListingID=19390872","Active")</f>
        <v>Active</v>
      </c>
      <c r="D447" t="s">
        <v>920</v>
      </c>
      <c r="E447" t="s">
        <v>1360</v>
      </c>
      <c r="F447" s="10">
        <v>383900</v>
      </c>
      <c r="G447" t="s">
        <v>247</v>
      </c>
      <c r="H447" s="1">
        <v>1845</v>
      </c>
      <c r="J447">
        <v>3</v>
      </c>
      <c r="K447">
        <v>3.5</v>
      </c>
      <c r="M447" s="2" t="str">
        <f>HYPERLINK("http://www.windermere.com/index.cfm?fuseaction=Listing.MapPropertyInteractive&amp;ListingID=19390872&amp;resize=true&amp;windowWidth=800&amp;windowHeight=600","Map")</f>
        <v>Map</v>
      </c>
      <c r="O447" s="2" t="str">
        <f>HYPERLINK("http://www.windermere.com/index.cfm?fuseaction=Listing.MultiImageViewer&amp;ListingID=19390872&amp;ln=28029687&amp;pub_mls=1","More")</f>
        <v>More</v>
      </c>
      <c r="AI447" t="s">
        <v>66</v>
      </c>
      <c r="AJ447">
        <v>98125</v>
      </c>
      <c r="AS447" t="s">
        <v>1361</v>
      </c>
      <c r="AT447">
        <v>19390872</v>
      </c>
      <c r="AU447" s="7">
        <v>39497</v>
      </c>
      <c r="BB447" t="s">
        <v>912</v>
      </c>
      <c r="BC447" s="7">
        <v>39497</v>
      </c>
      <c r="BD447">
        <v>3</v>
      </c>
      <c r="BE447" t="s">
        <v>1327</v>
      </c>
      <c r="BG447">
        <v>1</v>
      </c>
    </row>
    <row r="448" spans="1:62" hidden="1">
      <c r="A448">
        <v>28029300</v>
      </c>
      <c r="B448" s="15" t="str">
        <f>HYPERLINK("http://www.windermere.com/index.cfm?fuseaction=Listing.ListingDetail&amp;ListingID=19389098","Subject To Inspection")</f>
        <v>Subject To Inspection</v>
      </c>
      <c r="D448" t="s">
        <v>213</v>
      </c>
      <c r="E448" t="s">
        <v>1362</v>
      </c>
      <c r="F448" s="10">
        <v>389000</v>
      </c>
      <c r="G448" t="s">
        <v>135</v>
      </c>
      <c r="H448" s="1">
        <v>1100</v>
      </c>
      <c r="I448">
        <v>8657</v>
      </c>
      <c r="J448">
        <v>2</v>
      </c>
      <c r="K448">
        <v>1</v>
      </c>
      <c r="M448" s="2" t="str">
        <f>HYPERLINK("http://www.windermere.com/index.cfm?fuseaction=Listing.MapPropertyInteractive&amp;ListingID=19389098&amp;resize=true&amp;windowWidth=800&amp;windowHeight=600","Map")</f>
        <v>Map</v>
      </c>
      <c r="O448" s="2" t="str">
        <f>HYPERLINK("http://www.windermere.com/index.cfm?fuseaction=Listing.MultiImageViewer&amp;ListingID=19389098&amp;ln=28029300&amp;pub_mls=1","More")</f>
        <v>More</v>
      </c>
      <c r="AI448" t="s">
        <v>66</v>
      </c>
      <c r="AJ448">
        <v>98125</v>
      </c>
      <c r="AS448" t="s">
        <v>1363</v>
      </c>
      <c r="AT448">
        <v>19389098</v>
      </c>
      <c r="AU448" s="7">
        <v>39497</v>
      </c>
      <c r="BB448" t="s">
        <v>912</v>
      </c>
      <c r="BC448" s="7">
        <v>39497</v>
      </c>
      <c r="BD448">
        <v>4</v>
      </c>
      <c r="BE448" t="s">
        <v>1384</v>
      </c>
      <c r="BF448" t="s">
        <v>1345</v>
      </c>
      <c r="BG448">
        <v>1</v>
      </c>
    </row>
    <row r="449" spans="1:59" hidden="1">
      <c r="A449">
        <v>28029872</v>
      </c>
      <c r="B449" s="15" t="str">
        <f>HYPERLINK("http://www.windermere.com/index.cfm?fuseaction=Listing.ListingDetail&amp;ListingID=19391774","Subject To Inspection")</f>
        <v>Subject To Inspection</v>
      </c>
      <c r="D449" t="s">
        <v>920</v>
      </c>
      <c r="E449" t="s">
        <v>1338</v>
      </c>
      <c r="F449" s="10">
        <v>398000</v>
      </c>
      <c r="G449" t="s">
        <v>617</v>
      </c>
      <c r="H449" s="1">
        <v>1290</v>
      </c>
      <c r="I449">
        <v>6397</v>
      </c>
      <c r="J449">
        <v>3</v>
      </c>
      <c r="K449">
        <v>1.5</v>
      </c>
      <c r="M449" s="2" t="str">
        <f>HYPERLINK("http://www.windermere.com/index.cfm?fuseaction=Listing.MapPropertyInteractive&amp;ListingID=19391774&amp;resize=true&amp;windowWidth=800&amp;windowHeight=600","Map")</f>
        <v>Map</v>
      </c>
      <c r="O449" s="2" t="str">
        <f>HYPERLINK("http://www.windermere.com/index.cfm?fuseaction=Listing.MultiImageViewer&amp;ListingID=19391774&amp;ln=28029872&amp;pub_mls=1","More")</f>
        <v>More</v>
      </c>
      <c r="AI449" t="s">
        <v>66</v>
      </c>
      <c r="AJ449">
        <v>98103</v>
      </c>
      <c r="AS449" t="s">
        <v>1364</v>
      </c>
      <c r="AT449">
        <v>19391774</v>
      </c>
      <c r="AU449" s="7">
        <v>39497</v>
      </c>
      <c r="BB449" t="s">
        <v>912</v>
      </c>
      <c r="BC449" s="7">
        <v>39497</v>
      </c>
      <c r="BD449">
        <v>4</v>
      </c>
      <c r="BE449" t="s">
        <v>1385</v>
      </c>
      <c r="BF449" t="s">
        <v>1345</v>
      </c>
      <c r="BG449">
        <v>1</v>
      </c>
    </row>
    <row r="450" spans="1:59" hidden="1">
      <c r="A450">
        <v>28029600</v>
      </c>
      <c r="B450" s="15" t="str">
        <f>HYPERLINK("http://www.windermere.com/index.cfm?fuseaction=Listing.ListingDetail&amp;ListingID=19390333","Subject To Inspection")</f>
        <v>Subject To Inspection</v>
      </c>
      <c r="D450" t="s">
        <v>968</v>
      </c>
      <c r="E450" t="s">
        <v>1366</v>
      </c>
      <c r="F450" s="10">
        <v>429950</v>
      </c>
      <c r="G450" t="s">
        <v>186</v>
      </c>
      <c r="H450" s="1">
        <v>1580</v>
      </c>
      <c r="I450">
        <v>6891</v>
      </c>
      <c r="J450">
        <v>3</v>
      </c>
      <c r="K450">
        <v>1.75</v>
      </c>
      <c r="M450" s="2" t="str">
        <f>HYPERLINK("http://www.windermere.com/index.cfm?fuseaction=Listing.MapPropertyInteractive&amp;ListingID=19390333&amp;resize=true&amp;windowWidth=800&amp;windowHeight=600","Map")</f>
        <v>Map</v>
      </c>
      <c r="O450" s="2" t="str">
        <f>HYPERLINK("http://www.windermere.com/index.cfm?fuseaction=Listing.MultiImageViewer&amp;ListingID=19390333&amp;ln=28029600&amp;pub_mls=1","More")</f>
        <v>More</v>
      </c>
      <c r="AI450" t="s">
        <v>66</v>
      </c>
      <c r="AJ450">
        <v>98125</v>
      </c>
      <c r="AS450" t="s">
        <v>1367</v>
      </c>
      <c r="AT450">
        <v>19390333</v>
      </c>
      <c r="AU450" s="7">
        <v>39497</v>
      </c>
      <c r="BB450" t="s">
        <v>912</v>
      </c>
      <c r="BC450" s="7">
        <v>39497</v>
      </c>
      <c r="BD450">
        <v>4</v>
      </c>
      <c r="BE450" t="s">
        <v>1386</v>
      </c>
      <c r="BG450">
        <v>1</v>
      </c>
    </row>
    <row r="451" spans="1:59" hidden="1">
      <c r="A451">
        <v>28008686</v>
      </c>
      <c r="B451" s="2" t="str">
        <f>HYPERLINK("http://www.windermere.com/index.cfm?fuseaction=Listing.ListingDetail&amp;ListingID=19223951","Active")</f>
        <v>Active</v>
      </c>
      <c r="D451" t="s">
        <v>204</v>
      </c>
      <c r="E451" t="s">
        <v>1368</v>
      </c>
      <c r="F451" s="10">
        <v>495950</v>
      </c>
      <c r="G451" t="s">
        <v>1369</v>
      </c>
      <c r="H451" s="1">
        <v>1890</v>
      </c>
      <c r="I451">
        <v>7200</v>
      </c>
      <c r="J451">
        <v>3</v>
      </c>
      <c r="K451">
        <v>2.5</v>
      </c>
      <c r="M451" s="2" t="str">
        <f>HYPERLINK("http://www.windermere.com/index.cfm?fuseaction=Listing.MapPropertyInteractive&amp;ListingID=19223951&amp;resize=true&amp;windowWidth=800&amp;windowHeight=600","Map")</f>
        <v>Map</v>
      </c>
      <c r="O451" s="2" t="str">
        <f>HYPERLINK("http://www.windermere.com/index.cfm?fuseaction=Listing.MultiImageViewer&amp;ListingID=19223951&amp;ln=28008686&amp;pub_mls=1","More")</f>
        <v>More</v>
      </c>
      <c r="AI451" t="s">
        <v>66</v>
      </c>
      <c r="AJ451">
        <v>98125</v>
      </c>
      <c r="AS451" t="s">
        <v>1370</v>
      </c>
      <c r="AT451">
        <v>19223951</v>
      </c>
      <c r="AU451" s="7">
        <v>39497</v>
      </c>
      <c r="BB451" t="s">
        <v>912</v>
      </c>
      <c r="BC451" s="7">
        <v>39497</v>
      </c>
      <c r="BD451">
        <v>1</v>
      </c>
      <c r="BE451" t="s">
        <v>1387</v>
      </c>
      <c r="BG451">
        <v>1</v>
      </c>
    </row>
    <row r="452" spans="1:59" hidden="1">
      <c r="A452">
        <v>28029324</v>
      </c>
      <c r="B452" s="2" t="str">
        <f>HYPERLINK("http://www.windermere.com/index.cfm?fuseaction=Listing.ListingDetail&amp;ListingID=19390093","Active")</f>
        <v>Active</v>
      </c>
      <c r="D452" t="s">
        <v>63</v>
      </c>
      <c r="E452" t="s">
        <v>1372</v>
      </c>
      <c r="F452" s="10">
        <v>508000</v>
      </c>
      <c r="G452" t="s">
        <v>159</v>
      </c>
      <c r="H452" s="1">
        <v>1760</v>
      </c>
      <c r="I452">
        <v>4013</v>
      </c>
      <c r="J452">
        <v>3</v>
      </c>
      <c r="K452">
        <v>1.75</v>
      </c>
      <c r="M452" s="2" t="str">
        <f>HYPERLINK("http://www.windermere.com/index.cfm?fuseaction=Listing.MapPropertyInteractive&amp;ListingID=19390093&amp;resize=true&amp;windowWidth=800&amp;windowHeight=600","Map")</f>
        <v>Map</v>
      </c>
      <c r="O452" s="2" t="str">
        <f>HYPERLINK("http://www.windermere.com/index.cfm?fuseaction=Listing.MultiImageViewer&amp;ListingID=19390093&amp;ln=28029324&amp;pub_mls=1","More")</f>
        <v>More</v>
      </c>
      <c r="P452" t="s">
        <v>44</v>
      </c>
      <c r="AI452" t="s">
        <v>66</v>
      </c>
      <c r="AJ452">
        <v>98117</v>
      </c>
      <c r="AS452" t="s">
        <v>1373</v>
      </c>
      <c r="AT452">
        <v>19390093</v>
      </c>
      <c r="AU452" s="7">
        <v>39497</v>
      </c>
      <c r="BB452" t="s">
        <v>912</v>
      </c>
      <c r="BC452" s="7">
        <v>39497</v>
      </c>
      <c r="BD452">
        <v>2</v>
      </c>
      <c r="BE452" t="s">
        <v>1388</v>
      </c>
      <c r="BG452">
        <v>1</v>
      </c>
    </row>
    <row r="453" spans="1:59" hidden="1">
      <c r="A453">
        <v>28030154</v>
      </c>
      <c r="B453" s="2" t="str">
        <f>HYPERLINK("http://www.windermere.com/index.cfm?fuseaction=Listing.ListingDetail&amp;ListingID=19394909","Active")</f>
        <v>Active</v>
      </c>
      <c r="D453" t="s">
        <v>55</v>
      </c>
      <c r="E453" t="s">
        <v>1389</v>
      </c>
      <c r="F453" s="10">
        <v>319000</v>
      </c>
      <c r="G453" t="s">
        <v>126</v>
      </c>
      <c r="H453">
        <v>970</v>
      </c>
      <c r="I453">
        <v>6350</v>
      </c>
      <c r="J453">
        <v>2</v>
      </c>
      <c r="K453">
        <v>1</v>
      </c>
      <c r="M453" s="2" t="str">
        <f>HYPERLINK("http://www.windermere.com/index.cfm?fuseaction=Listing.MapPropertyInteractive&amp;ListingID=19394909&amp;resize=true&amp;windowWidth=800&amp;windowHeight=600","Map")</f>
        <v>Map</v>
      </c>
      <c r="O453" s="2" t="str">
        <f>HYPERLINK("http://www.windermere.com/index.cfm?fuseaction=Listing.MultiImageViewer&amp;ListingID=19394909&amp;ln=28030154&amp;pub_mls=1","More")</f>
        <v>More</v>
      </c>
      <c r="AI453" t="s">
        <v>66</v>
      </c>
      <c r="AJ453">
        <v>98117</v>
      </c>
      <c r="AS453" t="s">
        <v>1390</v>
      </c>
      <c r="AT453">
        <v>19394909</v>
      </c>
      <c r="AU453" s="7">
        <v>39498</v>
      </c>
      <c r="BB453" t="s">
        <v>912</v>
      </c>
      <c r="BC453" s="7">
        <v>39497</v>
      </c>
      <c r="BD453">
        <v>-4</v>
      </c>
      <c r="BE453" t="s">
        <v>1409</v>
      </c>
      <c r="BG453">
        <v>1</v>
      </c>
    </row>
    <row r="454" spans="1:59" hidden="1">
      <c r="A454">
        <v>28030632</v>
      </c>
      <c r="B454" s="2" t="str">
        <f>HYPERLINK("http://www.windermere.com/index.cfm?fuseaction=Listing.ListingDetail&amp;ListingID=19398213","Active")</f>
        <v>Active</v>
      </c>
      <c r="D454" t="s">
        <v>55</v>
      </c>
      <c r="E454" t="s">
        <v>1391</v>
      </c>
      <c r="F454" s="10">
        <v>349000</v>
      </c>
      <c r="G454" t="s">
        <v>247</v>
      </c>
      <c r="H454" s="1">
        <v>1409</v>
      </c>
      <c r="J454">
        <v>3</v>
      </c>
      <c r="K454" s="19">
        <v>3.25</v>
      </c>
      <c r="M454" s="2" t="str">
        <f>HYPERLINK("http://www.windermere.com/index.cfm?fuseaction=Listing.MapPropertyInteractive&amp;ListingID=19398213&amp;resize=true&amp;windowWidth=800&amp;windowHeight=600","Map")</f>
        <v>Map</v>
      </c>
      <c r="O454" s="2" t="str">
        <f>HYPERLINK("http://www.windermere.com/index.cfm?fuseaction=Listing.MultiImageViewer&amp;ListingID=19398213&amp;ln=28030632&amp;pub_mls=1","More")</f>
        <v>More</v>
      </c>
      <c r="AI454" t="s">
        <v>66</v>
      </c>
      <c r="AJ454">
        <v>98133</v>
      </c>
      <c r="AS454" t="s">
        <v>1392</v>
      </c>
      <c r="AT454">
        <v>19398213</v>
      </c>
      <c r="AU454" s="7">
        <v>39498</v>
      </c>
      <c r="BB454" t="s">
        <v>912</v>
      </c>
      <c r="BC454" s="7">
        <v>39497</v>
      </c>
      <c r="BD454">
        <v>-3</v>
      </c>
      <c r="BE454" t="s">
        <v>1327</v>
      </c>
      <c r="BG454">
        <v>1</v>
      </c>
    </row>
    <row r="455" spans="1:59" hidden="1">
      <c r="A455">
        <v>28030545</v>
      </c>
      <c r="B455" s="15" t="str">
        <f>HYPERLINK("http://www.windermere.com/index.cfm?fuseaction=Listing.ListingDetail&amp;ListingID=19397485","Subject To Inspection")</f>
        <v>Subject To Inspection</v>
      </c>
      <c r="D455" t="s">
        <v>66</v>
      </c>
      <c r="E455" t="s">
        <v>1393</v>
      </c>
      <c r="F455" s="10">
        <v>424900</v>
      </c>
      <c r="G455" t="s">
        <v>748</v>
      </c>
      <c r="H455" s="1">
        <v>2010</v>
      </c>
      <c r="I455">
        <v>11245</v>
      </c>
      <c r="J455">
        <v>4</v>
      </c>
      <c r="K455">
        <v>2.5</v>
      </c>
      <c r="M455" s="2" t="str">
        <f>HYPERLINK("http://www.windermere.com/index.cfm?fuseaction=Listing.MapPropertyInteractive&amp;ListingID=19397485&amp;resize=true&amp;windowWidth=800&amp;windowHeight=600","Map")</f>
        <v>Map</v>
      </c>
      <c r="O455" s="2" t="str">
        <f>HYPERLINK("http://www.windermere.com/index.cfm?fuseaction=Listing.MultiImageViewer&amp;ListingID=19397485&amp;ln=28030545&amp;pub_mls=1","More")</f>
        <v>More</v>
      </c>
      <c r="AI455" t="s">
        <v>396</v>
      </c>
      <c r="AJ455">
        <v>98155</v>
      </c>
      <c r="AS455" t="s">
        <v>1394</v>
      </c>
      <c r="AT455">
        <v>19397485</v>
      </c>
      <c r="AU455" s="7">
        <v>39498</v>
      </c>
      <c r="BB455" t="s">
        <v>912</v>
      </c>
      <c r="BC455" s="7">
        <v>39497</v>
      </c>
      <c r="BD455">
        <v>1</v>
      </c>
      <c r="BE455" t="s">
        <v>1410</v>
      </c>
      <c r="BG455">
        <v>1</v>
      </c>
    </row>
    <row r="456" spans="1:59" hidden="1">
      <c r="A456">
        <v>28029921</v>
      </c>
      <c r="B456" s="2" t="str">
        <f>HYPERLINK("http://www.windermere.com/index.cfm?fuseaction=Listing.ListingDetail&amp;ListingID=19393632","Active")</f>
        <v>Active</v>
      </c>
      <c r="D456" t="s">
        <v>60</v>
      </c>
      <c r="E456" t="s">
        <v>1395</v>
      </c>
      <c r="F456" s="10">
        <v>449950</v>
      </c>
      <c r="G456" t="s">
        <v>154</v>
      </c>
      <c r="H456" s="1">
        <v>2280</v>
      </c>
      <c r="I456">
        <v>5100</v>
      </c>
      <c r="J456">
        <v>3</v>
      </c>
      <c r="K456">
        <v>1</v>
      </c>
      <c r="M456" s="2" t="str">
        <f>HYPERLINK("http://www.windermere.com/index.cfm?fuseaction=Listing.MapPropertyInteractive&amp;ListingID=19393632&amp;resize=true&amp;windowWidth=800&amp;windowHeight=600","Map")</f>
        <v>Map</v>
      </c>
      <c r="O456" s="2" t="str">
        <f>HYPERLINK("http://www.windermere.com/index.cfm?fuseaction=Listing.MultiImageViewer&amp;ListingID=19393632&amp;ln=28029921&amp;pub_mls=1","More")</f>
        <v>More</v>
      </c>
      <c r="AI456" t="s">
        <v>66</v>
      </c>
      <c r="AJ456">
        <v>98103</v>
      </c>
      <c r="AS456" t="s">
        <v>1396</v>
      </c>
      <c r="AT456">
        <v>19393632</v>
      </c>
      <c r="AU456" s="7">
        <v>39498</v>
      </c>
      <c r="BB456" t="s">
        <v>912</v>
      </c>
      <c r="BC456" s="7">
        <v>39497</v>
      </c>
      <c r="BD456">
        <v>2</v>
      </c>
      <c r="BE456" t="s">
        <v>1411</v>
      </c>
      <c r="BG456">
        <v>1</v>
      </c>
    </row>
    <row r="457" spans="1:59" hidden="1">
      <c r="A457">
        <v>28030039</v>
      </c>
      <c r="B457" s="2" t="str">
        <f>HYPERLINK("http://www.windermere.com/index.cfm?fuseaction=Listing.ListingDetail&amp;ListingID=19394453","Active")</f>
        <v>Active</v>
      </c>
      <c r="D457" t="s">
        <v>63</v>
      </c>
      <c r="E457" t="s">
        <v>1397</v>
      </c>
      <c r="F457" s="10">
        <v>450000</v>
      </c>
      <c r="G457" t="s">
        <v>227</v>
      </c>
      <c r="H457" s="1">
        <v>1050</v>
      </c>
      <c r="I457">
        <v>2550</v>
      </c>
      <c r="J457">
        <v>2</v>
      </c>
      <c r="K457">
        <v>1</v>
      </c>
      <c r="M457" s="2" t="str">
        <f>HYPERLINK("http://www.windermere.com/index.cfm?fuseaction=Listing.MapPropertyInteractive&amp;ListingID=19394453&amp;resize=true&amp;windowWidth=800&amp;windowHeight=600","Map")</f>
        <v>Map</v>
      </c>
      <c r="O457" s="2" t="str">
        <f>HYPERLINK("http://www.windermere.com/index.cfm?fuseaction=Listing.MultiImageViewer&amp;ListingID=19394453&amp;ln=28030039&amp;pub_mls=1","More")</f>
        <v>More</v>
      </c>
      <c r="AI457" t="s">
        <v>66</v>
      </c>
      <c r="AJ457">
        <v>98117</v>
      </c>
      <c r="AS457" t="s">
        <v>1398</v>
      </c>
      <c r="AT457">
        <v>19394453</v>
      </c>
      <c r="AU457" s="7">
        <v>39498</v>
      </c>
      <c r="BB457" t="s">
        <v>912</v>
      </c>
      <c r="BC457" s="7">
        <v>39497</v>
      </c>
      <c r="BD457">
        <v>-3</v>
      </c>
      <c r="BE457" t="s">
        <v>1412</v>
      </c>
      <c r="BG457">
        <v>1</v>
      </c>
    </row>
    <row r="458" spans="1:59" hidden="1">
      <c r="A458">
        <v>28029447</v>
      </c>
      <c r="B458" s="2" t="str">
        <f>HYPERLINK("http://www.windermere.com/index.cfm?fuseaction=Listing.ListingDetail&amp;ListingID=19395167","Active")</f>
        <v>Active</v>
      </c>
      <c r="D458" t="s">
        <v>202</v>
      </c>
      <c r="E458" t="s">
        <v>1399</v>
      </c>
      <c r="F458" s="10">
        <v>499000</v>
      </c>
      <c r="G458" t="s">
        <v>168</v>
      </c>
      <c r="H458" s="1">
        <v>1500</v>
      </c>
      <c r="I458">
        <v>6030</v>
      </c>
      <c r="J458">
        <v>3</v>
      </c>
      <c r="K458">
        <v>1.75</v>
      </c>
      <c r="M458" s="2" t="str">
        <f>HYPERLINK("http://www.windermere.com/index.cfm?fuseaction=Listing.MapPropertyInteractive&amp;ListingID=19395167&amp;resize=true&amp;windowWidth=800&amp;windowHeight=600","Map")</f>
        <v>Map</v>
      </c>
      <c r="O458" s="2" t="str">
        <f>HYPERLINK("http://www.windermere.com/index.cfm?fuseaction=Listing.MultiImageViewer&amp;ListingID=19395167&amp;ln=28029447&amp;pub_mls=1","More")</f>
        <v>More</v>
      </c>
      <c r="P458" t="s">
        <v>44</v>
      </c>
      <c r="AI458" t="s">
        <v>66</v>
      </c>
      <c r="AJ458">
        <v>98125</v>
      </c>
      <c r="AS458" t="s">
        <v>1400</v>
      </c>
      <c r="AT458">
        <v>19395167</v>
      </c>
      <c r="AU458" s="7">
        <v>39498</v>
      </c>
      <c r="BB458" t="s">
        <v>912</v>
      </c>
      <c r="BC458" s="7">
        <v>39497</v>
      </c>
      <c r="BD458">
        <v>4</v>
      </c>
      <c r="BF458" t="s">
        <v>1345</v>
      </c>
      <c r="BG458">
        <v>1</v>
      </c>
    </row>
    <row r="459" spans="1:59" hidden="1">
      <c r="A459">
        <v>28030832</v>
      </c>
      <c r="B459" s="15" t="str">
        <f>HYPERLINK("http://www.windermere.com/index.cfm?fuseaction=Listing.ListingDetail&amp;ListingID=19400611","Subject To Inspection")</f>
        <v>Subject To Inspection</v>
      </c>
      <c r="D459" t="s">
        <v>1023</v>
      </c>
      <c r="E459" t="s">
        <v>1415</v>
      </c>
      <c r="F459" s="10">
        <v>362000</v>
      </c>
      <c r="G459" t="s">
        <v>142</v>
      </c>
      <c r="H459" s="1">
        <v>2130</v>
      </c>
      <c r="I459">
        <v>6534</v>
      </c>
      <c r="J459">
        <v>4</v>
      </c>
      <c r="K459">
        <v>2</v>
      </c>
      <c r="M459" s="2" t="str">
        <f>HYPERLINK("http://www.windermere.com/index.cfm?fuseaction=Listing.MapPropertyInteractive&amp;ListingID=19400611&amp;resize=true&amp;windowWidth=800&amp;windowHeight=600","Map")</f>
        <v>Map</v>
      </c>
      <c r="O459" s="2" t="str">
        <f>HYPERLINK("http://www.windermere.com/index.cfm?fuseaction=Listing.MultiImageViewer&amp;ListingID=19400611&amp;ln=28030832&amp;pub_mls=1","More")</f>
        <v>More</v>
      </c>
      <c r="AI459" t="s">
        <v>66</v>
      </c>
      <c r="AJ459">
        <v>98117</v>
      </c>
      <c r="AS459" t="s">
        <v>1416</v>
      </c>
      <c r="AT459">
        <v>19400611</v>
      </c>
      <c r="AU459" s="7">
        <v>39499</v>
      </c>
      <c r="BB459" t="s">
        <v>912</v>
      </c>
      <c r="BC459" s="7">
        <v>39499</v>
      </c>
      <c r="BD459">
        <v>-4</v>
      </c>
      <c r="BE459" t="s">
        <v>1445</v>
      </c>
      <c r="BG459">
        <v>1</v>
      </c>
    </row>
    <row r="460" spans="1:59" hidden="1">
      <c r="A460">
        <v>28030482</v>
      </c>
      <c r="B460" s="2" t="str">
        <f>HYPERLINK("http://www.windermere.com/index.cfm?fuseaction=Listing.ListingDetail&amp;ListingID=19402080","Active")</f>
        <v>Active</v>
      </c>
      <c r="D460" t="s">
        <v>70</v>
      </c>
      <c r="E460" t="s">
        <v>1417</v>
      </c>
      <c r="F460" s="10">
        <v>375000</v>
      </c>
      <c r="G460" t="s">
        <v>495</v>
      </c>
      <c r="H460" s="1">
        <v>1396</v>
      </c>
      <c r="I460">
        <v>3227</v>
      </c>
      <c r="J460">
        <v>3</v>
      </c>
      <c r="K460">
        <v>2</v>
      </c>
      <c r="M460" s="2" t="str">
        <f>HYPERLINK("http://www.windermere.com/index.cfm?fuseaction=Listing.MapPropertyInteractive&amp;ListingID=19402080&amp;resize=true&amp;windowWidth=800&amp;windowHeight=600","Map")</f>
        <v>Map</v>
      </c>
      <c r="O460" s="2" t="str">
        <f>HYPERLINK("http://www.windermere.com/index.cfm?fuseaction=Listing.MultiImageViewer&amp;ListingID=19402080&amp;ln=28030482&amp;pub_mls=1","More")</f>
        <v>More</v>
      </c>
      <c r="P460" t="s">
        <v>44</v>
      </c>
      <c r="AI460" t="s">
        <v>66</v>
      </c>
      <c r="AJ460">
        <v>98177</v>
      </c>
      <c r="AS460" t="s">
        <v>1418</v>
      </c>
      <c r="AT460">
        <v>19402080</v>
      </c>
      <c r="AU460" s="7">
        <v>39499</v>
      </c>
      <c r="BB460" t="s">
        <v>912</v>
      </c>
      <c r="BC460" s="7">
        <v>39499</v>
      </c>
      <c r="BD460">
        <v>-1</v>
      </c>
      <c r="BE460" t="s">
        <v>1446</v>
      </c>
      <c r="BG460">
        <v>1</v>
      </c>
    </row>
    <row r="461" spans="1:59" hidden="1">
      <c r="A461">
        <v>28031236</v>
      </c>
      <c r="B461" s="2" t="str">
        <f>HYPERLINK("http://www.windermere.com/index.cfm?fuseaction=Listing.ListingDetail&amp;ListingID=19403464","Active")</f>
        <v>Active</v>
      </c>
      <c r="D461" t="s">
        <v>100</v>
      </c>
      <c r="E461" t="s">
        <v>1419</v>
      </c>
      <c r="F461" s="10">
        <v>415000</v>
      </c>
      <c r="G461" t="s">
        <v>424</v>
      </c>
      <c r="H461">
        <v>905</v>
      </c>
      <c r="J461">
        <v>2</v>
      </c>
      <c r="K461">
        <v>1.5</v>
      </c>
      <c r="M461" s="2" t="str">
        <f>HYPERLINK("http://www.windermere.com/index.cfm?fuseaction=Listing.MapPropertyInteractive&amp;ListingID=19403464&amp;resize=true&amp;windowWidth=800&amp;windowHeight=600","Map")</f>
        <v>Map</v>
      </c>
      <c r="O461" s="2" t="str">
        <f>HYPERLINK("http://www.windermere.com/index.cfm?fuseaction=Listing.MultiImageViewer&amp;ListingID=19403464&amp;ln=28031236&amp;pub_mls=1","More")</f>
        <v>More</v>
      </c>
      <c r="P461" t="s">
        <v>44</v>
      </c>
      <c r="AI461" t="s">
        <v>66</v>
      </c>
      <c r="AJ461">
        <v>98103</v>
      </c>
      <c r="AS461" t="s">
        <v>1420</v>
      </c>
      <c r="AT461">
        <v>19403464</v>
      </c>
      <c r="AU461" s="7">
        <v>39499</v>
      </c>
      <c r="BB461" t="s">
        <v>912</v>
      </c>
      <c r="BC461" s="7">
        <v>39499</v>
      </c>
      <c r="BD461">
        <v>-4</v>
      </c>
      <c r="BE461" t="s">
        <v>1447</v>
      </c>
      <c r="BG461">
        <v>1</v>
      </c>
    </row>
    <row r="462" spans="1:59" hidden="1">
      <c r="A462">
        <v>28030415</v>
      </c>
      <c r="B462" s="2" t="str">
        <f>HYPERLINK("http://www.windermere.com/index.cfm?fuseaction=Listing.ListingDetail&amp;ListingID=19403826","Active")</f>
        <v>Active</v>
      </c>
      <c r="D462" t="s">
        <v>100</v>
      </c>
      <c r="E462" s="3" t="s">
        <v>1461</v>
      </c>
      <c r="F462" s="10">
        <v>419000</v>
      </c>
      <c r="G462" t="s">
        <v>173</v>
      </c>
      <c r="H462" s="1">
        <v>1300</v>
      </c>
      <c r="J462">
        <v>4</v>
      </c>
      <c r="K462">
        <v>2</v>
      </c>
      <c r="M462" s="2" t="str">
        <f>HYPERLINK("http://www.windermere.com/index.cfm?fuseaction=Listing.MapPropertyInteractive&amp;ListingID=19403826&amp;resize=true&amp;windowWidth=800&amp;windowHeight=600","Map")</f>
        <v>Map</v>
      </c>
      <c r="O462" s="2" t="str">
        <f>HYPERLINK("http://www.windermere.com/index.cfm?fuseaction=Listing.MultiImageViewer&amp;ListingID=19403826&amp;ln=28030415&amp;pub_mls=1","More")</f>
        <v>More</v>
      </c>
      <c r="AI462" t="s">
        <v>66</v>
      </c>
      <c r="AJ462">
        <v>98103</v>
      </c>
      <c r="AS462" t="s">
        <v>1421</v>
      </c>
      <c r="AT462">
        <v>19403826</v>
      </c>
      <c r="AU462" s="7">
        <v>39499</v>
      </c>
      <c r="BB462" t="s">
        <v>912</v>
      </c>
      <c r="BC462" s="7">
        <v>39499</v>
      </c>
      <c r="BD462">
        <v>-3</v>
      </c>
      <c r="BE462" t="s">
        <v>1448</v>
      </c>
      <c r="BG462">
        <v>1</v>
      </c>
    </row>
    <row r="463" spans="1:59" hidden="1">
      <c r="A463">
        <v>28031354</v>
      </c>
      <c r="B463" s="15" t="str">
        <f>HYPERLINK("http://www.windermere.com/index.cfm?fuseaction=Listing.ListingDetail&amp;ListingID=19404486","Subject To Inspection")</f>
        <v>Subject To Inspection</v>
      </c>
      <c r="D463" t="s">
        <v>70</v>
      </c>
      <c r="E463" t="s">
        <v>1422</v>
      </c>
      <c r="F463" s="10">
        <v>429000</v>
      </c>
      <c r="G463" t="s">
        <v>1423</v>
      </c>
      <c r="H463" s="1">
        <v>1740</v>
      </c>
      <c r="I463">
        <v>7140</v>
      </c>
      <c r="J463">
        <v>3</v>
      </c>
      <c r="K463" s="19">
        <v>2.5</v>
      </c>
      <c r="M463" s="2" t="str">
        <f>HYPERLINK("http://www.windermere.com/index.cfm?fuseaction=Listing.MapPropertyInteractive&amp;ListingID=19404486&amp;resize=true&amp;windowWidth=800&amp;windowHeight=600","Map")</f>
        <v>Map</v>
      </c>
      <c r="AI463" t="s">
        <v>66</v>
      </c>
      <c r="AJ463">
        <v>98177</v>
      </c>
      <c r="AS463" t="s">
        <v>1424</v>
      </c>
      <c r="AT463">
        <v>19404486</v>
      </c>
      <c r="AU463" s="7">
        <v>39499</v>
      </c>
      <c r="BB463" t="s">
        <v>912</v>
      </c>
      <c r="BC463" s="7">
        <v>39499</v>
      </c>
      <c r="BD463">
        <v>1</v>
      </c>
      <c r="BE463" t="s">
        <v>1449</v>
      </c>
      <c r="BG463">
        <v>1</v>
      </c>
    </row>
    <row r="464" spans="1:59" hidden="1">
      <c r="A464">
        <v>28030626</v>
      </c>
      <c r="B464" s="2" t="str">
        <f>HYPERLINK("http://www.windermere.com/index.cfm?fuseaction=Listing.ListingDetail&amp;ListingID=19399436","Active")</f>
        <v>Active</v>
      </c>
      <c r="D464" t="s">
        <v>100</v>
      </c>
      <c r="E464" t="s">
        <v>1425</v>
      </c>
      <c r="F464" s="10">
        <v>459000</v>
      </c>
      <c r="G464" t="s">
        <v>159</v>
      </c>
      <c r="H464" s="1">
        <v>1670</v>
      </c>
      <c r="I464">
        <v>3025</v>
      </c>
      <c r="J464">
        <v>2</v>
      </c>
      <c r="K464">
        <v>1.75</v>
      </c>
      <c r="M464" s="2" t="str">
        <f>HYPERLINK("http://www.windermere.com/index.cfm?fuseaction=Listing.MapPropertyInteractive&amp;ListingID=19399436&amp;resize=true&amp;windowWidth=800&amp;windowHeight=600","Map")</f>
        <v>Map</v>
      </c>
      <c r="P464" t="s">
        <v>44</v>
      </c>
      <c r="AI464" t="s">
        <v>66</v>
      </c>
      <c r="AJ464">
        <v>98107</v>
      </c>
      <c r="AS464" t="s">
        <v>1426</v>
      </c>
      <c r="AT464">
        <v>19399436</v>
      </c>
      <c r="AU464" s="7">
        <v>39499</v>
      </c>
      <c r="BB464" t="s">
        <v>912</v>
      </c>
      <c r="BC464" s="7">
        <v>39499</v>
      </c>
      <c r="BD464">
        <v>2</v>
      </c>
      <c r="BE464" t="s">
        <v>1450</v>
      </c>
      <c r="BG464">
        <v>1</v>
      </c>
    </row>
    <row r="465" spans="1:59" hidden="1">
      <c r="A465">
        <v>28030509</v>
      </c>
      <c r="B465" s="2" t="str">
        <f>HYPERLINK("http://www.windermere.com/index.cfm?fuseaction=Listing.ListingDetail&amp;ListingID=19403814","Active")</f>
        <v>Active</v>
      </c>
      <c r="D465" t="s">
        <v>100</v>
      </c>
      <c r="E465" t="s">
        <v>1427</v>
      </c>
      <c r="F465" s="10">
        <v>484950</v>
      </c>
      <c r="G465" t="s">
        <v>674</v>
      </c>
      <c r="H465" s="1">
        <v>1630</v>
      </c>
      <c r="I465">
        <v>1350</v>
      </c>
      <c r="J465">
        <v>2</v>
      </c>
      <c r="K465">
        <v>2.25</v>
      </c>
      <c r="M465" s="2" t="str">
        <f>HYPERLINK("http://www.windermere.com/index.cfm?fuseaction=Listing.MapPropertyInteractive&amp;ListingID=19403814&amp;resize=true&amp;windowWidth=800&amp;windowHeight=600","Map")</f>
        <v>Map</v>
      </c>
      <c r="O465" s="2" t="str">
        <f>HYPERLINK("http://www.windermere.com/index.cfm?fuseaction=Listing.MultiImageViewer&amp;ListingID=19403814&amp;ln=28030509&amp;pub_mls=1","More")</f>
        <v>More</v>
      </c>
      <c r="P465" t="s">
        <v>44</v>
      </c>
      <c r="AI465" t="s">
        <v>66</v>
      </c>
      <c r="AJ465">
        <v>98103</v>
      </c>
      <c r="AS465" t="s">
        <v>1428</v>
      </c>
      <c r="AT465">
        <v>19403814</v>
      </c>
      <c r="AU465" s="7">
        <v>39499</v>
      </c>
      <c r="BB465" t="s">
        <v>912</v>
      </c>
      <c r="BC465" s="7">
        <v>39499</v>
      </c>
      <c r="BD465">
        <v>-4</v>
      </c>
      <c r="BE465" t="s">
        <v>1327</v>
      </c>
      <c r="BG465">
        <v>1</v>
      </c>
    </row>
    <row r="466" spans="1:59" hidden="1">
      <c r="A466">
        <v>28008254</v>
      </c>
      <c r="B466" s="2" t="str">
        <f>HYPERLINK("http://www.windermere.com/index.cfm?fuseaction=Listing.ListingDetail&amp;ListingID=19224161","Active")</f>
        <v>Active</v>
      </c>
      <c r="D466" t="s">
        <v>63</v>
      </c>
      <c r="E466" t="s">
        <v>1429</v>
      </c>
      <c r="F466" s="10">
        <v>499950</v>
      </c>
      <c r="G466" t="s">
        <v>247</v>
      </c>
      <c r="H466" s="1">
        <v>1780</v>
      </c>
      <c r="J466">
        <v>3</v>
      </c>
      <c r="K466">
        <v>3</v>
      </c>
      <c r="M466" s="2" t="str">
        <f>HYPERLINK("http://www.windermere.com/index.cfm?fuseaction=Listing.MapPropertyInteractive&amp;ListingID=19224161&amp;resize=true&amp;windowWidth=800&amp;windowHeight=600","Map")</f>
        <v>Map</v>
      </c>
      <c r="P466" t="s">
        <v>44</v>
      </c>
      <c r="AI466" t="s">
        <v>66</v>
      </c>
      <c r="AJ466" s="19">
        <v>98107</v>
      </c>
      <c r="AS466" t="s">
        <v>1430</v>
      </c>
      <c r="AT466">
        <v>19224161</v>
      </c>
      <c r="AU466" s="7">
        <v>39499</v>
      </c>
      <c r="BB466" t="s">
        <v>912</v>
      </c>
      <c r="BC466" s="7">
        <v>39462</v>
      </c>
      <c r="BD466">
        <v>-4</v>
      </c>
      <c r="BE466" t="s">
        <v>1451</v>
      </c>
      <c r="BG466">
        <v>38</v>
      </c>
    </row>
    <row r="467" spans="1:59" hidden="1">
      <c r="A467">
        <v>28030680</v>
      </c>
      <c r="B467" s="2" t="str">
        <f>HYPERLINK("http://www.windermere.com/index.cfm?fuseaction=Listing.ListingDetail&amp;ListingID=19398832","Active")</f>
        <v>Active</v>
      </c>
      <c r="D467" t="s">
        <v>207</v>
      </c>
      <c r="E467" t="s">
        <v>1431</v>
      </c>
      <c r="F467" s="10">
        <v>499950</v>
      </c>
      <c r="G467" t="s">
        <v>130</v>
      </c>
      <c r="H467" s="1">
        <v>1800</v>
      </c>
      <c r="I467">
        <v>5243</v>
      </c>
      <c r="J467">
        <v>4</v>
      </c>
      <c r="K467">
        <v>2</v>
      </c>
      <c r="M467" s="2" t="str">
        <f>HYPERLINK("http://www.windermere.com/index.cfm?fuseaction=Listing.MapPropertyInteractive&amp;ListingID=19398832&amp;resize=true&amp;windowWidth=800&amp;windowHeight=600","Map")</f>
        <v>Map</v>
      </c>
      <c r="O467" s="2" t="str">
        <f>HYPERLINK("http://www.windermere.com/index.cfm?fuseaction=Listing.MultiImageViewer&amp;ListingID=19398832&amp;ln=28030680&amp;pub_mls=1","More")</f>
        <v>More</v>
      </c>
      <c r="AI467" t="s">
        <v>66</v>
      </c>
      <c r="AJ467">
        <v>98115</v>
      </c>
      <c r="AS467" t="s">
        <v>1432</v>
      </c>
      <c r="AT467">
        <v>19398832</v>
      </c>
      <c r="AU467" s="7">
        <v>39499</v>
      </c>
      <c r="BB467" t="s">
        <v>912</v>
      </c>
      <c r="BC467" s="7">
        <v>39499</v>
      </c>
      <c r="BD467">
        <v>3</v>
      </c>
      <c r="BE467" t="s">
        <v>1452</v>
      </c>
      <c r="BG467">
        <v>1</v>
      </c>
    </row>
    <row r="468" spans="1:59" hidden="1">
      <c r="A468">
        <v>28030012</v>
      </c>
      <c r="B468" s="2" t="str">
        <f>HYPERLINK("http://www.windermere.com/index.cfm?fuseaction=Listing.ListingDetail&amp;ListingID=19403828","Active")</f>
        <v>Active</v>
      </c>
      <c r="D468" t="s">
        <v>88</v>
      </c>
      <c r="E468" t="s">
        <v>1433</v>
      </c>
      <c r="F468" s="10">
        <v>575000</v>
      </c>
      <c r="G468" t="s">
        <v>144</v>
      </c>
      <c r="H468" s="1">
        <v>2440</v>
      </c>
      <c r="J468">
        <v>4</v>
      </c>
      <c r="K468" s="19">
        <v>2</v>
      </c>
      <c r="M468" s="2" t="str">
        <f>HYPERLINK("http://www.windermere.com/index.cfm?fuseaction=Listing.MapPropertyInteractive&amp;ListingID=19403828&amp;resize=true&amp;windowWidth=800&amp;windowHeight=600","Map")</f>
        <v>Map</v>
      </c>
      <c r="O468" s="2" t="str">
        <f>HYPERLINK("http://www.windermere.com/index.cfm?fuseaction=Listing.MultiImageViewer&amp;ListingID=19403828&amp;ln=28030012&amp;pub_mls=1","More")</f>
        <v>More</v>
      </c>
      <c r="P468" t="s">
        <v>44</v>
      </c>
      <c r="AI468" t="s">
        <v>66</v>
      </c>
      <c r="AJ468">
        <v>98117</v>
      </c>
      <c r="AS468" t="s">
        <v>1434</v>
      </c>
      <c r="AT468">
        <v>19403828</v>
      </c>
      <c r="AU468" s="7">
        <v>39499</v>
      </c>
      <c r="BB468" t="s">
        <v>912</v>
      </c>
      <c r="BC468" s="7">
        <v>39499</v>
      </c>
      <c r="BD468">
        <v>2</v>
      </c>
      <c r="BE468" t="s">
        <v>1453</v>
      </c>
      <c r="BG468">
        <v>1</v>
      </c>
    </row>
    <row r="469" spans="1:59" hidden="1">
      <c r="A469">
        <v>28032147</v>
      </c>
      <c r="B469" s="2" t="str">
        <f>HYPERLINK("http://www.windermere.com/index.cfm?fuseaction=Listing.ListingDetail&amp;ListingID=19412092","Active")</f>
        <v>Active</v>
      </c>
      <c r="D469" t="s">
        <v>42</v>
      </c>
      <c r="E469" t="s">
        <v>1476</v>
      </c>
      <c r="F469" s="10">
        <v>314000</v>
      </c>
      <c r="G469" t="s">
        <v>147</v>
      </c>
      <c r="H469" s="1">
        <v>1432</v>
      </c>
      <c r="J469">
        <v>3</v>
      </c>
      <c r="K469">
        <v>2.5</v>
      </c>
      <c r="M469" s="2" t="str">
        <f>HYPERLINK("http://www.windermere.com/index.cfm?fuseaction=Listing.MapPropertyInteractive&amp;ListingID=19412092&amp;resize=true&amp;windowWidth=800&amp;windowHeight=600","Map")</f>
        <v>Map</v>
      </c>
      <c r="O469" s="2" t="str">
        <f>HYPERLINK("http://www.windermere.com/index.cfm?fuseaction=Listing.MultiImageViewer&amp;ListingID=19412092&amp;ln=28032147&amp;pub_mls=1","More")</f>
        <v>More</v>
      </c>
      <c r="AI469" t="s">
        <v>66</v>
      </c>
      <c r="AJ469">
        <v>98133</v>
      </c>
      <c r="AS469" t="s">
        <v>1477</v>
      </c>
      <c r="AT469">
        <v>19412092</v>
      </c>
      <c r="AU469" s="7">
        <v>39501</v>
      </c>
      <c r="BB469" t="s">
        <v>912</v>
      </c>
    </row>
    <row r="470" spans="1:59" hidden="1">
      <c r="A470">
        <v>28031803</v>
      </c>
      <c r="B470" s="2" t="str">
        <f>HYPERLINK("http://www.windermere.com/index.cfm?fuseaction=Listing.ListingDetail&amp;ListingID=19408082","Active")</f>
        <v>Active</v>
      </c>
      <c r="D470" t="s">
        <v>66</v>
      </c>
      <c r="E470" t="s">
        <v>1454</v>
      </c>
      <c r="F470" s="10">
        <v>320000</v>
      </c>
      <c r="G470" t="s">
        <v>379</v>
      </c>
      <c r="H470" s="1">
        <v>1140</v>
      </c>
      <c r="I470">
        <v>9240</v>
      </c>
      <c r="J470">
        <v>4</v>
      </c>
      <c r="K470">
        <v>1</v>
      </c>
      <c r="M470" s="2" t="str">
        <f>HYPERLINK("http://www.windermere.com/index.cfm?fuseaction=Listing.MapPropertyInteractive&amp;ListingID=19408082&amp;resize=true&amp;windowWidth=800&amp;windowHeight=600","Map")</f>
        <v>Map</v>
      </c>
      <c r="O470" s="2" t="str">
        <f>HYPERLINK("http://www.windermere.com/index.cfm?fuseaction=Listing.MultiImageViewer&amp;ListingID=19408082&amp;ln=28031803&amp;pub_mls=1","More")</f>
        <v>More</v>
      </c>
      <c r="AI470" t="s">
        <v>66</v>
      </c>
      <c r="AJ470" s="19">
        <v>98155</v>
      </c>
      <c r="AS470" t="s">
        <v>1455</v>
      </c>
      <c r="AT470">
        <v>19408082</v>
      </c>
      <c r="AU470" s="7">
        <v>39501</v>
      </c>
      <c r="BB470" t="s">
        <v>912</v>
      </c>
    </row>
    <row r="471" spans="1:59" hidden="1">
      <c r="A471">
        <v>28031593</v>
      </c>
      <c r="B471" s="2" t="str">
        <f>HYPERLINK("http://www.windermere.com/index.cfm?fuseaction=Listing.ListingDetail&amp;ListingID=19407034","Active")</f>
        <v>Active</v>
      </c>
      <c r="D471" t="s">
        <v>199</v>
      </c>
      <c r="E471" t="s">
        <v>1457</v>
      </c>
      <c r="F471" s="10">
        <v>399000</v>
      </c>
      <c r="G471" t="s">
        <v>168</v>
      </c>
      <c r="J471">
        <v>4</v>
      </c>
      <c r="K471">
        <v>2</v>
      </c>
      <c r="M471" s="2" t="str">
        <f>HYPERLINK("http://www.windermere.com/index.cfm?fuseaction=Listing.MapPropertyInteractive&amp;ListingID=19407034&amp;resize=true&amp;windowWidth=800&amp;windowHeight=600","Map")</f>
        <v>Map</v>
      </c>
      <c r="O471" s="2" t="str">
        <f>HYPERLINK("http://www.windermere.com/index.cfm?fuseaction=viewGallery.Home&amp;customTourID=208435&amp;wvt=0","More")</f>
        <v>More</v>
      </c>
      <c r="AI471" t="s">
        <v>66</v>
      </c>
      <c r="AJ471">
        <v>98125</v>
      </c>
      <c r="AS471" t="s">
        <v>1458</v>
      </c>
      <c r="AT471">
        <v>19407034</v>
      </c>
      <c r="AU471" s="7">
        <v>39501</v>
      </c>
      <c r="BB471" t="s">
        <v>912</v>
      </c>
    </row>
    <row r="472" spans="1:59" hidden="1">
      <c r="A472">
        <v>28031815</v>
      </c>
      <c r="B472" s="2" t="str">
        <f>HYPERLINK("http://www.windermere.com/index.cfm?fuseaction=Listing.ListingDetail&amp;ListingID=19409882","Active")</f>
        <v>Active</v>
      </c>
      <c r="D472" t="s">
        <v>109</v>
      </c>
      <c r="E472" t="s">
        <v>1459</v>
      </c>
      <c r="F472" s="10">
        <v>399800</v>
      </c>
      <c r="G472" t="s">
        <v>154</v>
      </c>
      <c r="H472">
        <v>910</v>
      </c>
      <c r="I472">
        <v>5100</v>
      </c>
      <c r="J472">
        <v>2</v>
      </c>
      <c r="K472">
        <v>1</v>
      </c>
      <c r="M472" s="2" t="str">
        <f>HYPERLINK("http://www.windermere.com/index.cfm?fuseaction=Listing.MapPropertyInteractive&amp;ListingID=19409882&amp;resize=true&amp;windowWidth=800&amp;windowHeight=600","Map")</f>
        <v>Map</v>
      </c>
      <c r="O472" s="2" t="str">
        <f>HYPERLINK("http://www.windermere.com/index.cfm?fuseaction=Listing.MultiImageViewer&amp;ListingID=19409882&amp;ln=28031815&amp;pub_mls=1","More")</f>
        <v>More</v>
      </c>
      <c r="P472" t="s">
        <v>44</v>
      </c>
      <c r="AI472" t="s">
        <v>66</v>
      </c>
      <c r="AJ472">
        <v>98105</v>
      </c>
      <c r="AS472" t="s">
        <v>1460</v>
      </c>
      <c r="AT472">
        <v>19409882</v>
      </c>
      <c r="AU472" s="7">
        <v>39501</v>
      </c>
      <c r="BB472" t="s">
        <v>912</v>
      </c>
    </row>
    <row r="473" spans="1:59" hidden="1">
      <c r="A473">
        <v>28031984</v>
      </c>
      <c r="B473" s="2" t="str">
        <f>HYPERLINK("http://www.windermere.com/index.cfm?fuseaction=Listing.ListingDetail&amp;ListingID=19409141","Active")</f>
        <v>Active</v>
      </c>
      <c r="D473" t="s">
        <v>60</v>
      </c>
      <c r="E473" t="s">
        <v>1462</v>
      </c>
      <c r="F473" s="10">
        <v>425000</v>
      </c>
      <c r="G473" t="s">
        <v>219</v>
      </c>
      <c r="H473" s="1">
        <v>1280</v>
      </c>
      <c r="I473">
        <v>3060</v>
      </c>
      <c r="J473">
        <v>3</v>
      </c>
      <c r="K473">
        <v>1.5</v>
      </c>
      <c r="M473" s="2" t="str">
        <f>HYPERLINK("http://www.windermere.com/index.cfm?fuseaction=Listing.MapPropertyInteractive&amp;ListingID=19409141&amp;resize=true&amp;windowWidth=800&amp;windowHeight=600","Map")</f>
        <v>Map</v>
      </c>
      <c r="O473" s="2" t="str">
        <f>HYPERLINK("http://www.windermere.com/index.cfm?fuseaction=viewGallery.Home&amp;customTourID=208553&amp;wvt=0","More")</f>
        <v>More</v>
      </c>
      <c r="AI473" t="s">
        <v>66</v>
      </c>
      <c r="AJ473">
        <v>98103</v>
      </c>
      <c r="AS473" t="s">
        <v>1463</v>
      </c>
      <c r="AT473">
        <v>19409141</v>
      </c>
      <c r="AU473" s="7">
        <v>39501</v>
      </c>
      <c r="BB473" t="s">
        <v>912</v>
      </c>
    </row>
    <row r="474" spans="1:59" hidden="1">
      <c r="A474">
        <v>28032200</v>
      </c>
      <c r="B474" s="2" t="str">
        <f>HYPERLINK("http://www.windermere.com/index.cfm?fuseaction=Listing.ListingDetail&amp;ListingID=19412399","Active")</f>
        <v>Active</v>
      </c>
      <c r="D474" t="s">
        <v>63</v>
      </c>
      <c r="E474" t="s">
        <v>1484</v>
      </c>
      <c r="F474" s="10">
        <v>439950</v>
      </c>
      <c r="G474" t="s">
        <v>147</v>
      </c>
      <c r="H474" s="1">
        <v>1469</v>
      </c>
      <c r="J474">
        <v>3</v>
      </c>
      <c r="K474">
        <v>3.5</v>
      </c>
      <c r="M474" s="2" t="str">
        <f>HYPERLINK("http://www.windermere.com/index.cfm?fuseaction=Listing.MapPropertyInteractive&amp;ListingID=19412399&amp;resize=true&amp;windowWidth=800&amp;windowHeight=600","Map")</f>
        <v>Map</v>
      </c>
      <c r="AI474" t="s">
        <v>66</v>
      </c>
      <c r="AJ474">
        <v>98107</v>
      </c>
      <c r="AS474" t="s">
        <v>1485</v>
      </c>
      <c r="AT474">
        <v>19412399</v>
      </c>
      <c r="AU474" s="7">
        <v>39501</v>
      </c>
      <c r="BB474" t="s">
        <v>912</v>
      </c>
    </row>
    <row r="475" spans="1:59" hidden="1">
      <c r="A475">
        <v>28031588</v>
      </c>
      <c r="B475" s="2" t="str">
        <f>HYPERLINK("http://www.windermere.com/index.cfm?fuseaction=Listing.ListingDetail&amp;ListingID=19407733","Active")</f>
        <v>Active</v>
      </c>
      <c r="D475" t="s">
        <v>109</v>
      </c>
      <c r="E475" t="s">
        <v>1465</v>
      </c>
      <c r="F475" s="10">
        <v>449950</v>
      </c>
      <c r="G475" t="s">
        <v>247</v>
      </c>
      <c r="H475" s="1">
        <v>1439</v>
      </c>
      <c r="J475">
        <v>2</v>
      </c>
      <c r="K475">
        <v>2.25</v>
      </c>
      <c r="M475" s="2" t="str">
        <f>HYPERLINK("http://www.windermere.com/index.cfm?fuseaction=Listing.MapPropertyInteractive&amp;ListingID=19407733&amp;resize=true&amp;windowWidth=800&amp;windowHeight=600","Map")</f>
        <v>Map</v>
      </c>
      <c r="O475" s="2" t="str">
        <f>HYPERLINK("http://www.windermere.com/index.cfm?fuseaction=Listing.MultiImageViewer&amp;ListingID=19407733&amp;ln=28031588&amp;pub_mls=1","More")</f>
        <v>More</v>
      </c>
      <c r="P475" t="s">
        <v>44</v>
      </c>
      <c r="AI475" t="s">
        <v>66</v>
      </c>
      <c r="AJ475">
        <v>98103</v>
      </c>
      <c r="AS475" t="s">
        <v>1466</v>
      </c>
      <c r="AT475">
        <v>19407733</v>
      </c>
      <c r="AU475" s="7">
        <v>39501</v>
      </c>
      <c r="BB475" t="s">
        <v>912</v>
      </c>
    </row>
    <row r="476" spans="1:59" hidden="1">
      <c r="A476">
        <v>28031574</v>
      </c>
      <c r="B476" s="2" t="str">
        <f>HYPERLINK("http://www.windermere.com/index.cfm?fuseaction=Listing.ListingDetail&amp;ListingID=19407101","Active")</f>
        <v>Active</v>
      </c>
      <c r="D476" t="s">
        <v>109</v>
      </c>
      <c r="E476" t="s">
        <v>1467</v>
      </c>
      <c r="F476" s="10">
        <v>464950</v>
      </c>
      <c r="G476" t="s">
        <v>247</v>
      </c>
      <c r="H476" s="1">
        <v>1439</v>
      </c>
      <c r="J476">
        <v>2</v>
      </c>
      <c r="K476">
        <v>2.25</v>
      </c>
      <c r="M476" s="2" t="str">
        <f>HYPERLINK("http://www.windermere.com/index.cfm?fuseaction=Listing.MapPropertyInteractive&amp;ListingID=19407101&amp;resize=true&amp;windowWidth=800&amp;windowHeight=600","Map")</f>
        <v>Map</v>
      </c>
      <c r="O476" s="2" t="str">
        <f>HYPERLINK("http://www.windermere.com/index.cfm?fuseaction=Listing.MultiImageViewer&amp;ListingID=19407101&amp;ln=28031574&amp;pub_mls=1","More")</f>
        <v>More</v>
      </c>
      <c r="P476" t="s">
        <v>44</v>
      </c>
      <c r="AI476" t="s">
        <v>66</v>
      </c>
      <c r="AJ476">
        <v>98103</v>
      </c>
      <c r="AS476" t="s">
        <v>1468</v>
      </c>
      <c r="AT476">
        <v>19407101</v>
      </c>
      <c r="AU476" s="7">
        <v>39501</v>
      </c>
      <c r="BB476" t="s">
        <v>912</v>
      </c>
    </row>
    <row r="477" spans="1:59">
      <c r="A477">
        <v>28031494</v>
      </c>
      <c r="B477" s="2" t="str">
        <f>HYPERLINK("http://www.windermere.com/index.cfm?fuseaction=Listing.ListingDetail&amp;ListingID=19406599","Active")</f>
        <v>Active</v>
      </c>
      <c r="D477" t="s">
        <v>63</v>
      </c>
      <c r="E477" t="s">
        <v>1470</v>
      </c>
      <c r="F477" s="10">
        <v>482800</v>
      </c>
      <c r="G477" t="s">
        <v>161</v>
      </c>
      <c r="H477" s="1">
        <v>1337</v>
      </c>
      <c r="I477">
        <v>5110</v>
      </c>
      <c r="J477">
        <v>3</v>
      </c>
      <c r="K477">
        <v>1.75</v>
      </c>
      <c r="M477" s="2" t="str">
        <f>HYPERLINK("http://www.windermere.com/index.cfm?fuseaction=Listing.MapPropertyInteractive&amp;ListingID=19406599&amp;resize=true&amp;windowWidth=800&amp;windowHeight=600","Map")</f>
        <v>Map</v>
      </c>
      <c r="O477" s="2" t="str">
        <f>HYPERLINK("http://www.windermere.com/index.cfm?fuseaction=Listing.MultiImageViewer&amp;ListingID=19406599&amp;ln=28031494&amp;pub_mls=1","More")</f>
        <v>More</v>
      </c>
      <c r="P477" t="s">
        <v>44</v>
      </c>
      <c r="AI477" t="s">
        <v>66</v>
      </c>
      <c r="AJ477">
        <v>98117</v>
      </c>
      <c r="AS477" t="s">
        <v>1471</v>
      </c>
      <c r="AT477">
        <v>19406599</v>
      </c>
      <c r="AU477" s="7">
        <v>39501</v>
      </c>
      <c r="BB477" t="s">
        <v>912</v>
      </c>
      <c r="BD477" t="s">
        <v>1625</v>
      </c>
      <c r="BE477" t="s">
        <v>1627</v>
      </c>
      <c r="BF477" s="7">
        <v>39508</v>
      </c>
    </row>
    <row r="478" spans="1:59" hidden="1">
      <c r="A478">
        <v>28031548</v>
      </c>
      <c r="B478" s="15" t="str">
        <f>HYPERLINK("http://www.windermere.com/index.cfm?fuseaction=Listing.ListingDetail&amp;ListingID=19406985","Subject To Inspection")</f>
        <v>Subject To Inspection</v>
      </c>
      <c r="D478" t="s">
        <v>109</v>
      </c>
      <c r="E478" t="s">
        <v>1472</v>
      </c>
      <c r="F478" s="10">
        <v>499000</v>
      </c>
      <c r="G478" t="s">
        <v>440</v>
      </c>
      <c r="H478" s="1">
        <v>1910</v>
      </c>
      <c r="I478">
        <v>2942</v>
      </c>
      <c r="J478">
        <v>3</v>
      </c>
      <c r="K478">
        <v>1.75</v>
      </c>
      <c r="M478" s="2" t="str">
        <f>HYPERLINK("http://www.windermere.com/index.cfm?fuseaction=Listing.MapPropertyInteractive&amp;ListingID=19406985&amp;resize=true&amp;windowWidth=800&amp;windowHeight=600","Map")</f>
        <v>Map</v>
      </c>
      <c r="O478" s="2" t="str">
        <f>HYPERLINK("http://www.windermere.com/index.cfm?fuseaction=Listing.MultiImageViewer&amp;ListingID=19406985&amp;ln=28031548&amp;pub_mls=1","More")</f>
        <v>More</v>
      </c>
      <c r="AI478" t="s">
        <v>66</v>
      </c>
      <c r="AJ478">
        <v>98105</v>
      </c>
      <c r="AS478" t="s">
        <v>1473</v>
      </c>
      <c r="AT478">
        <v>19406985</v>
      </c>
      <c r="AU478" s="7">
        <v>39501</v>
      </c>
      <c r="BB478" t="s">
        <v>912</v>
      </c>
    </row>
    <row r="479" spans="1:59" hidden="1">
      <c r="A479">
        <v>27182990</v>
      </c>
      <c r="B479" s="2" t="str">
        <f>HYPERLINK("http://www.windermere.com/index.cfm?fuseaction=Listing.ListingDetail&amp;ListingID=19409788","Active")</f>
        <v>Active</v>
      </c>
      <c r="D479" t="s">
        <v>204</v>
      </c>
      <c r="E479" t="s">
        <v>1474</v>
      </c>
      <c r="F479" s="10">
        <v>500000</v>
      </c>
      <c r="G479" t="s">
        <v>132</v>
      </c>
      <c r="H479" s="1">
        <v>3340</v>
      </c>
      <c r="I479">
        <v>11994</v>
      </c>
      <c r="J479">
        <v>4</v>
      </c>
      <c r="K479">
        <v>2.25</v>
      </c>
      <c r="M479" s="2" t="str">
        <f>HYPERLINK("http://www.windermere.com/index.cfm?fuseaction=Listing.MapPropertyInteractive&amp;ListingID=19409788&amp;resize=true&amp;windowWidth=800&amp;windowHeight=600","Map")</f>
        <v>Map</v>
      </c>
      <c r="O479" s="2" t="str">
        <f>HYPERLINK("http://www.windermere.com/index.cfm?fuseaction=viewGallery.Home&amp;customTourID=196755&amp;wvt=0","More")</f>
        <v>More</v>
      </c>
      <c r="P479" t="s">
        <v>44</v>
      </c>
      <c r="AI479" t="s">
        <v>66</v>
      </c>
      <c r="AJ479">
        <v>98125</v>
      </c>
      <c r="AS479" t="s">
        <v>1475</v>
      </c>
      <c r="AT479">
        <v>19409788</v>
      </c>
      <c r="AU479" s="7">
        <v>39501</v>
      </c>
      <c r="BB479" t="s">
        <v>912</v>
      </c>
    </row>
    <row r="480" spans="1:59" hidden="1">
      <c r="A480">
        <v>28031990</v>
      </c>
      <c r="B480" s="2" t="str">
        <f>HYPERLINK("http://www.windermere.com/index.cfm?fuseaction=Listing.ListingDetail&amp;ListingID=19409790","Active")</f>
        <v>Active</v>
      </c>
      <c r="D480" t="s">
        <v>101</v>
      </c>
      <c r="E480" t="s">
        <v>1478</v>
      </c>
      <c r="F480" s="10">
        <v>579950</v>
      </c>
      <c r="G480" t="s">
        <v>1423</v>
      </c>
      <c r="H480" s="1">
        <v>2090</v>
      </c>
      <c r="I480">
        <v>7800</v>
      </c>
      <c r="J480">
        <v>4</v>
      </c>
      <c r="K480">
        <v>3</v>
      </c>
      <c r="M480" s="2" t="str">
        <f>HYPERLINK("http://www.windermere.com/index.cfm?fuseaction=Listing.MapPropertyInteractive&amp;ListingID=19409790&amp;resize=true&amp;windowWidth=800&amp;windowHeight=600","Map")</f>
        <v>Map</v>
      </c>
      <c r="O480" s="2" t="str">
        <f>HYPERLINK("http://www.windermere.com/index.cfm?fuseaction=Listing.MultiImageViewer&amp;ListingID=19409790&amp;ln=28031990&amp;pub_mls=1","More")</f>
        <v>More</v>
      </c>
      <c r="P480" t="s">
        <v>44</v>
      </c>
      <c r="AI480" t="s">
        <v>66</v>
      </c>
      <c r="AJ480">
        <v>98117</v>
      </c>
      <c r="AS480" t="s">
        <v>1479</v>
      </c>
      <c r="AT480">
        <v>19409790</v>
      </c>
      <c r="AU480" s="7">
        <v>39501</v>
      </c>
      <c r="BB480" t="s">
        <v>912</v>
      </c>
    </row>
    <row r="481" spans="1:58" hidden="1">
      <c r="A481">
        <v>28031979</v>
      </c>
      <c r="B481" s="2" t="str">
        <f>HYPERLINK("http://www.windermere.com/index.cfm?fuseaction=Listing.ListingDetail&amp;ListingID=19409140","Active")</f>
        <v>Active</v>
      </c>
      <c r="D481" t="s">
        <v>78</v>
      </c>
      <c r="E481" t="s">
        <v>1480</v>
      </c>
      <c r="F481" s="10">
        <v>714950</v>
      </c>
      <c r="G481" t="s">
        <v>180</v>
      </c>
      <c r="H481" s="1">
        <v>2320</v>
      </c>
      <c r="I481">
        <v>4046</v>
      </c>
      <c r="J481">
        <v>4</v>
      </c>
      <c r="K481">
        <v>2.5</v>
      </c>
      <c r="M481" s="2" t="str">
        <f>HYPERLINK("http://www.windermere.com/index.cfm?fuseaction=Listing.MapPropertyInteractive&amp;ListingID=19409140&amp;resize=true&amp;windowWidth=800&amp;windowHeight=600","Map")</f>
        <v>Map</v>
      </c>
      <c r="O481" s="2" t="str">
        <f>HYPERLINK("http://www.windermere.com/index.cfm?fuseaction=Listing.MultiImageViewer&amp;ListingID=19409140&amp;ln=28031979&amp;pub_mls=1","More")</f>
        <v>More</v>
      </c>
      <c r="P481" t="s">
        <v>44</v>
      </c>
      <c r="AI481" t="s">
        <v>66</v>
      </c>
      <c r="AJ481">
        <v>98117</v>
      </c>
      <c r="AS481" t="s">
        <v>1481</v>
      </c>
      <c r="AT481">
        <v>19409140</v>
      </c>
      <c r="AU481" s="7">
        <v>39501</v>
      </c>
      <c r="BB481" t="s">
        <v>912</v>
      </c>
    </row>
    <row r="482" spans="1:58" hidden="1">
      <c r="A482">
        <v>28033159</v>
      </c>
      <c r="B482" s="2" t="str">
        <f>HYPERLINK("http://www.windermere.com/index.cfm?fuseaction=Listing.ListingDetail&amp;ListingID=19438383","Active")</f>
        <v>Active</v>
      </c>
      <c r="D482" t="s">
        <v>55</v>
      </c>
      <c r="E482" t="s">
        <v>1486</v>
      </c>
      <c r="F482" s="10">
        <v>359000</v>
      </c>
      <c r="G482" t="s">
        <v>147</v>
      </c>
      <c r="J482">
        <v>3</v>
      </c>
      <c r="K482">
        <v>2</v>
      </c>
      <c r="M482" s="2" t="str">
        <f>HYPERLINK("http://www.windermere.com/index.cfm?fuseaction=Listing.MapPropertyInteractive&amp;ListingID=19438383&amp;resize=true&amp;windowWidth=800&amp;windowHeight=600","Map")</f>
        <v>Map</v>
      </c>
      <c r="O482" s="2" t="str">
        <f>HYPERLINK("http://www.windermere.com/index.cfm?fuseaction=Listing.MultiImageViewer&amp;ListingID=19438383&amp;ln=28033159&amp;pub_mls=1","More")</f>
        <v>More</v>
      </c>
      <c r="AI482" t="s">
        <v>66</v>
      </c>
      <c r="AJ482">
        <v>98177</v>
      </c>
      <c r="AS482" t="s">
        <v>1487</v>
      </c>
      <c r="AT482">
        <v>19438383</v>
      </c>
      <c r="AU482" s="7">
        <v>39503</v>
      </c>
      <c r="BB482" t="s">
        <v>912</v>
      </c>
    </row>
    <row r="483" spans="1:58" hidden="1">
      <c r="A483">
        <v>28032469</v>
      </c>
      <c r="B483" s="2" t="str">
        <f>HYPERLINK("http://www.windermere.com/index.cfm?fuseaction=Listing.ListingDetail&amp;ListingID=19437800","Active")</f>
        <v>Active</v>
      </c>
      <c r="D483" t="s">
        <v>920</v>
      </c>
      <c r="E483" t="s">
        <v>1488</v>
      </c>
      <c r="F483" s="10">
        <v>385000</v>
      </c>
      <c r="G483" t="s">
        <v>156</v>
      </c>
      <c r="H483" s="1">
        <v>1960</v>
      </c>
      <c r="I483">
        <v>9815</v>
      </c>
      <c r="J483">
        <v>3</v>
      </c>
      <c r="K483">
        <v>1.75</v>
      </c>
      <c r="M483" s="2" t="str">
        <f>HYPERLINK("http://www.windermere.com/index.cfm?fuseaction=Listing.MapPropertyInteractive&amp;ListingID=19437800&amp;resize=true&amp;windowWidth=800&amp;windowHeight=600","Map")</f>
        <v>Map</v>
      </c>
      <c r="O483" s="2" t="str">
        <f>HYPERLINK("http://www.windermere.com/index.cfm?fuseaction=viewGallery.Home&amp;customTourID=208729&amp;wvt=0","More")</f>
        <v>More</v>
      </c>
      <c r="AI483" t="s">
        <v>66</v>
      </c>
      <c r="AJ483">
        <v>98125</v>
      </c>
      <c r="AS483" t="s">
        <v>1489</v>
      </c>
      <c r="AT483">
        <v>19437800</v>
      </c>
      <c r="AU483" s="7">
        <v>39503</v>
      </c>
      <c r="BB483" t="s">
        <v>912</v>
      </c>
    </row>
    <row r="484" spans="1:58" hidden="1">
      <c r="A484">
        <v>28032301</v>
      </c>
      <c r="B484" s="2" t="str">
        <f>HYPERLINK("http://www.windermere.com/index.cfm?fuseaction=Listing.ListingDetail&amp;ListingID=19413443","Active")</f>
        <v>Active</v>
      </c>
      <c r="D484" t="s">
        <v>60</v>
      </c>
      <c r="E484" t="s">
        <v>1490</v>
      </c>
      <c r="F484" s="10">
        <v>390000</v>
      </c>
      <c r="G484" t="s">
        <v>171</v>
      </c>
      <c r="H484" s="1">
        <v>1530</v>
      </c>
      <c r="I484">
        <v>5000</v>
      </c>
      <c r="J484">
        <v>3</v>
      </c>
      <c r="K484">
        <v>1.5</v>
      </c>
      <c r="M484" s="2" t="str">
        <f>HYPERLINK("http://www.windermere.com/index.cfm?fuseaction=Listing.MapPropertyInteractive&amp;ListingID=19413443&amp;resize=true&amp;windowWidth=800&amp;windowHeight=600","Map")</f>
        <v>Map</v>
      </c>
      <c r="O484" s="2" t="str">
        <f>HYPERLINK("http://www.windermere.com/index.cfm?fuseaction=Listing.MultiImageViewer&amp;ListingID=19413443&amp;ln=28032301&amp;pub_mls=1","More")</f>
        <v>More</v>
      </c>
      <c r="P484" t="s">
        <v>44</v>
      </c>
      <c r="AI484" t="s">
        <v>66</v>
      </c>
      <c r="AJ484">
        <v>98103</v>
      </c>
      <c r="AS484" t="s">
        <v>1491</v>
      </c>
      <c r="AT484">
        <v>19413443</v>
      </c>
      <c r="AU484" s="7">
        <v>39503</v>
      </c>
      <c r="BB484" t="s">
        <v>912</v>
      </c>
    </row>
    <row r="485" spans="1:58" hidden="1">
      <c r="A485">
        <v>28032926</v>
      </c>
      <c r="B485" s="2" t="str">
        <f>HYPERLINK("http://www.windermere.com/index.cfm?fuseaction=Listing.ListingDetail&amp;ListingID=19438316","Active")</f>
        <v>Active</v>
      </c>
      <c r="D485" t="s">
        <v>70</v>
      </c>
      <c r="E485" t="s">
        <v>1492</v>
      </c>
      <c r="F485" s="10">
        <v>425000</v>
      </c>
      <c r="G485" t="s">
        <v>227</v>
      </c>
      <c r="H485" s="1">
        <v>2360</v>
      </c>
      <c r="I485">
        <v>7500</v>
      </c>
      <c r="J485">
        <v>3</v>
      </c>
      <c r="K485">
        <v>2</v>
      </c>
      <c r="M485" s="2" t="str">
        <f>HYPERLINK("http://www.windermere.com/index.cfm?fuseaction=Listing.MapPropertyInteractive&amp;ListingID=19438316&amp;resize=true&amp;windowWidth=800&amp;windowHeight=600","Map")</f>
        <v>Map</v>
      </c>
      <c r="O485" s="2" t="str">
        <f>HYPERLINK("http://www.windermere.com/index.cfm?fuseaction=Listing.MultiImageViewer&amp;ListingID=19438316&amp;ln=28032926&amp;pub_mls=1","More")</f>
        <v>More</v>
      </c>
      <c r="P485" t="s">
        <v>44</v>
      </c>
      <c r="AI485" t="s">
        <v>66</v>
      </c>
      <c r="AJ485">
        <v>98133</v>
      </c>
      <c r="AS485" t="s">
        <v>1493</v>
      </c>
      <c r="AT485">
        <v>19438316</v>
      </c>
      <c r="AU485" s="7">
        <v>39503</v>
      </c>
      <c r="BB485" t="s">
        <v>912</v>
      </c>
    </row>
    <row r="486" spans="1:58" hidden="1">
      <c r="A486">
        <v>28033132</v>
      </c>
      <c r="B486" s="2" t="str">
        <f>HYPERLINK("http://www.windermere.com/index.cfm?fuseaction=Listing.ListingDetail&amp;ListingID=19438452","Active")</f>
        <v>Active</v>
      </c>
      <c r="D486" t="s">
        <v>63</v>
      </c>
      <c r="E486" t="s">
        <v>1494</v>
      </c>
      <c r="F486" s="10">
        <v>439500</v>
      </c>
      <c r="G486" t="s">
        <v>495</v>
      </c>
      <c r="H486" s="1">
        <v>1690</v>
      </c>
      <c r="J486">
        <v>3</v>
      </c>
      <c r="K486">
        <v>2.5</v>
      </c>
      <c r="M486" s="2" t="str">
        <f>HYPERLINK("http://www.windermere.com/index.cfm?fuseaction=Listing.MapPropertyInteractive&amp;ListingID=19438452&amp;resize=true&amp;windowWidth=800&amp;windowHeight=600","Map")</f>
        <v>Map</v>
      </c>
      <c r="O486" s="2" t="str">
        <f>HYPERLINK("http://www.windermere.com/index.cfm?fuseaction=viewGallery.Home&amp;customTourID=208671&amp;wvt=0","More")</f>
        <v>More</v>
      </c>
      <c r="P486" t="s">
        <v>44</v>
      </c>
      <c r="AI486" t="s">
        <v>66</v>
      </c>
      <c r="AJ486">
        <v>98107</v>
      </c>
      <c r="AS486" t="s">
        <v>1495</v>
      </c>
      <c r="AT486">
        <v>19438452</v>
      </c>
      <c r="AU486" s="7">
        <v>39503</v>
      </c>
      <c r="BB486" t="s">
        <v>912</v>
      </c>
    </row>
    <row r="487" spans="1:58" hidden="1">
      <c r="A487">
        <v>28032372</v>
      </c>
      <c r="B487" s="2" t="str">
        <f>HYPERLINK("http://www.windermere.com/index.cfm?fuseaction=Listing.ListingDetail&amp;ListingID=19414449","Active")</f>
        <v>Active</v>
      </c>
      <c r="D487" t="s">
        <v>199</v>
      </c>
      <c r="E487" t="s">
        <v>1496</v>
      </c>
      <c r="F487" s="13">
        <v>439950</v>
      </c>
      <c r="G487" t="s">
        <v>171</v>
      </c>
      <c r="H487" s="1">
        <v>1970</v>
      </c>
      <c r="I487">
        <v>9746</v>
      </c>
      <c r="J487">
        <v>4</v>
      </c>
      <c r="K487">
        <v>2</v>
      </c>
      <c r="M487" s="2" t="str">
        <f>HYPERLINK("http://www.windermere.com/index.cfm?fuseaction=Listing.MapPropertyInteractive&amp;ListingID=19414449&amp;resize=true&amp;windowWidth=800&amp;windowHeight=600","Map")</f>
        <v>Map</v>
      </c>
      <c r="O487" s="2" t="str">
        <f>HYPERLINK("http://www.windermere.com/index.cfm?fuseaction=Listing.MultiImageViewer&amp;ListingID=19414449&amp;ln=28032372&amp;pub_mls=1","More")</f>
        <v>More</v>
      </c>
      <c r="AI487" t="s">
        <v>66</v>
      </c>
      <c r="AJ487">
        <v>98125</v>
      </c>
      <c r="AS487" t="s">
        <v>1497</v>
      </c>
      <c r="AT487">
        <v>19414449</v>
      </c>
      <c r="AU487" s="7">
        <v>39503</v>
      </c>
      <c r="BB487" t="s">
        <v>912</v>
      </c>
    </row>
    <row r="488" spans="1:58" hidden="1">
      <c r="A488">
        <v>28032617</v>
      </c>
      <c r="B488" s="2" t="str">
        <f>HYPERLINK("http://www.windermere.com/index.cfm?fuseaction=Listing.ListingDetail&amp;ListingID=19416957","Active")</f>
        <v>Active</v>
      </c>
      <c r="D488" t="s">
        <v>207</v>
      </c>
      <c r="E488" t="s">
        <v>1498</v>
      </c>
      <c r="F488" s="10">
        <v>475000</v>
      </c>
      <c r="G488" t="s">
        <v>144</v>
      </c>
      <c r="H488" s="1">
        <v>1410</v>
      </c>
      <c r="I488">
        <v>3500</v>
      </c>
      <c r="J488">
        <v>2</v>
      </c>
      <c r="K488">
        <v>1</v>
      </c>
      <c r="M488" s="2" t="str">
        <f>HYPERLINK("http://www.windermere.com/index.cfm?fuseaction=Listing.MapPropertyInteractive&amp;ListingID=19416957&amp;resize=true&amp;windowWidth=800&amp;windowHeight=600","Map")</f>
        <v>Map</v>
      </c>
      <c r="O488" s="2" t="str">
        <f>HYPERLINK("http://www.windermere.com/index.cfm?fuseaction=viewGallery.Home&amp;customTourID=208603&amp;wvt=0","More")</f>
        <v>More</v>
      </c>
      <c r="AI488" t="s">
        <v>66</v>
      </c>
      <c r="AJ488">
        <v>98115</v>
      </c>
      <c r="AS488" t="s">
        <v>1499</v>
      </c>
      <c r="AT488">
        <v>19416957</v>
      </c>
      <c r="AU488" s="7">
        <v>39503</v>
      </c>
      <c r="BB488" t="s">
        <v>912</v>
      </c>
    </row>
    <row r="489" spans="1:58" hidden="1">
      <c r="A489">
        <v>28032560</v>
      </c>
      <c r="B489" s="2" t="str">
        <f>HYPERLINK("http://www.windermere.com/index.cfm?fuseaction=Listing.ListingDetail&amp;ListingID=19416095","Active")</f>
        <v>Active</v>
      </c>
      <c r="D489" t="s">
        <v>218</v>
      </c>
      <c r="E489" t="s">
        <v>1500</v>
      </c>
      <c r="F489" s="10">
        <v>499000</v>
      </c>
      <c r="G489" t="s">
        <v>142</v>
      </c>
      <c r="H489" s="1">
        <v>1930</v>
      </c>
      <c r="I489">
        <v>3348</v>
      </c>
      <c r="J489">
        <v>3</v>
      </c>
      <c r="K489">
        <v>1.5</v>
      </c>
      <c r="M489" s="2" t="str">
        <f>HYPERLINK("http://www.windermere.com/index.cfm?fuseaction=Listing.MapPropertyInteractive&amp;ListingID=19416095&amp;resize=true&amp;windowWidth=800&amp;windowHeight=600","Map")</f>
        <v>Map</v>
      </c>
      <c r="O489" s="2" t="str">
        <f>HYPERLINK("http://www.windermere.com/index.cfm?fuseaction=Listing.MultiImageViewer&amp;ListingID=19416095&amp;ln=28032560&amp;pub_mls=1","More")</f>
        <v>More</v>
      </c>
      <c r="P489" t="s">
        <v>44</v>
      </c>
      <c r="AI489" t="s">
        <v>66</v>
      </c>
      <c r="AJ489">
        <v>98115</v>
      </c>
      <c r="AS489" t="s">
        <v>1501</v>
      </c>
      <c r="AT489">
        <v>19416095</v>
      </c>
      <c r="AU489" s="7">
        <v>39503</v>
      </c>
      <c r="BB489" t="s">
        <v>912</v>
      </c>
    </row>
    <row r="490" spans="1:58" hidden="1">
      <c r="A490">
        <v>28030136</v>
      </c>
      <c r="B490" s="2" t="str">
        <f>HYPERLINK("http://www.windermere.com/index.cfm?fuseaction=Listing.ListingDetail&amp;ListingID=19420266","Active")</f>
        <v>Active</v>
      </c>
      <c r="D490" t="s">
        <v>190</v>
      </c>
      <c r="E490" t="s">
        <v>1502</v>
      </c>
      <c r="F490" s="10">
        <v>499950</v>
      </c>
      <c r="G490" t="s">
        <v>394</v>
      </c>
      <c r="H490" s="1">
        <v>2010</v>
      </c>
      <c r="I490">
        <v>3153</v>
      </c>
      <c r="J490">
        <v>4</v>
      </c>
      <c r="K490">
        <v>1.75</v>
      </c>
      <c r="M490" s="2" t="str">
        <f>HYPERLINK("http://www.windermere.com/index.cfm?fuseaction=Listing.MapPropertyInteractive&amp;ListingID=19420266&amp;resize=true&amp;windowWidth=800&amp;windowHeight=600","Map")</f>
        <v>Map</v>
      </c>
      <c r="O490" s="2" t="str">
        <f>HYPERLINK("http://www.windermere.com/index.cfm?fuseaction=viewGallery.Home&amp;customTourID=207859&amp;wvt=0","More")</f>
        <v>More</v>
      </c>
      <c r="AI490" t="s">
        <v>66</v>
      </c>
      <c r="AJ490">
        <v>98115</v>
      </c>
      <c r="AS490" t="s">
        <v>1503</v>
      </c>
      <c r="AT490">
        <v>19420266</v>
      </c>
      <c r="AU490" s="7">
        <v>39503</v>
      </c>
      <c r="BB490" t="s">
        <v>912</v>
      </c>
    </row>
    <row r="491" spans="1:58" hidden="1">
      <c r="A491">
        <v>28032855</v>
      </c>
      <c r="B491" s="2" t="str">
        <f>HYPERLINK("http://www.windermere.com/index.cfm?fuseaction=Listing.ListingDetail&amp;ListingID=19419027","Active")</f>
        <v>Active</v>
      </c>
      <c r="D491" t="s">
        <v>63</v>
      </c>
      <c r="E491" t="s">
        <v>1504</v>
      </c>
      <c r="F491" s="10">
        <v>549500</v>
      </c>
      <c r="G491" t="s">
        <v>180</v>
      </c>
      <c r="H491" s="1">
        <v>2610</v>
      </c>
      <c r="I491">
        <v>5000</v>
      </c>
      <c r="J491">
        <v>5</v>
      </c>
      <c r="K491">
        <v>1.75</v>
      </c>
      <c r="M491" s="2" t="str">
        <f>HYPERLINK("http://www.windermere.com/index.cfm?fuseaction=Listing.MapPropertyInteractive&amp;ListingID=19419027&amp;resize=true&amp;windowWidth=800&amp;windowHeight=600","Map")</f>
        <v>Map</v>
      </c>
      <c r="O491" s="2" t="str">
        <f>HYPERLINK("http://www.windermere.com/index.cfm?fuseaction=Listing.MultiImageViewer&amp;ListingID=19419027&amp;ln=28032855&amp;pub_mls=1","More")</f>
        <v>More</v>
      </c>
      <c r="AI491" t="s">
        <v>66</v>
      </c>
      <c r="AJ491">
        <v>98117</v>
      </c>
      <c r="AS491" t="s">
        <v>1505</v>
      </c>
      <c r="AT491">
        <v>19419027</v>
      </c>
      <c r="AU491" s="7">
        <v>39503</v>
      </c>
      <c r="BB491" t="s">
        <v>912</v>
      </c>
    </row>
    <row r="492" spans="1:58" hidden="1">
      <c r="A492">
        <v>28032356</v>
      </c>
      <c r="B492" s="2" t="str">
        <f>HYPERLINK("http://www.windermere.com/index.cfm?fuseaction=Listing.ListingDetail&amp;ListingID=19416193","Active")</f>
        <v>Active</v>
      </c>
      <c r="D492" t="s">
        <v>88</v>
      </c>
      <c r="E492" t="s">
        <v>1506</v>
      </c>
      <c r="F492" s="10">
        <v>634500</v>
      </c>
      <c r="G492" t="s">
        <v>135</v>
      </c>
      <c r="H492" s="1">
        <v>2960</v>
      </c>
      <c r="I492">
        <v>4680</v>
      </c>
      <c r="J492">
        <v>4</v>
      </c>
      <c r="K492">
        <v>2</v>
      </c>
      <c r="M492" s="2" t="str">
        <f>HYPERLINK("http://www.windermere.com/index.cfm?fuseaction=Listing.MapPropertyInteractive&amp;ListingID=19416193&amp;resize=true&amp;windowWidth=800&amp;windowHeight=600","Map")</f>
        <v>Map</v>
      </c>
      <c r="O492" s="2" t="str">
        <f>HYPERLINK("http://www.windermere.com/index.cfm?fuseaction=Listing.MultiImageViewer&amp;ListingID=19416193&amp;ln=28032356&amp;pub_mls=1","More")</f>
        <v>More</v>
      </c>
      <c r="AI492" t="s">
        <v>66</v>
      </c>
      <c r="AJ492">
        <v>98117</v>
      </c>
      <c r="AS492" t="s">
        <v>1507</v>
      </c>
      <c r="AT492">
        <v>19416193</v>
      </c>
      <c r="AU492" s="7">
        <v>39503</v>
      </c>
      <c r="BB492" t="s">
        <v>912</v>
      </c>
    </row>
    <row r="493" spans="1:58" hidden="1">
      <c r="A493">
        <v>28034263</v>
      </c>
      <c r="B493" s="2" t="str">
        <f>HYPERLINK("http://www.windermere.com/index.cfm?fuseaction=Listing.ListingDetail&amp;ListingID=19449307","Active")</f>
        <v>Active</v>
      </c>
      <c r="D493" t="s">
        <v>55</v>
      </c>
      <c r="E493" t="s">
        <v>1508</v>
      </c>
      <c r="F493" s="10">
        <v>344950</v>
      </c>
      <c r="G493" t="s">
        <v>247</v>
      </c>
      <c r="H493" s="1">
        <v>1320</v>
      </c>
      <c r="J493">
        <v>2</v>
      </c>
      <c r="K493">
        <v>2.5</v>
      </c>
      <c r="M493" s="2" t="str">
        <f>HYPERLINK("http://www.windermere.com/index.cfm?fuseaction=Listing.MapPropertyInteractive&amp;ListingID=19449307&amp;resize=true&amp;windowWidth=800&amp;windowHeight=600","Map")</f>
        <v>Map</v>
      </c>
      <c r="P493" t="s">
        <v>44</v>
      </c>
      <c r="AI493" t="s">
        <v>66</v>
      </c>
      <c r="AJ493">
        <v>98133</v>
      </c>
      <c r="AS493" t="s">
        <v>1509</v>
      </c>
      <c r="AT493">
        <v>19449307</v>
      </c>
      <c r="AU493" s="7">
        <v>39505</v>
      </c>
      <c r="BB493" t="s">
        <v>912</v>
      </c>
    </row>
    <row r="494" spans="1:58" hidden="1">
      <c r="A494">
        <v>28033800</v>
      </c>
      <c r="B494" s="2" t="str">
        <f>HYPERLINK("http://www.windermere.com/index.cfm?fuseaction=Listing.ListingDetail&amp;ListingID=19444295","Active")</f>
        <v>Active</v>
      </c>
      <c r="D494" t="s">
        <v>63</v>
      </c>
      <c r="E494" t="s">
        <v>366</v>
      </c>
      <c r="F494" s="10">
        <v>360000</v>
      </c>
      <c r="G494" t="s">
        <v>134</v>
      </c>
      <c r="H494">
        <v>980</v>
      </c>
      <c r="I494">
        <v>3200</v>
      </c>
      <c r="J494">
        <v>2</v>
      </c>
      <c r="K494">
        <v>1</v>
      </c>
      <c r="M494" s="2" t="str">
        <f>HYPERLINK("http://www.windermere.com/index.cfm?fuseaction=Listing.MapPropertyInteractive&amp;ListingID=19444295&amp;resize=true&amp;windowWidth=800&amp;windowHeight=600","Map")</f>
        <v>Map</v>
      </c>
      <c r="O494" s="2" t="str">
        <f>HYPERLINK("http://www.windermere.com/index.cfm?fuseaction=Listing.MultiImageViewer&amp;ListingID=19444295&amp;ln=28033800&amp;pub_mls=1","More")</f>
        <v>More</v>
      </c>
      <c r="AI494" t="s">
        <v>66</v>
      </c>
      <c r="AJ494">
        <v>98117</v>
      </c>
      <c r="AS494" t="s">
        <v>1510</v>
      </c>
      <c r="AT494">
        <v>19444295</v>
      </c>
      <c r="AU494" s="7">
        <v>39505</v>
      </c>
      <c r="BB494" t="s">
        <v>912</v>
      </c>
    </row>
    <row r="495" spans="1:58">
      <c r="A495">
        <v>28033985</v>
      </c>
      <c r="B495" s="2" t="str">
        <f>HYPERLINK("http://www.windermere.com/index.cfm?fuseaction=Listing.ListingDetail&amp;ListingID=19447885","Active")</f>
        <v>Active</v>
      </c>
      <c r="D495" t="s">
        <v>63</v>
      </c>
      <c r="E495" t="s">
        <v>235</v>
      </c>
      <c r="F495" s="10">
        <v>375000</v>
      </c>
      <c r="G495" t="s">
        <v>124</v>
      </c>
      <c r="I495">
        <v>3000</v>
      </c>
      <c r="J495">
        <v>2</v>
      </c>
      <c r="K495">
        <v>1</v>
      </c>
      <c r="M495" s="2" t="str">
        <f>HYPERLINK("http://www.windermere.com/index.cfm?fuseaction=Listing.MapPropertyInteractive&amp;ListingID=19447885&amp;resize=true&amp;windowWidth=800&amp;windowHeight=600","Map")</f>
        <v>Map</v>
      </c>
      <c r="O495" s="2" t="str">
        <f>HYPERLINK("http://www.windermere.com/index.cfm?fuseaction=Listing.MultiImageViewer&amp;ListingID=19447885&amp;ln=28033985&amp;pub_mls=1","More")</f>
        <v>More</v>
      </c>
      <c r="AI495" t="s">
        <v>66</v>
      </c>
      <c r="AJ495">
        <v>98117</v>
      </c>
      <c r="AS495" t="s">
        <v>1511</v>
      </c>
      <c r="AT495">
        <v>19447885</v>
      </c>
      <c r="AU495" s="7">
        <v>39505</v>
      </c>
      <c r="BB495" t="s">
        <v>912</v>
      </c>
      <c r="BD495" t="s">
        <v>1625</v>
      </c>
      <c r="BE495" t="s">
        <v>1629</v>
      </c>
      <c r="BF495" s="7">
        <v>39508</v>
      </c>
    </row>
    <row r="496" spans="1:58" hidden="1">
      <c r="A496">
        <v>28033526</v>
      </c>
      <c r="B496" s="2" t="str">
        <f>HYPERLINK("http://www.windermere.com/index.cfm?fuseaction=Listing.ListingDetail&amp;ListingID=19444687","Active")</f>
        <v>Active</v>
      </c>
      <c r="D496" t="s">
        <v>88</v>
      </c>
      <c r="E496" t="s">
        <v>1512</v>
      </c>
      <c r="F496" s="10">
        <v>379000</v>
      </c>
      <c r="G496" t="s">
        <v>135</v>
      </c>
      <c r="H496" s="1">
        <v>1010</v>
      </c>
      <c r="I496">
        <v>3800</v>
      </c>
      <c r="J496">
        <v>2</v>
      </c>
      <c r="K496">
        <v>1</v>
      </c>
      <c r="M496" s="2" t="str">
        <f>HYPERLINK("http://www.windermere.com/index.cfm?fuseaction=Listing.MapPropertyInteractive&amp;ListingID=19444687&amp;resize=true&amp;windowWidth=800&amp;windowHeight=600","Map")</f>
        <v>Map</v>
      </c>
      <c r="O496" s="2" t="str">
        <f>HYPERLINK("http://www.windermere.com/index.cfm?fuseaction=Listing.MultiImageViewer&amp;ListingID=19444687&amp;ln=28033526&amp;pub_mls=1","More")</f>
        <v>More</v>
      </c>
      <c r="P496" t="s">
        <v>44</v>
      </c>
      <c r="AI496" t="s">
        <v>66</v>
      </c>
      <c r="AJ496">
        <v>98107</v>
      </c>
      <c r="AS496" t="s">
        <v>1513</v>
      </c>
      <c r="AT496">
        <v>19444687</v>
      </c>
      <c r="AU496" s="7">
        <v>39505</v>
      </c>
      <c r="BB496" t="s">
        <v>912</v>
      </c>
    </row>
    <row r="497" spans="1:58" hidden="1">
      <c r="A497">
        <v>28033639</v>
      </c>
      <c r="B497" s="2" t="str">
        <f>HYPERLINK("http://www.windermere.com/index.cfm?fuseaction=Listing.ListingDetail&amp;ListingID=19443392","Active")</f>
        <v>Active</v>
      </c>
      <c r="D497" t="s">
        <v>55</v>
      </c>
      <c r="E497" t="s">
        <v>1514</v>
      </c>
      <c r="F497" s="10">
        <v>379000</v>
      </c>
      <c r="G497" t="s">
        <v>1515</v>
      </c>
      <c r="H497" s="1">
        <v>1860</v>
      </c>
      <c r="I497">
        <v>3762</v>
      </c>
      <c r="J497">
        <v>4</v>
      </c>
      <c r="K497">
        <v>3</v>
      </c>
      <c r="M497" s="2" t="str">
        <f>HYPERLINK("http://www.windermere.com/index.cfm?fuseaction=Listing.MapPropertyInteractive&amp;ListingID=19443392&amp;resize=true&amp;windowWidth=800&amp;windowHeight=600","Map")</f>
        <v>Map</v>
      </c>
      <c r="O497" s="2" t="str">
        <f>HYPERLINK("http://www.windermere.com/index.cfm?fuseaction=Listing.MultiImageViewer&amp;ListingID=19443392&amp;ln=28033639&amp;pub_mls=1","More")</f>
        <v>More</v>
      </c>
      <c r="AI497" t="s">
        <v>66</v>
      </c>
      <c r="AJ497">
        <v>98133</v>
      </c>
      <c r="AS497" t="s">
        <v>1516</v>
      </c>
      <c r="AT497">
        <v>19443392</v>
      </c>
      <c r="AU497" s="7">
        <v>39505</v>
      </c>
      <c r="BB497" t="s">
        <v>912</v>
      </c>
    </row>
    <row r="498" spans="1:58" hidden="1">
      <c r="A498">
        <v>28033169</v>
      </c>
      <c r="B498" s="2" t="str">
        <f>HYPERLINK("http://www.windermere.com/index.cfm?fuseaction=Listing.ListingDetail&amp;ListingID=19444689","Active")</f>
        <v>Active</v>
      </c>
      <c r="D498" t="s">
        <v>213</v>
      </c>
      <c r="E498" t="s">
        <v>1517</v>
      </c>
      <c r="F498" s="10">
        <v>399950</v>
      </c>
      <c r="G498" t="s">
        <v>132</v>
      </c>
      <c r="H498" s="1">
        <v>1630</v>
      </c>
      <c r="I498">
        <v>8146</v>
      </c>
      <c r="J498">
        <v>2</v>
      </c>
      <c r="K498">
        <v>1.5</v>
      </c>
      <c r="M498" s="2" t="str">
        <f>HYPERLINK("http://www.windermere.com/index.cfm?fuseaction=Listing.MapPropertyInteractive&amp;ListingID=19444689&amp;resize=true&amp;windowWidth=800&amp;windowHeight=600","Map")</f>
        <v>Map</v>
      </c>
      <c r="O498" s="2" t="str">
        <f>HYPERLINK("http://www.windermere.com/index.cfm?fuseaction=Listing.MultiImageViewer&amp;ListingID=19444689&amp;ln=28033169&amp;pub_mls=1","More")</f>
        <v>More</v>
      </c>
      <c r="P498" t="s">
        <v>44</v>
      </c>
      <c r="AI498" t="s">
        <v>66</v>
      </c>
      <c r="AJ498">
        <v>98125</v>
      </c>
      <c r="AS498" t="s">
        <v>1518</v>
      </c>
      <c r="AT498">
        <v>19444689</v>
      </c>
      <c r="AU498" s="7">
        <v>39505</v>
      </c>
      <c r="BB498" t="s">
        <v>912</v>
      </c>
    </row>
    <row r="499" spans="1:58" hidden="1">
      <c r="A499">
        <v>28034506</v>
      </c>
      <c r="B499" s="2" t="str">
        <f>HYPERLINK("http://www.windermere.com/index.cfm?fuseaction=Listing.ListingDetail&amp;ListingID=19449958","Active")</f>
        <v>Active</v>
      </c>
      <c r="D499" t="s">
        <v>218</v>
      </c>
      <c r="E499" t="s">
        <v>1519</v>
      </c>
      <c r="F499" s="10">
        <v>400000</v>
      </c>
      <c r="G499" t="s">
        <v>132</v>
      </c>
      <c r="I499">
        <v>4156</v>
      </c>
      <c r="J499">
        <v>3</v>
      </c>
      <c r="K499">
        <v>1</v>
      </c>
      <c r="M499" s="2" t="str">
        <f>HYPERLINK("http://www.windermere.com/index.cfm?fuseaction=Listing.MapPropertyInteractive&amp;ListingID=19449958&amp;resize=true&amp;windowWidth=800&amp;windowHeight=600","Map")</f>
        <v>Map</v>
      </c>
      <c r="O499" s="2" t="str">
        <f>HYPERLINK("http://www.windermere.com/index.cfm?fuseaction=Listing.MultiImageViewer&amp;ListingID=19449958&amp;ln=28034506&amp;pub_mls=1","More")</f>
        <v>More</v>
      </c>
      <c r="AI499" t="s">
        <v>66</v>
      </c>
      <c r="AJ499">
        <v>98115</v>
      </c>
      <c r="AS499" t="s">
        <v>1520</v>
      </c>
      <c r="AT499">
        <v>19449958</v>
      </c>
      <c r="AU499" s="7">
        <v>39505</v>
      </c>
      <c r="BB499" t="s">
        <v>912</v>
      </c>
    </row>
    <row r="500" spans="1:58">
      <c r="A500">
        <v>28031818</v>
      </c>
      <c r="B500" s="2" t="str">
        <f>HYPERLINK("http://www.windermere.com/index.cfm?fuseaction=Listing.ListingDetail&amp;ListingID=19439266","Active")</f>
        <v>Active</v>
      </c>
      <c r="D500" t="s">
        <v>63</v>
      </c>
      <c r="E500" t="s">
        <v>1521</v>
      </c>
      <c r="F500" s="10">
        <v>400000</v>
      </c>
      <c r="G500" t="s">
        <v>181</v>
      </c>
      <c r="H500" s="1">
        <v>1809</v>
      </c>
      <c r="I500">
        <v>3915</v>
      </c>
      <c r="J500">
        <v>3</v>
      </c>
      <c r="K500">
        <v>2</v>
      </c>
      <c r="M500" s="2" t="str">
        <f>HYPERLINK("http://www.windermere.com/index.cfm?fuseaction=Listing.MapPropertyInteractive&amp;ListingID=19439266&amp;resize=true&amp;windowWidth=800&amp;windowHeight=600","Map")</f>
        <v>Map</v>
      </c>
      <c r="O500" s="2" t="str">
        <f>HYPERLINK("http://www.windermere.com/index.cfm?fuseaction=Listing.MultiImageViewer&amp;ListingID=19439266&amp;ln=28031818&amp;pub_mls=1","More")</f>
        <v>More</v>
      </c>
      <c r="P500" t="s">
        <v>44</v>
      </c>
      <c r="AI500" t="s">
        <v>66</v>
      </c>
      <c r="AJ500">
        <v>98107</v>
      </c>
      <c r="AS500" t="s">
        <v>1522</v>
      </c>
      <c r="AT500">
        <v>19439266</v>
      </c>
      <c r="AU500" s="7">
        <v>39505</v>
      </c>
      <c r="BB500" t="s">
        <v>912</v>
      </c>
      <c r="BD500" t="s">
        <v>1625</v>
      </c>
      <c r="BE500" t="s">
        <v>1626</v>
      </c>
      <c r="BF500" s="7">
        <v>39508</v>
      </c>
    </row>
    <row r="501" spans="1:58" hidden="1">
      <c r="A501">
        <v>28032668</v>
      </c>
      <c r="B501" s="2" t="str">
        <f>HYPERLINK("http://www.windermere.com/index.cfm?fuseaction=Listing.ListingDetail&amp;ListingID=19445556","Active")</f>
        <v>Active</v>
      </c>
      <c r="D501" t="s">
        <v>63</v>
      </c>
      <c r="E501" t="s">
        <v>1523</v>
      </c>
      <c r="F501" s="10">
        <v>425000</v>
      </c>
      <c r="G501" t="s">
        <v>172</v>
      </c>
      <c r="H501" s="1">
        <v>1590</v>
      </c>
      <c r="I501">
        <v>7000</v>
      </c>
      <c r="J501">
        <v>2</v>
      </c>
      <c r="K501">
        <v>1</v>
      </c>
      <c r="M501" s="2" t="str">
        <f>HYPERLINK("http://www.windermere.com/index.cfm?fuseaction=Listing.MapPropertyInteractive&amp;ListingID=19445556&amp;resize=true&amp;windowWidth=800&amp;windowHeight=600","Map")</f>
        <v>Map</v>
      </c>
      <c r="O501" s="2" t="str">
        <f>HYPERLINK("http://www.windermere.com/index.cfm?fuseaction=viewGallery.Home&amp;customTourID=208682&amp;wvt=0","More")</f>
        <v>More</v>
      </c>
      <c r="P501" t="s">
        <v>44</v>
      </c>
      <c r="AI501" t="s">
        <v>66</v>
      </c>
      <c r="AJ501">
        <v>98107</v>
      </c>
      <c r="AS501" t="s">
        <v>1524</v>
      </c>
      <c r="AT501">
        <v>19445556</v>
      </c>
      <c r="AU501" s="7">
        <v>39505</v>
      </c>
      <c r="BB501" t="s">
        <v>912</v>
      </c>
    </row>
    <row r="502" spans="1:58">
      <c r="A502">
        <v>28033328</v>
      </c>
      <c r="B502" s="2" t="str">
        <f>HYPERLINK("http://www.windermere.com/index.cfm?fuseaction=Listing.ListingDetail&amp;ListingID=19441098","Active")</f>
        <v>Active</v>
      </c>
      <c r="D502" t="s">
        <v>63</v>
      </c>
      <c r="E502" t="s">
        <v>1525</v>
      </c>
      <c r="F502" s="10">
        <v>439000</v>
      </c>
      <c r="G502" t="s">
        <v>172</v>
      </c>
      <c r="H502" s="1">
        <v>1480</v>
      </c>
      <c r="I502">
        <v>5000</v>
      </c>
      <c r="J502">
        <v>2</v>
      </c>
      <c r="K502">
        <v>1</v>
      </c>
      <c r="M502" s="2" t="str">
        <f>HYPERLINK("http://www.windermere.com/index.cfm?fuseaction=Listing.MapPropertyInteractive&amp;ListingID=19441098&amp;resize=true&amp;windowWidth=800&amp;windowHeight=600","Map")</f>
        <v>Map</v>
      </c>
      <c r="O502" s="2" t="str">
        <f>HYPERLINK("http://www.windermere.com/index.cfm?fuseaction=viewGallery.Home&amp;customTourID=208733&amp;wvt=0","More")</f>
        <v>More</v>
      </c>
      <c r="AI502" t="s">
        <v>66</v>
      </c>
      <c r="AJ502">
        <v>98107</v>
      </c>
      <c r="AS502" t="s">
        <v>1526</v>
      </c>
      <c r="AT502">
        <v>19441098</v>
      </c>
      <c r="AU502" s="7">
        <v>39505</v>
      </c>
      <c r="BB502" t="s">
        <v>912</v>
      </c>
      <c r="BD502" t="s">
        <v>1622</v>
      </c>
      <c r="BE502" t="s">
        <v>1624</v>
      </c>
      <c r="BF502" s="7">
        <v>39508</v>
      </c>
    </row>
    <row r="503" spans="1:58" hidden="1">
      <c r="A503">
        <v>28033433</v>
      </c>
      <c r="B503" s="2" t="str">
        <f>HYPERLINK("http://www.windermere.com/index.cfm?fuseaction=Listing.ListingDetail&amp;ListingID=19444419","Active")</f>
        <v>Active</v>
      </c>
      <c r="D503" t="s">
        <v>192</v>
      </c>
      <c r="E503" t="s">
        <v>1527</v>
      </c>
      <c r="F503" s="10">
        <v>445000</v>
      </c>
      <c r="G503" t="s">
        <v>161</v>
      </c>
      <c r="H503" s="1">
        <v>2240</v>
      </c>
      <c r="I503">
        <v>5400</v>
      </c>
      <c r="J503">
        <v>3</v>
      </c>
      <c r="K503">
        <v>1</v>
      </c>
      <c r="M503" s="2" t="str">
        <f>HYPERLINK("http://www.windermere.com/index.cfm?fuseaction=Listing.MapPropertyInteractive&amp;ListingID=19444419&amp;resize=true&amp;windowWidth=800&amp;windowHeight=600","Map")</f>
        <v>Map</v>
      </c>
      <c r="O503" s="2" t="str">
        <f>HYPERLINK("http://www.windermere.com/index.cfm?fuseaction=viewGallery.Home&amp;customTourID=208760&amp;wvt=0","More")</f>
        <v>More</v>
      </c>
      <c r="P503" t="s">
        <v>44</v>
      </c>
      <c r="AI503" t="s">
        <v>66</v>
      </c>
      <c r="AJ503">
        <v>98115</v>
      </c>
      <c r="AS503" t="s">
        <v>1528</v>
      </c>
      <c r="AT503">
        <v>19444419</v>
      </c>
      <c r="AU503" s="7">
        <v>39505</v>
      </c>
      <c r="BB503" t="s">
        <v>912</v>
      </c>
    </row>
    <row r="504" spans="1:58" hidden="1">
      <c r="A504">
        <v>28033698</v>
      </c>
      <c r="B504" s="2" t="str">
        <f>HYPERLINK("http://www.windermere.com/index.cfm?fuseaction=Listing.ListingDetail&amp;ListingID=19444422","Active")</f>
        <v>Active</v>
      </c>
      <c r="D504" t="s">
        <v>207</v>
      </c>
      <c r="E504" t="s">
        <v>1529</v>
      </c>
      <c r="F504" s="10">
        <v>450000</v>
      </c>
      <c r="G504" t="s">
        <v>227</v>
      </c>
      <c r="H504" s="1">
        <v>2200</v>
      </c>
      <c r="I504">
        <v>5000</v>
      </c>
      <c r="J504">
        <v>3</v>
      </c>
      <c r="K504">
        <v>1</v>
      </c>
      <c r="M504" s="2" t="str">
        <f>HYPERLINK("http://www.windermere.com/index.cfm?fuseaction=Listing.MapPropertyInteractive&amp;ListingID=19444422&amp;resize=true&amp;windowWidth=800&amp;windowHeight=600","Map")</f>
        <v>Map</v>
      </c>
      <c r="O504" s="2" t="str">
        <f>HYPERLINK("http://www.windermere.com/index.cfm?fuseaction=Listing.MultiImageViewer&amp;ListingID=19444422&amp;ln=28033698&amp;pub_mls=1","More")</f>
        <v>More</v>
      </c>
      <c r="P504" t="s">
        <v>44</v>
      </c>
      <c r="AI504" t="s">
        <v>66</v>
      </c>
      <c r="AJ504">
        <v>98105</v>
      </c>
      <c r="AS504" t="s">
        <v>1530</v>
      </c>
      <c r="AT504">
        <v>19444422</v>
      </c>
      <c r="AU504" s="7">
        <v>39505</v>
      </c>
      <c r="BB504" t="s">
        <v>912</v>
      </c>
    </row>
    <row r="505" spans="1:58" hidden="1">
      <c r="A505">
        <v>28032421</v>
      </c>
      <c r="B505" s="2" t="str">
        <f>HYPERLINK("http://www.windermere.com/index.cfm?fuseaction=Listing.ListingDetail&amp;ListingID=19439314","Active")</f>
        <v>Active</v>
      </c>
      <c r="D505" t="s">
        <v>192</v>
      </c>
      <c r="E505" t="s">
        <v>1531</v>
      </c>
      <c r="F505" s="10">
        <v>475000</v>
      </c>
      <c r="G505" t="s">
        <v>1137</v>
      </c>
      <c r="H505" s="1">
        <v>1610</v>
      </c>
      <c r="I505">
        <v>2550</v>
      </c>
      <c r="J505">
        <v>3</v>
      </c>
      <c r="K505">
        <v>1.75</v>
      </c>
      <c r="M505" s="2" t="str">
        <f>HYPERLINK("http://www.windermere.com/index.cfm?fuseaction=Listing.MapPropertyInteractive&amp;ListingID=19439314&amp;resize=true&amp;windowWidth=800&amp;windowHeight=600","Map")</f>
        <v>Map</v>
      </c>
      <c r="O505" s="2" t="str">
        <f>HYPERLINK("http://www.windermere.com/index.cfm?fuseaction=Listing.MultiImageViewer&amp;ListingID=19439314&amp;ln=28032421&amp;pub_mls=1","More")</f>
        <v>More</v>
      </c>
      <c r="P505" t="s">
        <v>44</v>
      </c>
      <c r="AI505" t="s">
        <v>66</v>
      </c>
      <c r="AJ505">
        <v>98115</v>
      </c>
      <c r="AS505" t="s">
        <v>1532</v>
      </c>
      <c r="AT505">
        <v>19439314</v>
      </c>
      <c r="AU505" s="7">
        <v>39505</v>
      </c>
      <c r="BB505" t="s">
        <v>912</v>
      </c>
    </row>
    <row r="506" spans="1:58" hidden="1">
      <c r="A506">
        <v>28032145</v>
      </c>
      <c r="B506" s="2" t="str">
        <f>HYPERLINK("http://www.windermere.com/index.cfm?fuseaction=Listing.ListingDetail&amp;ListingID=19443385","Active")</f>
        <v>Active</v>
      </c>
      <c r="D506" t="s">
        <v>55</v>
      </c>
      <c r="E506" t="s">
        <v>1533</v>
      </c>
      <c r="F506" s="10">
        <v>475000</v>
      </c>
      <c r="G506" t="s">
        <v>394</v>
      </c>
      <c r="H506" s="1">
        <v>1640</v>
      </c>
      <c r="I506">
        <v>3790</v>
      </c>
      <c r="J506">
        <v>3</v>
      </c>
      <c r="K506">
        <v>1</v>
      </c>
      <c r="M506" s="2" t="str">
        <f>HYPERLINK("http://www.windermere.com/index.cfm?fuseaction=Listing.MapPropertyInteractive&amp;ListingID=19443385&amp;resize=true&amp;windowWidth=800&amp;windowHeight=600","Map")</f>
        <v>Map</v>
      </c>
      <c r="O506" s="2" t="str">
        <f>HYPERLINK("http://www.windermere.com/index.cfm?fuseaction=Listing.MultiImageViewer&amp;ListingID=19443385&amp;ln=28032145&amp;pub_mls=1","More")</f>
        <v>More</v>
      </c>
      <c r="P506" t="s">
        <v>44</v>
      </c>
      <c r="AI506" t="s">
        <v>66</v>
      </c>
      <c r="AJ506">
        <v>98103</v>
      </c>
      <c r="AS506" t="s">
        <v>1534</v>
      </c>
      <c r="AT506">
        <v>19443385</v>
      </c>
      <c r="AU506" s="7">
        <v>39505</v>
      </c>
      <c r="BB506" t="s">
        <v>912</v>
      </c>
    </row>
    <row r="507" spans="1:58" hidden="1">
      <c r="A507">
        <v>28033762</v>
      </c>
      <c r="B507" s="2" t="str">
        <f>HYPERLINK("http://www.windermere.com/index.cfm?fuseaction=Listing.ListingDetail&amp;ListingID=19444303","Active")</f>
        <v>Active</v>
      </c>
      <c r="D507" t="s">
        <v>99</v>
      </c>
      <c r="E507" t="s">
        <v>269</v>
      </c>
      <c r="F507" s="10">
        <v>489500</v>
      </c>
      <c r="G507" t="s">
        <v>138</v>
      </c>
      <c r="H507" s="1">
        <v>1980</v>
      </c>
      <c r="I507">
        <v>8538</v>
      </c>
      <c r="J507">
        <v>3</v>
      </c>
      <c r="K507">
        <v>2</v>
      </c>
      <c r="M507" s="2" t="str">
        <f>HYPERLINK("http://www.windermere.com/index.cfm?fuseaction=Listing.MapPropertyInteractive&amp;ListingID=19444303&amp;resize=true&amp;windowWidth=800&amp;windowHeight=600","Map")</f>
        <v>Map</v>
      </c>
      <c r="O507" s="2" t="str">
        <f>HYPERLINK("http://www.windermere.com/index.cfm?fuseaction=Listing.MultiImageViewer&amp;ListingID=19444303&amp;ln=28033762&amp;pub_mls=1","More")</f>
        <v>More</v>
      </c>
      <c r="P507" t="s">
        <v>44</v>
      </c>
      <c r="AI507" t="s">
        <v>66</v>
      </c>
      <c r="AJ507">
        <v>98117</v>
      </c>
      <c r="AS507" t="s">
        <v>1535</v>
      </c>
      <c r="AT507">
        <v>19444303</v>
      </c>
      <c r="AU507" s="7">
        <v>39505</v>
      </c>
      <c r="BB507" t="s">
        <v>912</v>
      </c>
    </row>
    <row r="508" spans="1:58" hidden="1">
      <c r="A508">
        <v>28033947</v>
      </c>
      <c r="B508" s="2" t="str">
        <f>HYPERLINK("http://www.windermere.com/index.cfm?fuseaction=Listing.ListingDetail&amp;ListingID=19447251","Active")</f>
        <v>Active</v>
      </c>
      <c r="D508" t="s">
        <v>60</v>
      </c>
      <c r="E508" t="s">
        <v>1536</v>
      </c>
      <c r="F508" s="10">
        <v>499950</v>
      </c>
      <c r="G508" t="s">
        <v>135</v>
      </c>
      <c r="H508" s="1">
        <v>1540</v>
      </c>
      <c r="I508">
        <v>4284</v>
      </c>
      <c r="J508">
        <v>3</v>
      </c>
      <c r="K508">
        <v>1.75</v>
      </c>
      <c r="M508" s="2" t="str">
        <f>HYPERLINK("http://www.windermere.com/index.cfm?fuseaction=Listing.MapPropertyInteractive&amp;ListingID=19447251&amp;resize=true&amp;windowWidth=800&amp;windowHeight=600","Map")</f>
        <v>Map</v>
      </c>
      <c r="O508" s="2" t="str">
        <f>HYPERLINK("http://www.windermere.com/index.cfm?fuseaction=Listing.MultiImageViewer&amp;ListingID=19447251&amp;ln=28033947&amp;pub_mls=1","More")</f>
        <v>More</v>
      </c>
      <c r="AI508" t="s">
        <v>66</v>
      </c>
      <c r="AJ508">
        <v>98105</v>
      </c>
      <c r="AS508" t="s">
        <v>1537</v>
      </c>
      <c r="AT508">
        <v>19447251</v>
      </c>
      <c r="AU508" s="7">
        <v>39505</v>
      </c>
      <c r="BB508" t="s">
        <v>912</v>
      </c>
    </row>
    <row r="509" spans="1:58" hidden="1">
      <c r="A509">
        <v>27202179</v>
      </c>
      <c r="B509" s="2" t="str">
        <f>HYPERLINK("http://www.windermere.com/index.cfm?fuseaction=Listing.ListingDetail&amp;ListingID=18991194","Active")</f>
        <v>Active</v>
      </c>
      <c r="D509" t="s">
        <v>55</v>
      </c>
      <c r="E509" t="s">
        <v>1538</v>
      </c>
      <c r="F509" s="10">
        <v>499950</v>
      </c>
      <c r="G509" t="s">
        <v>147</v>
      </c>
      <c r="H509" s="1">
        <v>1840</v>
      </c>
      <c r="I509">
        <v>4340</v>
      </c>
      <c r="J509">
        <v>4</v>
      </c>
      <c r="K509">
        <v>2.5</v>
      </c>
      <c r="M509" s="2" t="str">
        <f>HYPERLINK("http://www.windermere.com/index.cfm?fuseaction=Listing.MapPropertyInteractive&amp;ListingID=18991194&amp;resize=true&amp;windowWidth=800&amp;windowHeight=600","Map")</f>
        <v>Map</v>
      </c>
      <c r="O509" s="2" t="str">
        <f>HYPERLINK("http://www.windermere.com/index.cfm?fuseaction=Listing.MultiImageViewer&amp;ListingID=18991194&amp;ln=27202179&amp;pub_mls=1","More")</f>
        <v>More</v>
      </c>
      <c r="AI509" t="s">
        <v>66</v>
      </c>
      <c r="AJ509">
        <v>98133</v>
      </c>
      <c r="AS509" t="s">
        <v>1539</v>
      </c>
      <c r="AT509">
        <v>18991194</v>
      </c>
      <c r="AU509" s="7">
        <v>39505</v>
      </c>
      <c r="BB509" t="s">
        <v>912</v>
      </c>
    </row>
    <row r="510" spans="1:58" hidden="1">
      <c r="A510">
        <v>28033954</v>
      </c>
      <c r="B510" s="2" t="str">
        <f>HYPERLINK("http://www.windermere.com/index.cfm?fuseaction=Listing.ListingDetail&amp;ListingID=19447573","Active")</f>
        <v>Active</v>
      </c>
      <c r="D510" t="s">
        <v>63</v>
      </c>
      <c r="E510" t="s">
        <v>1540</v>
      </c>
      <c r="F510" s="10">
        <v>549950</v>
      </c>
      <c r="G510" t="s">
        <v>142</v>
      </c>
      <c r="H510" s="1">
        <v>2260</v>
      </c>
      <c r="I510">
        <v>3638</v>
      </c>
      <c r="J510">
        <v>3</v>
      </c>
      <c r="K510">
        <v>1.75</v>
      </c>
      <c r="M510" s="2" t="str">
        <f>HYPERLINK("http://www.windermere.com/index.cfm?fuseaction=Listing.MapPropertyInteractive&amp;ListingID=19447573&amp;resize=true&amp;windowWidth=800&amp;windowHeight=600","Map")</f>
        <v>Map</v>
      </c>
      <c r="AI510" t="s">
        <v>66</v>
      </c>
      <c r="AJ510">
        <v>98117</v>
      </c>
      <c r="AS510" t="s">
        <v>1541</v>
      </c>
      <c r="AT510">
        <v>19447573</v>
      </c>
      <c r="AU510" s="7">
        <v>39505</v>
      </c>
      <c r="BB510" t="s">
        <v>912</v>
      </c>
    </row>
    <row r="511" spans="1:58" hidden="1">
      <c r="A511">
        <v>28033971</v>
      </c>
      <c r="B511" s="2" t="str">
        <f>HYPERLINK("http://www.windermere.com/index.cfm?fuseaction=Listing.ListingDetail&amp;ListingID=19448225","Active")</f>
        <v>Active</v>
      </c>
      <c r="D511" t="s">
        <v>88</v>
      </c>
      <c r="E511" t="s">
        <v>1261</v>
      </c>
      <c r="F511" s="10">
        <v>698500</v>
      </c>
      <c r="G511" t="s">
        <v>151</v>
      </c>
      <c r="H511" s="1">
        <v>2760</v>
      </c>
      <c r="I511">
        <v>4500</v>
      </c>
      <c r="J511">
        <v>2</v>
      </c>
      <c r="K511">
        <v>1.75</v>
      </c>
      <c r="M511" s="2" t="str">
        <f>HYPERLINK("http://www.windermere.com/index.cfm?fuseaction=Listing.MapPropertyInteractive&amp;ListingID=19448225&amp;resize=true&amp;windowWidth=800&amp;windowHeight=600","Map")</f>
        <v>Map</v>
      </c>
      <c r="O511" s="2" t="str">
        <f>HYPERLINK("http://www.windermere.com/index.cfm?fuseaction=viewGallery.Home&amp;customTourID=197820&amp;wvt=0","More")</f>
        <v>More</v>
      </c>
      <c r="P511" t="s">
        <v>44</v>
      </c>
      <c r="AI511" t="s">
        <v>66</v>
      </c>
      <c r="AJ511">
        <v>98117</v>
      </c>
      <c r="AS511" t="s">
        <v>1542</v>
      </c>
      <c r="AT511">
        <v>19448225</v>
      </c>
      <c r="AU511" s="7">
        <v>39505</v>
      </c>
      <c r="BB511" t="s">
        <v>912</v>
      </c>
    </row>
    <row r="512" spans="1:58" hidden="1">
      <c r="A512">
        <v>28032011</v>
      </c>
      <c r="B512" s="2" t="str">
        <f>HYPERLINK("http://www.windermere.com/index.cfm?fuseaction=Listing.ListingDetail&amp;ListingID=19445431","Active")</f>
        <v>Active</v>
      </c>
      <c r="D512" t="s">
        <v>63</v>
      </c>
      <c r="E512" t="s">
        <v>1543</v>
      </c>
      <c r="F512" s="10">
        <v>725000</v>
      </c>
      <c r="G512" t="s">
        <v>623</v>
      </c>
      <c r="I512">
        <v>5300</v>
      </c>
      <c r="J512">
        <v>4</v>
      </c>
      <c r="K512">
        <v>2</v>
      </c>
      <c r="M512" s="2" t="str">
        <f>HYPERLINK("http://www.windermere.com/index.cfm?fuseaction=Listing.MapPropertyInteractive&amp;ListingID=19445431&amp;resize=true&amp;windowWidth=800&amp;windowHeight=600","Map")</f>
        <v>Map</v>
      </c>
      <c r="O512" s="2" t="str">
        <f>HYPERLINK("http://www.windermere.com/index.cfm?fuseaction=viewGallery.Home&amp;customTourID=209263&amp;wvt=0","More")</f>
        <v>More</v>
      </c>
      <c r="P512" t="s">
        <v>44</v>
      </c>
      <c r="AI512" t="s">
        <v>66</v>
      </c>
      <c r="AJ512">
        <v>98117</v>
      </c>
      <c r="AS512" t="s">
        <v>1544</v>
      </c>
      <c r="AT512">
        <v>19445431</v>
      </c>
      <c r="AU512" s="7">
        <v>39505</v>
      </c>
      <c r="BB512" t="s">
        <v>912</v>
      </c>
    </row>
    <row r="513" spans="1:54" hidden="1">
      <c r="A513">
        <v>28033385</v>
      </c>
      <c r="B513" s="2" t="str">
        <f>HYPERLINK("http://www.windermere.com/index.cfm?fuseaction=Listing.ListingDetail&amp;ListingID=19441832","Active")</f>
        <v>Active</v>
      </c>
      <c r="D513" t="s">
        <v>101</v>
      </c>
      <c r="E513" t="s">
        <v>1291</v>
      </c>
      <c r="F513" s="10">
        <v>949000</v>
      </c>
      <c r="G513" t="s">
        <v>171</v>
      </c>
      <c r="H513" s="1">
        <v>3900</v>
      </c>
      <c r="I513">
        <v>12635</v>
      </c>
      <c r="J513">
        <v>4</v>
      </c>
      <c r="K513">
        <v>3</v>
      </c>
      <c r="M513" s="2" t="str">
        <f>HYPERLINK("http://www.windermere.com/index.cfm?fuseaction=Listing.MapPropertyInteractive&amp;ListingID=19441832&amp;resize=true&amp;windowWidth=800&amp;windowHeight=600","Map")</f>
        <v>Map</v>
      </c>
      <c r="O513" s="2" t="str">
        <f>HYPERLINK("http://www.windermere.com/index.cfm?fuseaction=Listing.MultiImageViewer&amp;ListingID=19441832&amp;ln=28033385&amp;pub_mls=1","More")</f>
        <v>More</v>
      </c>
      <c r="P513" t="s">
        <v>44</v>
      </c>
      <c r="AI513" t="s">
        <v>66</v>
      </c>
      <c r="AJ513">
        <v>98117</v>
      </c>
      <c r="AS513" t="s">
        <v>1545</v>
      </c>
      <c r="AT513">
        <v>19441832</v>
      </c>
      <c r="AU513" s="7">
        <v>39505</v>
      </c>
      <c r="BB513" t="s">
        <v>912</v>
      </c>
    </row>
    <row r="514" spans="1:54" hidden="1">
      <c r="A514">
        <v>28034656</v>
      </c>
      <c r="B514" s="2" t="str">
        <f>HYPERLINK("http://www.windermere.com/index.cfm?fuseaction=Listing.ListingDetail&amp;ListingID=19453125","Active")</f>
        <v>Active</v>
      </c>
      <c r="D514" t="s">
        <v>42</v>
      </c>
      <c r="E514" t="s">
        <v>1546</v>
      </c>
      <c r="F514" s="10">
        <v>375000</v>
      </c>
      <c r="G514" t="s">
        <v>168</v>
      </c>
      <c r="H514" s="1">
        <v>1150</v>
      </c>
      <c r="I514">
        <v>6000</v>
      </c>
      <c r="J514">
        <v>3</v>
      </c>
      <c r="K514">
        <v>1</v>
      </c>
      <c r="M514" s="2" t="str">
        <f>HYPERLINK("http://www.windermere.com/index.cfm?fuseaction=Listing.MapPropertyInteractive&amp;ListingID=19453125&amp;resize=true&amp;windowWidth=800&amp;windowHeight=600","Map")</f>
        <v>Map</v>
      </c>
      <c r="O514" s="2" t="str">
        <f>HYPERLINK("http://www.windermere.com/index.cfm?fuseaction=Listing.MultiImageViewer&amp;ListingID=19453125&amp;ln=28034656&amp;pub_mls=1","More")</f>
        <v>More</v>
      </c>
      <c r="P514" t="s">
        <v>44</v>
      </c>
      <c r="AI514" t="s">
        <v>66</v>
      </c>
      <c r="AJ514">
        <v>98133</v>
      </c>
      <c r="AS514" t="s">
        <v>1547</v>
      </c>
      <c r="AT514">
        <v>19453125</v>
      </c>
      <c r="AU514" s="7">
        <v>39506</v>
      </c>
      <c r="BB514" t="s">
        <v>912</v>
      </c>
    </row>
    <row r="515" spans="1:54" hidden="1">
      <c r="A515">
        <v>28030887</v>
      </c>
      <c r="B515" s="2" t="str">
        <f>HYPERLINK("http://www.windermere.com/index.cfm?fuseaction=Listing.ListingDetail&amp;ListingID=19451207","Active")</f>
        <v>Active</v>
      </c>
      <c r="D515" t="s">
        <v>99</v>
      </c>
      <c r="E515" t="s">
        <v>1549</v>
      </c>
      <c r="F515" s="10">
        <v>412000</v>
      </c>
      <c r="G515" t="s">
        <v>144</v>
      </c>
      <c r="H515" s="1">
        <v>1510</v>
      </c>
      <c r="I515">
        <v>4960</v>
      </c>
      <c r="J515">
        <v>3</v>
      </c>
      <c r="K515">
        <v>1.75</v>
      </c>
      <c r="M515" s="2" t="str">
        <f>HYPERLINK("http://www.windermere.com/index.cfm?fuseaction=Listing.MapPropertyInteractive&amp;ListingID=19451207&amp;resize=true&amp;windowWidth=800&amp;windowHeight=600","Map")</f>
        <v>Map</v>
      </c>
      <c r="O515" s="2" t="str">
        <f>HYPERLINK("http://www.windermere.com/index.cfm?fuseaction=Listing.MultiImageViewer&amp;ListingID=19451207&amp;ln=28030887&amp;pub_mls=1","More")</f>
        <v>More</v>
      </c>
      <c r="P515" t="s">
        <v>44</v>
      </c>
      <c r="AI515" t="s">
        <v>66</v>
      </c>
      <c r="AJ515">
        <v>98117</v>
      </c>
      <c r="AS515" t="s">
        <v>1550</v>
      </c>
      <c r="AT515">
        <v>19451207</v>
      </c>
      <c r="AU515" s="7">
        <v>39506</v>
      </c>
      <c r="BB515" t="s">
        <v>912</v>
      </c>
    </row>
    <row r="516" spans="1:54" hidden="1">
      <c r="A516">
        <v>28034241</v>
      </c>
      <c r="B516" s="2" t="str">
        <f>HYPERLINK("http://www.windermere.com/index.cfm?fuseaction=Listing.ListingDetail&amp;ListingID=19452854","Active")</f>
        <v>Active</v>
      </c>
      <c r="D516" t="s">
        <v>60</v>
      </c>
      <c r="E516" t="s">
        <v>1551</v>
      </c>
      <c r="F516" s="10">
        <v>463500</v>
      </c>
      <c r="G516" t="s">
        <v>159</v>
      </c>
      <c r="H516" s="1">
        <v>1420</v>
      </c>
      <c r="I516">
        <v>3000</v>
      </c>
      <c r="J516">
        <v>2</v>
      </c>
      <c r="K516">
        <v>1</v>
      </c>
      <c r="M516" s="2" t="str">
        <f>HYPERLINK("http://www.windermere.com/index.cfm?fuseaction=Listing.MapPropertyInteractive&amp;ListingID=19452854&amp;resize=true&amp;windowWidth=800&amp;windowHeight=600","Map")</f>
        <v>Map</v>
      </c>
      <c r="O516" s="2" t="str">
        <f>HYPERLINK("http://www.windermere.com/index.cfm?fuseaction=Listing.MultiImageViewer&amp;ListingID=19452854&amp;ln=28034241&amp;pub_mls=1","More")</f>
        <v>More</v>
      </c>
      <c r="AI516" t="s">
        <v>66</v>
      </c>
      <c r="AJ516">
        <v>98103</v>
      </c>
      <c r="AS516" t="s">
        <v>1552</v>
      </c>
      <c r="AT516">
        <v>19452854</v>
      </c>
      <c r="AU516" s="7">
        <v>39506</v>
      </c>
      <c r="BB516" t="s">
        <v>912</v>
      </c>
    </row>
    <row r="517" spans="1:54" hidden="1">
      <c r="A517">
        <v>28035261</v>
      </c>
      <c r="B517" s="2" t="str">
        <f>HYPERLINK("http://www.windermere.com/index.cfm?fuseaction=Listing.ListingDetail&amp;ListingID=19456959","Active")</f>
        <v>Active</v>
      </c>
      <c r="D517" s="3" t="s">
        <v>207</v>
      </c>
      <c r="E517" t="s">
        <v>1553</v>
      </c>
      <c r="F517" s="10">
        <v>474800</v>
      </c>
      <c r="G517" t="s">
        <v>180</v>
      </c>
      <c r="H517" s="1">
        <v>2020</v>
      </c>
      <c r="I517">
        <v>3600</v>
      </c>
      <c r="J517">
        <v>2</v>
      </c>
      <c r="K517">
        <v>1</v>
      </c>
      <c r="M517" s="2" t="str">
        <f>HYPERLINK("http://www.windermere.com/index.cfm?fuseaction=Listing.MapPropertyInteractive&amp;ListingID=19456959&amp;resize=true&amp;windowWidth=800&amp;windowHeight=600","Map")</f>
        <v>Map</v>
      </c>
      <c r="O517" s="2" t="str">
        <f>HYPERLINK("http://www.windermere.com/index.cfm?fuseaction=Listing.MultiImageViewer&amp;ListingID=19456959&amp;ln=28035261&amp;pub_mls=1","More")</f>
        <v>More</v>
      </c>
      <c r="P517" t="s">
        <v>44</v>
      </c>
      <c r="AI517" t="s">
        <v>66</v>
      </c>
      <c r="AJ517">
        <v>98105</v>
      </c>
      <c r="AS517" t="s">
        <v>1554</v>
      </c>
      <c r="AT517">
        <v>19456959</v>
      </c>
      <c r="AU517" s="7">
        <v>39506</v>
      </c>
      <c r="BB517" t="s">
        <v>912</v>
      </c>
    </row>
    <row r="518" spans="1:54" hidden="1">
      <c r="A518">
        <v>28034689</v>
      </c>
      <c r="B518" s="2" t="str">
        <f>HYPERLINK("http://www.windermere.com/index.cfm?fuseaction=Listing.ListingDetail&amp;ListingID=19453226","Active")</f>
        <v>Active</v>
      </c>
      <c r="D518" t="s">
        <v>63</v>
      </c>
      <c r="E518" t="s">
        <v>1555</v>
      </c>
      <c r="F518" s="10">
        <v>479950</v>
      </c>
      <c r="G518" t="s">
        <v>147</v>
      </c>
      <c r="H518" s="1">
        <v>2219</v>
      </c>
      <c r="J518">
        <v>3</v>
      </c>
      <c r="K518">
        <v>2.5</v>
      </c>
      <c r="M518" s="2" t="str">
        <f>HYPERLINK("http://www.windermere.com/index.cfm?fuseaction=Listing.MapPropertyInteractive&amp;ListingID=19453226&amp;resize=true&amp;windowWidth=800&amp;windowHeight=600","Map")</f>
        <v>Map</v>
      </c>
      <c r="O518" s="2" t="str">
        <f>HYPERLINK("http://www.windermere.com/index.cfm?fuseaction=Listing.MultiImageViewer&amp;ListingID=19453226&amp;ln=28034689&amp;pub_mls=1","More")</f>
        <v>More</v>
      </c>
      <c r="P518" t="s">
        <v>44</v>
      </c>
      <c r="AI518" t="s">
        <v>66</v>
      </c>
      <c r="AJ518">
        <v>98107</v>
      </c>
      <c r="AS518" t="s">
        <v>1556</v>
      </c>
      <c r="AT518">
        <v>19453226</v>
      </c>
      <c r="AU518" s="7">
        <v>39506</v>
      </c>
      <c r="BB518" t="s">
        <v>912</v>
      </c>
    </row>
    <row r="519" spans="1:54" hidden="1">
      <c r="A519">
        <v>28034825</v>
      </c>
      <c r="B519" s="2" t="str">
        <f>HYPERLINK("http://www.windermere.com/index.cfm?fuseaction=Listing.ListingDetail&amp;ListingID=19453712","Active")</f>
        <v>Active</v>
      </c>
      <c r="D519" t="s">
        <v>60</v>
      </c>
      <c r="E519" t="s">
        <v>1557</v>
      </c>
      <c r="F519" s="10">
        <v>485000</v>
      </c>
      <c r="G519" t="s">
        <v>139</v>
      </c>
      <c r="I519">
        <v>6000</v>
      </c>
      <c r="J519">
        <v>2</v>
      </c>
      <c r="K519">
        <v>1</v>
      </c>
      <c r="M519" s="2" t="str">
        <f>HYPERLINK("http://www.windermere.com/index.cfm?fuseaction=Listing.MapPropertyInteractive&amp;ListingID=19453712&amp;resize=true&amp;windowWidth=800&amp;windowHeight=600","Map")</f>
        <v>Map</v>
      </c>
      <c r="AI519" t="s">
        <v>66</v>
      </c>
      <c r="AJ519">
        <v>98103</v>
      </c>
      <c r="AS519" t="s">
        <v>1558</v>
      </c>
      <c r="AT519">
        <v>19453712</v>
      </c>
      <c r="AU519" s="7">
        <v>39506</v>
      </c>
      <c r="BB519" t="s">
        <v>912</v>
      </c>
    </row>
    <row r="520" spans="1:54" hidden="1">
      <c r="A520">
        <v>28000815</v>
      </c>
      <c r="B520" s="2" t="str">
        <f>HYPERLINK("http://www.windermere.com/index.cfm?fuseaction=Listing.ListingDetail&amp;ListingID=19147713","Active")</f>
        <v>Active</v>
      </c>
      <c r="D520" t="s">
        <v>226</v>
      </c>
      <c r="E520" t="s">
        <v>1559</v>
      </c>
      <c r="F520" s="10">
        <v>499000</v>
      </c>
      <c r="G520" t="s">
        <v>147</v>
      </c>
      <c r="H520" s="1">
        <v>1803</v>
      </c>
      <c r="J520">
        <v>3</v>
      </c>
      <c r="K520">
        <v>2.5</v>
      </c>
      <c r="M520" s="2" t="str">
        <f>HYPERLINK("http://www.windermere.com/index.cfm?fuseaction=Listing.MapPropertyInteractive&amp;ListingID=19147713&amp;resize=true&amp;windowWidth=800&amp;windowHeight=600","Map")</f>
        <v>Map</v>
      </c>
      <c r="O520" s="2" t="str">
        <f>HYPERLINK("http://www.windermere.com/index.cfm?fuseaction=Listing.MultiImageViewer&amp;ListingID=19147713&amp;ln=28000815&amp;pub_mls=1","More")</f>
        <v>More</v>
      </c>
      <c r="P520" t="s">
        <v>44</v>
      </c>
      <c r="AI520" t="s">
        <v>66</v>
      </c>
      <c r="AJ520">
        <v>98105</v>
      </c>
      <c r="AS520" t="s">
        <v>1560</v>
      </c>
      <c r="AT520">
        <v>19147713</v>
      </c>
      <c r="AU520" s="7">
        <v>39506</v>
      </c>
      <c r="BB520" t="s">
        <v>912</v>
      </c>
    </row>
    <row r="521" spans="1:54" hidden="1">
      <c r="A521">
        <v>28012499</v>
      </c>
      <c r="B521" s="2" t="str">
        <f>HYPERLINK("http://www.windermere.com/index.cfm?fuseaction=Listing.ListingDetail&amp;ListingID=19254876","Active")</f>
        <v>Active</v>
      </c>
      <c r="D521" t="s">
        <v>226</v>
      </c>
      <c r="E521" t="s">
        <v>1561</v>
      </c>
      <c r="F521" s="10">
        <v>499000</v>
      </c>
      <c r="G521" t="s">
        <v>147</v>
      </c>
      <c r="H521" s="1">
        <v>1803</v>
      </c>
      <c r="J521">
        <v>3</v>
      </c>
      <c r="K521">
        <v>2.5</v>
      </c>
      <c r="M521" s="2" t="str">
        <f>HYPERLINK("http://www.windermere.com/index.cfm?fuseaction=Listing.MapPropertyInteractive&amp;ListingID=19254876&amp;resize=true&amp;windowWidth=800&amp;windowHeight=600","Map")</f>
        <v>Map</v>
      </c>
      <c r="O521" s="2" t="str">
        <f>HYPERLINK("http://www.windermere.com/index.cfm?fuseaction=Listing.MultiImageViewer&amp;ListingID=19254876&amp;ln=28012499&amp;pub_mls=1","More")</f>
        <v>More</v>
      </c>
      <c r="P521" t="s">
        <v>44</v>
      </c>
      <c r="AI521" t="s">
        <v>66</v>
      </c>
      <c r="AJ521">
        <v>98105</v>
      </c>
      <c r="AS521" t="s">
        <v>1562</v>
      </c>
      <c r="AT521">
        <v>19254876</v>
      </c>
      <c r="AU521" s="7">
        <v>39506</v>
      </c>
      <c r="BB521" t="s">
        <v>912</v>
      </c>
    </row>
    <row r="522" spans="1:54" hidden="1">
      <c r="A522">
        <v>28035809</v>
      </c>
      <c r="B522" s="2" t="str">
        <f>HYPERLINK("http://www.windermere.com/index.cfm?fuseaction=Listing.ListingDetail&amp;ListingID=19461946","Active")</f>
        <v>Active</v>
      </c>
      <c r="D522" t="s">
        <v>184</v>
      </c>
      <c r="E522" t="s">
        <v>1566</v>
      </c>
      <c r="F522" s="10">
        <v>325000</v>
      </c>
      <c r="G522" t="s">
        <v>164</v>
      </c>
      <c r="H522" s="1">
        <v>1820</v>
      </c>
      <c r="I522">
        <v>13750</v>
      </c>
      <c r="J522">
        <v>2</v>
      </c>
      <c r="K522">
        <v>1</v>
      </c>
      <c r="M522" s="2" t="str">
        <f>HYPERLINK("http://www.windermere.com/index.cfm?fuseaction=Listing.MapPropertyInteractive&amp;ListingID=19461946&amp;resize=true&amp;windowWidth=800&amp;windowHeight=600","Map")</f>
        <v>Map</v>
      </c>
      <c r="AI522" t="s">
        <v>66</v>
      </c>
      <c r="AJ522">
        <v>98125</v>
      </c>
      <c r="AS522" t="s">
        <v>1567</v>
      </c>
      <c r="AT522">
        <v>19461946</v>
      </c>
      <c r="AU522" s="7">
        <v>39507</v>
      </c>
      <c r="BB522" t="s">
        <v>912</v>
      </c>
    </row>
    <row r="523" spans="1:54" hidden="1">
      <c r="A523">
        <v>28033065</v>
      </c>
      <c r="B523" s="2" t="str">
        <f>HYPERLINK("http://www.windermere.com/index.cfm?fuseaction=Listing.ListingDetail&amp;ListingID=19461955","Active")</f>
        <v>Active</v>
      </c>
      <c r="D523" t="s">
        <v>968</v>
      </c>
      <c r="E523" t="s">
        <v>1568</v>
      </c>
      <c r="F523" s="10">
        <v>345000</v>
      </c>
      <c r="G523" t="s">
        <v>599</v>
      </c>
      <c r="H523" s="1">
        <v>1390</v>
      </c>
      <c r="I523">
        <v>1402</v>
      </c>
      <c r="J523">
        <v>3</v>
      </c>
      <c r="K523">
        <v>2.25</v>
      </c>
      <c r="M523" s="2" t="str">
        <f>HYPERLINK("http://www.windermere.com/index.cfm?fuseaction=Listing.MapPropertyInteractive&amp;ListingID=19461955&amp;resize=true&amp;windowWidth=800&amp;windowHeight=600","Map")</f>
        <v>Map</v>
      </c>
      <c r="O523" s="2" t="str">
        <f>HYPERLINK("http://www.windermere.com/index.cfm?fuseaction=viewGallery.Home&amp;customTourID=208989&amp;wvt=0","More")</f>
        <v>More</v>
      </c>
      <c r="P523" t="s">
        <v>44</v>
      </c>
      <c r="AI523" t="s">
        <v>66</v>
      </c>
      <c r="AJ523">
        <v>98125</v>
      </c>
      <c r="AS523" t="s">
        <v>1569</v>
      </c>
      <c r="AT523">
        <v>19461955</v>
      </c>
      <c r="AU523" s="7">
        <v>39507</v>
      </c>
      <c r="BB523" t="s">
        <v>912</v>
      </c>
    </row>
    <row r="524" spans="1:54" hidden="1">
      <c r="A524">
        <v>28035871</v>
      </c>
      <c r="B524" s="2" t="str">
        <f>HYPERLINK("http://www.windermere.com/index.cfm?fuseaction=Listing.ListingDetail&amp;ListingID=19461894","Active")</f>
        <v>Active</v>
      </c>
      <c r="D524" t="s">
        <v>184</v>
      </c>
      <c r="E524" t="s">
        <v>1570</v>
      </c>
      <c r="F524" s="10">
        <v>349888</v>
      </c>
      <c r="G524" t="s">
        <v>247</v>
      </c>
      <c r="H524" s="1">
        <v>1400</v>
      </c>
      <c r="J524">
        <v>3</v>
      </c>
      <c r="K524">
        <v>2</v>
      </c>
      <c r="M524" s="2" t="str">
        <f>HYPERLINK("http://www.windermere.com/index.cfm?fuseaction=Listing.MapPropertyInteractive&amp;ListingID=19461894&amp;resize=true&amp;windowWidth=800&amp;windowHeight=600","Map")</f>
        <v>Map</v>
      </c>
      <c r="O524" s="2" t="str">
        <f>HYPERLINK("http://www.windermere.com/index.cfm?fuseaction=Listing.MultiImageViewer&amp;ListingID=19461894&amp;ln=28035871&amp;pub_mls=1","More")</f>
        <v>More</v>
      </c>
      <c r="P524" t="s">
        <v>44</v>
      </c>
      <c r="AI524" t="s">
        <v>66</v>
      </c>
      <c r="AJ524">
        <v>98125</v>
      </c>
      <c r="AS524" t="s">
        <v>1571</v>
      </c>
      <c r="AT524">
        <v>19461894</v>
      </c>
      <c r="AU524" s="7">
        <v>39507</v>
      </c>
      <c r="BB524" t="s">
        <v>912</v>
      </c>
    </row>
    <row r="525" spans="1:54" hidden="1">
      <c r="A525">
        <v>28035328</v>
      </c>
      <c r="B525" s="2" t="str">
        <f>HYPERLINK("http://www.windermere.com/index.cfm?fuseaction=Listing.ListingDetail&amp;ListingID=19457484","Active")</f>
        <v>Active</v>
      </c>
      <c r="D525" t="s">
        <v>70</v>
      </c>
      <c r="E525" t="s">
        <v>1572</v>
      </c>
      <c r="F525" s="10">
        <v>369000</v>
      </c>
      <c r="G525" t="s">
        <v>674</v>
      </c>
      <c r="H525" s="1">
        <v>1620</v>
      </c>
      <c r="I525">
        <v>1543</v>
      </c>
      <c r="J525">
        <v>3</v>
      </c>
      <c r="K525">
        <v>2.25</v>
      </c>
      <c r="M525" s="2" t="str">
        <f>HYPERLINK("http://www.windermere.com/index.cfm?fuseaction=Listing.MapPropertyInteractive&amp;ListingID=19457484&amp;resize=true&amp;windowWidth=800&amp;windowHeight=600","Map")</f>
        <v>Map</v>
      </c>
      <c r="O525" s="2" t="str">
        <f>HYPERLINK("http://www.windermere.com/index.cfm?fuseaction=Listing.MultiImageViewer&amp;ListingID=19457484&amp;ln=28035328&amp;pub_mls=1","More")</f>
        <v>More</v>
      </c>
      <c r="P525" t="s">
        <v>44</v>
      </c>
      <c r="AI525" t="s">
        <v>66</v>
      </c>
      <c r="AJ525">
        <v>98122</v>
      </c>
      <c r="AS525" t="s">
        <v>1573</v>
      </c>
      <c r="AT525">
        <v>19457484</v>
      </c>
      <c r="AU525" s="7">
        <v>39507</v>
      </c>
      <c r="BB525" t="s">
        <v>912</v>
      </c>
    </row>
    <row r="526" spans="1:54" hidden="1">
      <c r="A526">
        <v>28036011</v>
      </c>
      <c r="B526" s="2" t="str">
        <f>HYPERLINK("http://www.windermere.com/index.cfm?fuseaction=Listing.ListingDetail&amp;ListingID=19463328","Active")</f>
        <v>Active</v>
      </c>
      <c r="D526" t="s">
        <v>63</v>
      </c>
      <c r="E526" t="s">
        <v>1574</v>
      </c>
      <c r="F526" s="10">
        <v>399000</v>
      </c>
      <c r="G526" t="s">
        <v>247</v>
      </c>
      <c r="H526" s="1">
        <v>1250</v>
      </c>
      <c r="J526">
        <v>3</v>
      </c>
      <c r="K526">
        <v>2.5</v>
      </c>
      <c r="M526" s="2" t="str">
        <f>HYPERLINK("http://www.windermere.com/index.cfm?fuseaction=Listing.MapPropertyInteractive&amp;ListingID=19463328&amp;resize=true&amp;windowWidth=800&amp;windowHeight=600","Map")</f>
        <v>Map</v>
      </c>
      <c r="O526" s="2" t="str">
        <f>HYPERLINK("http://www.windermere.com/index.cfm?fuseaction=Listing.MultiImageViewer&amp;ListingID=19463328&amp;ln=28036011&amp;pub_mls=1","More")</f>
        <v>More</v>
      </c>
      <c r="AI526" t="s">
        <v>66</v>
      </c>
      <c r="AJ526">
        <v>98107</v>
      </c>
      <c r="AS526" t="s">
        <v>1575</v>
      </c>
      <c r="AT526">
        <v>19463328</v>
      </c>
      <c r="AU526" s="7">
        <v>39507</v>
      </c>
      <c r="BB526" t="s">
        <v>912</v>
      </c>
    </row>
    <row r="527" spans="1:54" hidden="1">
      <c r="A527">
        <v>28034396</v>
      </c>
      <c r="B527" s="2" t="str">
        <f>HYPERLINK("http://www.windermere.com/index.cfm?fuseaction=Listing.ListingDetail&amp;ListingID=19461116","Active")</f>
        <v>Active</v>
      </c>
      <c r="D527" t="s">
        <v>188</v>
      </c>
      <c r="E527" t="s">
        <v>1576</v>
      </c>
      <c r="F527" s="10">
        <v>399950</v>
      </c>
      <c r="G527" t="s">
        <v>124</v>
      </c>
      <c r="H527" s="1">
        <v>1260</v>
      </c>
      <c r="I527">
        <v>7733</v>
      </c>
      <c r="J527">
        <v>3</v>
      </c>
      <c r="K527">
        <v>1</v>
      </c>
      <c r="M527" s="2" t="str">
        <f>HYPERLINK("http://www.windermere.com/index.cfm?fuseaction=Listing.MapPropertyInteractive&amp;ListingID=19461116&amp;resize=true&amp;windowWidth=800&amp;windowHeight=600","Map")</f>
        <v>Map</v>
      </c>
      <c r="O527" s="2" t="str">
        <f>HYPERLINK("http://www.windermere.com/index.cfm?fuseaction=Listing.MultiImageViewer&amp;ListingID=19461116&amp;ln=28034396&amp;pub_mls=1","More")</f>
        <v>More</v>
      </c>
      <c r="AI527" t="s">
        <v>66</v>
      </c>
      <c r="AJ527">
        <v>98125</v>
      </c>
      <c r="AS527" t="s">
        <v>1577</v>
      </c>
      <c r="AT527">
        <v>19461116</v>
      </c>
      <c r="AU527" s="7">
        <v>39507</v>
      </c>
      <c r="BB527" t="s">
        <v>912</v>
      </c>
    </row>
    <row r="528" spans="1:54" hidden="1">
      <c r="A528">
        <v>28032706</v>
      </c>
      <c r="B528" s="2" t="str">
        <f>HYPERLINK("http://www.windermere.com/index.cfm?fuseaction=Listing.ListingDetail&amp;ListingID=19460715","Active")</f>
        <v>Active</v>
      </c>
      <c r="D528" t="s">
        <v>63</v>
      </c>
      <c r="E528" t="s">
        <v>178</v>
      </c>
      <c r="F528" s="10">
        <v>420000</v>
      </c>
      <c r="G528" t="s">
        <v>179</v>
      </c>
      <c r="H528" s="1">
        <v>1650</v>
      </c>
      <c r="I528">
        <v>5117</v>
      </c>
      <c r="J528">
        <v>3</v>
      </c>
      <c r="K528">
        <v>1</v>
      </c>
      <c r="M528" s="2" t="str">
        <f>HYPERLINK("http://www.windermere.com/index.cfm?fuseaction=Listing.MapPropertyInteractive&amp;ListingID=19460715&amp;resize=true&amp;windowWidth=800&amp;windowHeight=600","Map")</f>
        <v>Map</v>
      </c>
      <c r="O528" s="2" t="str">
        <f>HYPERLINK("http://www.windermere.com/index.cfm?fuseaction=viewGallery.Home&amp;customTourID=208636&amp;wvt=0","More")</f>
        <v>More</v>
      </c>
      <c r="P528" t="s">
        <v>44</v>
      </c>
      <c r="AI528" t="s">
        <v>66</v>
      </c>
      <c r="AJ528">
        <v>98107</v>
      </c>
      <c r="AS528" t="s">
        <v>1578</v>
      </c>
      <c r="AT528">
        <v>19460715</v>
      </c>
      <c r="AU528" s="7">
        <v>39507</v>
      </c>
      <c r="BB528" t="s">
        <v>912</v>
      </c>
    </row>
    <row r="529" spans="1:58" hidden="1">
      <c r="A529">
        <v>28036056</v>
      </c>
      <c r="B529" s="2" t="str">
        <f>HYPERLINK("http://www.windermere.com/index.cfm?fuseaction=Listing.ListingDetail&amp;ListingID=19463575","Active")</f>
        <v>Active</v>
      </c>
      <c r="D529" t="s">
        <v>78</v>
      </c>
      <c r="E529" t="s">
        <v>1579</v>
      </c>
      <c r="F529" s="10">
        <v>436900</v>
      </c>
      <c r="G529" t="s">
        <v>129</v>
      </c>
      <c r="H529" s="1">
        <v>2040</v>
      </c>
      <c r="I529">
        <v>5100</v>
      </c>
      <c r="J529">
        <v>2</v>
      </c>
      <c r="K529">
        <v>1.25</v>
      </c>
      <c r="M529" s="2" t="str">
        <f>HYPERLINK("http://www.windermere.com/index.cfm?fuseaction=Listing.MapPropertyInteractive&amp;ListingID=19463575&amp;resize=true&amp;windowWidth=800&amp;windowHeight=600","Map")</f>
        <v>Map</v>
      </c>
      <c r="O529" s="2" t="str">
        <f>HYPERLINK("http://www.windermere.com/index.cfm?fuseaction=Listing.MultiImageViewer&amp;ListingID=19463575&amp;ln=28036056&amp;pub_mls=1","More")</f>
        <v>More</v>
      </c>
      <c r="AI529" t="s">
        <v>66</v>
      </c>
      <c r="AJ529">
        <v>98117</v>
      </c>
      <c r="AS529" t="s">
        <v>1580</v>
      </c>
      <c r="AT529">
        <v>19463575</v>
      </c>
      <c r="AU529" s="7">
        <v>39507</v>
      </c>
      <c r="BB529" t="s">
        <v>912</v>
      </c>
    </row>
    <row r="530" spans="1:58" hidden="1">
      <c r="A530">
        <v>28032650</v>
      </c>
      <c r="B530" s="2" t="str">
        <f>HYPERLINK("http://www.windermere.com/index.cfm?fuseaction=Listing.ListingDetail&amp;ListingID=19459409","Active")</f>
        <v>Active</v>
      </c>
      <c r="D530" t="s">
        <v>1130</v>
      </c>
      <c r="E530" t="s">
        <v>1581</v>
      </c>
      <c r="F530" s="10">
        <v>439950</v>
      </c>
      <c r="G530" t="s">
        <v>137</v>
      </c>
      <c r="H530" s="1">
        <v>1460</v>
      </c>
      <c r="I530">
        <v>9900</v>
      </c>
      <c r="J530">
        <v>3</v>
      </c>
      <c r="K530">
        <v>1</v>
      </c>
      <c r="M530" s="2" t="str">
        <f>HYPERLINK("http://www.windermere.com/index.cfm?fuseaction=Listing.MapPropertyInteractive&amp;ListingID=19459409&amp;resize=true&amp;windowWidth=800&amp;windowHeight=600","Map")</f>
        <v>Map</v>
      </c>
      <c r="O530" s="2" t="str">
        <f>HYPERLINK("http://www.windermere.com/index.cfm?fuseaction=Listing.MultiImageViewer&amp;ListingID=19459409&amp;ln=28032650&amp;pub_mls=1","More")</f>
        <v>More</v>
      </c>
      <c r="P530" t="s">
        <v>44</v>
      </c>
      <c r="AI530" t="s">
        <v>66</v>
      </c>
      <c r="AJ530">
        <v>98125</v>
      </c>
      <c r="AS530" t="s">
        <v>1582</v>
      </c>
      <c r="AT530">
        <v>19459409</v>
      </c>
      <c r="AU530" s="7">
        <v>39507</v>
      </c>
      <c r="BB530" t="s">
        <v>912</v>
      </c>
    </row>
    <row r="531" spans="1:58" hidden="1">
      <c r="A531">
        <v>28035641</v>
      </c>
      <c r="B531" s="2" t="str">
        <f>HYPERLINK("http://www.windermere.com/index.cfm?fuseaction=Listing.ListingDetail&amp;ListingID=19461123","Active")</f>
        <v>Active</v>
      </c>
      <c r="D531" t="s">
        <v>100</v>
      </c>
      <c r="E531" t="s">
        <v>1583</v>
      </c>
      <c r="F531" s="10">
        <v>449950</v>
      </c>
      <c r="G531" t="s">
        <v>147</v>
      </c>
      <c r="H531" s="1">
        <v>1350</v>
      </c>
      <c r="J531">
        <v>3</v>
      </c>
      <c r="K531">
        <v>2.25</v>
      </c>
      <c r="M531" s="2" t="str">
        <f>HYPERLINK("http://www.windermere.com/index.cfm?fuseaction=Listing.MapPropertyInteractive&amp;ListingID=19461123&amp;resize=true&amp;windowWidth=800&amp;windowHeight=600","Map")</f>
        <v>Map</v>
      </c>
      <c r="P531" t="s">
        <v>44</v>
      </c>
      <c r="AI531" t="s">
        <v>66</v>
      </c>
      <c r="AJ531">
        <v>98103</v>
      </c>
      <c r="AS531" t="s">
        <v>1584</v>
      </c>
      <c r="AT531">
        <v>19461123</v>
      </c>
      <c r="AU531" s="7">
        <v>39507</v>
      </c>
      <c r="BB531" t="s">
        <v>912</v>
      </c>
    </row>
    <row r="532" spans="1:58" hidden="1">
      <c r="A532">
        <v>28035778</v>
      </c>
      <c r="B532" s="2" t="str">
        <f>HYPERLINK("http://www.windermere.com/index.cfm?fuseaction=Listing.ListingDetail&amp;ListingID=19461700","Active")</f>
        <v>Active</v>
      </c>
      <c r="D532" t="s">
        <v>109</v>
      </c>
      <c r="E532" t="s">
        <v>1585</v>
      </c>
      <c r="F532" s="10">
        <v>449950</v>
      </c>
      <c r="G532" t="s">
        <v>147</v>
      </c>
      <c r="H532" s="1">
        <v>1357</v>
      </c>
      <c r="J532">
        <v>3</v>
      </c>
      <c r="K532">
        <v>2.25</v>
      </c>
      <c r="M532" s="2" t="str">
        <f>HYPERLINK("http://www.windermere.com/index.cfm?fuseaction=Listing.MapPropertyInteractive&amp;ListingID=19461700&amp;resize=true&amp;windowWidth=800&amp;windowHeight=600","Map")</f>
        <v>Map</v>
      </c>
      <c r="O532" s="2" t="str">
        <f>HYPERLINK("http://www.windermere.com/index.cfm?fuseaction=Listing.MultiImageViewer&amp;ListingID=19461700&amp;ln=28035778&amp;pub_mls=1","More")</f>
        <v>More</v>
      </c>
      <c r="AI532" t="s">
        <v>66</v>
      </c>
      <c r="AJ532">
        <v>98103</v>
      </c>
      <c r="AS532" t="s">
        <v>1586</v>
      </c>
      <c r="AT532">
        <v>19461700</v>
      </c>
      <c r="AU532" s="7">
        <v>39507</v>
      </c>
      <c r="BB532" t="s">
        <v>912</v>
      </c>
    </row>
    <row r="533" spans="1:58" hidden="1">
      <c r="A533">
        <v>27200079</v>
      </c>
      <c r="B533" s="2" t="str">
        <f>HYPERLINK("http://www.windermere.com/index.cfm?fuseaction=Listing.ListingDetail&amp;ListingID=18942170","Active")</f>
        <v>Active</v>
      </c>
      <c r="D533" t="s">
        <v>100</v>
      </c>
      <c r="E533" t="s">
        <v>1587</v>
      </c>
      <c r="F533" s="10">
        <v>459950</v>
      </c>
      <c r="G533" t="s">
        <v>147</v>
      </c>
      <c r="H533" s="1">
        <v>1434</v>
      </c>
      <c r="J533">
        <v>3</v>
      </c>
      <c r="K533">
        <v>2.25</v>
      </c>
      <c r="M533" s="2" t="str">
        <f>HYPERLINK("http://www.windermere.com/index.cfm?fuseaction=Listing.MapPropertyInteractive&amp;ListingID=18942170&amp;resize=true&amp;windowWidth=800&amp;windowHeight=600","Map")</f>
        <v>Map</v>
      </c>
      <c r="O533" s="2" t="str">
        <f>HYPERLINK("http://www.windermere.com/index.cfm?fuseaction=Listing.MultiImageViewer&amp;ListingID=18942170&amp;ln=27200079&amp;pub_mls=1","More")</f>
        <v>More</v>
      </c>
      <c r="P533" t="s">
        <v>44</v>
      </c>
      <c r="AI533" t="s">
        <v>66</v>
      </c>
      <c r="AJ533">
        <v>98103</v>
      </c>
      <c r="AS533" t="s">
        <v>1588</v>
      </c>
      <c r="AT533">
        <v>18942170</v>
      </c>
      <c r="AU533" s="7">
        <v>39507</v>
      </c>
      <c r="BB533" t="s">
        <v>912</v>
      </c>
    </row>
    <row r="534" spans="1:58" hidden="1">
      <c r="A534">
        <v>27194889</v>
      </c>
      <c r="B534" s="2" t="str">
        <f>HYPERLINK("http://www.windermere.com/index.cfm?fuseaction=Listing.ListingDetail&amp;ListingID=18892760","Active")</f>
        <v>Active</v>
      </c>
      <c r="D534" t="s">
        <v>100</v>
      </c>
      <c r="E534" t="s">
        <v>1589</v>
      </c>
      <c r="F534" s="10">
        <v>459950</v>
      </c>
      <c r="G534" t="s">
        <v>147</v>
      </c>
      <c r="H534" s="1">
        <v>1434</v>
      </c>
      <c r="J534">
        <v>3</v>
      </c>
      <c r="K534">
        <v>2.25</v>
      </c>
      <c r="M534" s="2" t="str">
        <f>HYPERLINK("http://www.windermere.com/index.cfm?fuseaction=Listing.MapPropertyInteractive&amp;ListingID=18892760&amp;resize=true&amp;windowWidth=800&amp;windowHeight=600","Map")</f>
        <v>Map</v>
      </c>
      <c r="O534" s="2" t="str">
        <f>HYPERLINK("http://www.windermere.com/index.cfm?fuseaction=Listing.MultiImageViewer&amp;ListingID=18892760&amp;ln=27194889&amp;pub_mls=1","More")</f>
        <v>More</v>
      </c>
      <c r="P534" t="s">
        <v>44</v>
      </c>
      <c r="AI534" t="s">
        <v>66</v>
      </c>
      <c r="AJ534">
        <v>98103</v>
      </c>
      <c r="AS534" t="s">
        <v>1590</v>
      </c>
      <c r="AT534">
        <v>18892760</v>
      </c>
      <c r="AU534" s="7">
        <v>39507</v>
      </c>
      <c r="BB534" t="s">
        <v>912</v>
      </c>
    </row>
    <row r="535" spans="1:58" hidden="1">
      <c r="A535">
        <v>28035672</v>
      </c>
      <c r="B535" s="2" t="str">
        <f>HYPERLINK("http://www.windermere.com/index.cfm?fuseaction=Listing.ListingDetail&amp;ListingID=19463894","Active")</f>
        <v>Active</v>
      </c>
      <c r="D535" t="s">
        <v>218</v>
      </c>
      <c r="E535" t="s">
        <v>1591</v>
      </c>
      <c r="F535" s="10">
        <v>462000</v>
      </c>
      <c r="G535" t="s">
        <v>878</v>
      </c>
      <c r="H535" s="1">
        <v>1700</v>
      </c>
      <c r="I535">
        <v>4731</v>
      </c>
      <c r="J535">
        <v>2</v>
      </c>
      <c r="K535">
        <v>1</v>
      </c>
      <c r="M535" s="2" t="str">
        <f>HYPERLINK("http://www.windermere.com/index.cfm?fuseaction=Listing.MapPropertyInteractive&amp;ListingID=19463894&amp;resize=true&amp;windowWidth=800&amp;windowHeight=600","Map")</f>
        <v>Map</v>
      </c>
      <c r="O535" s="2" t="str">
        <f>HYPERLINK("http://www.windermere.com/index.cfm?fuseaction=Listing.MultiImageViewer&amp;ListingID=19463894&amp;ln=28035672&amp;pub_mls=1","More")</f>
        <v>More</v>
      </c>
      <c r="P535" t="s">
        <v>44</v>
      </c>
      <c r="AI535" t="s">
        <v>66</v>
      </c>
      <c r="AJ535">
        <v>98105</v>
      </c>
      <c r="AS535" t="s">
        <v>1592</v>
      </c>
      <c r="AT535">
        <v>19463894</v>
      </c>
      <c r="AU535" s="7">
        <v>39507</v>
      </c>
      <c r="BB535" t="s">
        <v>912</v>
      </c>
    </row>
    <row r="536" spans="1:58" hidden="1">
      <c r="A536">
        <v>28035582</v>
      </c>
      <c r="B536" s="2" t="str">
        <f>HYPERLINK("http://www.windermere.com/index.cfm?fuseaction=Listing.ListingDetail&amp;ListingID=19460759","Active")</f>
        <v>Active</v>
      </c>
      <c r="D536" t="s">
        <v>109</v>
      </c>
      <c r="E536" t="s">
        <v>1593</v>
      </c>
      <c r="F536" s="10">
        <v>464950</v>
      </c>
      <c r="G536" t="s">
        <v>247</v>
      </c>
      <c r="J536">
        <v>3</v>
      </c>
      <c r="K536">
        <v>2.5</v>
      </c>
      <c r="M536" s="2" t="str">
        <f>HYPERLINK("http://www.windermere.com/index.cfm?fuseaction=Listing.MapPropertyInteractive&amp;ListingID=19460759&amp;resize=true&amp;windowWidth=800&amp;windowHeight=600","Map")</f>
        <v>Map</v>
      </c>
      <c r="P536" t="s">
        <v>44</v>
      </c>
      <c r="AI536" t="s">
        <v>66</v>
      </c>
      <c r="AJ536">
        <v>98103</v>
      </c>
      <c r="AS536" t="s">
        <v>1594</v>
      </c>
      <c r="AT536">
        <v>19460759</v>
      </c>
      <c r="AU536" s="7">
        <v>39507</v>
      </c>
      <c r="BB536" t="s">
        <v>912</v>
      </c>
    </row>
    <row r="537" spans="1:58">
      <c r="A537">
        <v>28035428</v>
      </c>
      <c r="B537" s="2" t="str">
        <f>HYPERLINK("http://www.windermere.com/index.cfm?fuseaction=Listing.ListingDetail&amp;ListingID=19461135","Active")</f>
        <v>Active</v>
      </c>
      <c r="D537" t="s">
        <v>63</v>
      </c>
      <c r="E537" t="s">
        <v>1595</v>
      </c>
      <c r="F537" s="10">
        <v>469922</v>
      </c>
      <c r="G537" t="s">
        <v>149</v>
      </c>
      <c r="H537" s="1">
        <v>1840</v>
      </c>
      <c r="I537">
        <v>4000</v>
      </c>
      <c r="J537">
        <v>3</v>
      </c>
      <c r="K537">
        <v>1</v>
      </c>
      <c r="M537" s="2" t="str">
        <f>HYPERLINK("http://www.windermere.com/index.cfm?fuseaction=Listing.MapPropertyInteractive&amp;ListingID=19461135&amp;resize=true&amp;windowWidth=800&amp;windowHeight=600","Map")</f>
        <v>Map</v>
      </c>
      <c r="O537" s="2" t="str">
        <f>HYPERLINK("http://www.windermere.com/index.cfm?fuseaction=viewGallery.Home&amp;customTourID=208991&amp;wvt=0","More")</f>
        <v>More</v>
      </c>
      <c r="AI537" t="s">
        <v>66</v>
      </c>
      <c r="AJ537">
        <v>98117</v>
      </c>
      <c r="AS537" t="s">
        <v>1596</v>
      </c>
      <c r="AT537">
        <v>19461135</v>
      </c>
      <c r="AU537" s="7">
        <v>39507</v>
      </c>
      <c r="BB537" t="s">
        <v>912</v>
      </c>
      <c r="BD537" t="s">
        <v>1622</v>
      </c>
      <c r="BE537" t="s">
        <v>1623</v>
      </c>
      <c r="BF537" s="7">
        <v>39508</v>
      </c>
    </row>
    <row r="538" spans="1:58" hidden="1">
      <c r="A538">
        <v>28035422</v>
      </c>
      <c r="B538" s="2" t="str">
        <f>HYPERLINK("http://www.windermere.com/index.cfm?fuseaction=Listing.ListingDetail&amp;ListingID=19460087","Active")</f>
        <v>Active</v>
      </c>
      <c r="D538" t="s">
        <v>100</v>
      </c>
      <c r="E538" t="s">
        <v>1597</v>
      </c>
      <c r="F538" s="10">
        <v>469950</v>
      </c>
      <c r="G538" t="s">
        <v>147</v>
      </c>
      <c r="H538" s="1">
        <v>1586</v>
      </c>
      <c r="J538">
        <v>3</v>
      </c>
      <c r="K538">
        <v>2.25</v>
      </c>
      <c r="M538" s="2" t="str">
        <f>HYPERLINK("http://www.windermere.com/index.cfm?fuseaction=Listing.MapPropertyInteractive&amp;ListingID=19460087&amp;resize=true&amp;windowWidth=800&amp;windowHeight=600","Map")</f>
        <v>Map</v>
      </c>
      <c r="O538" s="2" t="str">
        <f>HYPERLINK("http://www.windermere.com/index.cfm?fuseaction=Listing.MultiImageViewer&amp;ListingID=19460087&amp;ln=28035422&amp;pub_mls=1","More")</f>
        <v>More</v>
      </c>
      <c r="P538" t="s">
        <v>44</v>
      </c>
      <c r="AI538" t="s">
        <v>66</v>
      </c>
      <c r="AJ538">
        <v>98103</v>
      </c>
      <c r="AS538" t="s">
        <v>1598</v>
      </c>
      <c r="AT538">
        <v>19460087</v>
      </c>
      <c r="AU538" s="7">
        <v>39507</v>
      </c>
      <c r="BB538" t="s">
        <v>912</v>
      </c>
    </row>
    <row r="539" spans="1:58" hidden="1">
      <c r="A539">
        <v>28035828</v>
      </c>
      <c r="B539" s="2" t="str">
        <f>HYPERLINK("http://www.windermere.com/index.cfm?fuseaction=Listing.ListingDetail&amp;ListingID=19461867","Active")</f>
        <v>Active</v>
      </c>
      <c r="D539" t="s">
        <v>100</v>
      </c>
      <c r="E539" t="s">
        <v>1599</v>
      </c>
      <c r="F539" s="10">
        <v>474900</v>
      </c>
      <c r="G539" t="s">
        <v>424</v>
      </c>
      <c r="H539" s="1">
        <v>1226</v>
      </c>
      <c r="J539">
        <v>2</v>
      </c>
      <c r="K539">
        <v>3</v>
      </c>
      <c r="M539" s="2" t="str">
        <f>HYPERLINK("http://www.windermere.com/index.cfm?fuseaction=Listing.MapPropertyInteractive&amp;ListingID=19461867&amp;resize=true&amp;windowWidth=800&amp;windowHeight=600","Map")</f>
        <v>Map</v>
      </c>
      <c r="O539" s="2" t="str">
        <f>HYPERLINK("http://www.windermere.com/index.cfm?fuseaction=Listing.MultiImageViewer&amp;ListingID=19461867&amp;ln=28035828&amp;pub_mls=1","More")</f>
        <v>More</v>
      </c>
      <c r="P539" t="s">
        <v>44</v>
      </c>
      <c r="AI539" t="s">
        <v>66</v>
      </c>
      <c r="AJ539">
        <v>98103</v>
      </c>
      <c r="AS539" t="s">
        <v>1600</v>
      </c>
      <c r="AT539">
        <v>19461867</v>
      </c>
      <c r="AU539" s="7">
        <v>39507</v>
      </c>
      <c r="BB539" t="s">
        <v>912</v>
      </c>
    </row>
    <row r="540" spans="1:58" hidden="1">
      <c r="A540">
        <v>28036132</v>
      </c>
      <c r="B540" s="2" t="str">
        <f>HYPERLINK("http://www.windermere.com/index.cfm?fuseaction=Listing.ListingDetail&amp;ListingID=19463710","Active")</f>
        <v>Active</v>
      </c>
      <c r="D540" t="s">
        <v>109</v>
      </c>
      <c r="E540" t="s">
        <v>1601</v>
      </c>
      <c r="F540" s="10">
        <v>478950</v>
      </c>
      <c r="G540" t="s">
        <v>247</v>
      </c>
      <c r="H540" s="1">
        <v>1439</v>
      </c>
      <c r="J540">
        <v>3</v>
      </c>
      <c r="K540">
        <v>2.25</v>
      </c>
      <c r="M540" s="2" t="str">
        <f>HYPERLINK("http://www.windermere.com/index.cfm?fuseaction=Listing.MapPropertyInteractive&amp;ListingID=19463710&amp;resize=true&amp;windowWidth=800&amp;windowHeight=600","Map")</f>
        <v>Map</v>
      </c>
      <c r="O540" s="2" t="str">
        <f>HYPERLINK("http://www.windermere.com/index.cfm?fuseaction=Listing.MultiImageViewer&amp;ListingID=19463710&amp;ln=28036132&amp;pub_mls=1","More")</f>
        <v>More</v>
      </c>
      <c r="P540" t="s">
        <v>44</v>
      </c>
      <c r="AI540" t="s">
        <v>66</v>
      </c>
      <c r="AJ540">
        <v>98103</v>
      </c>
      <c r="AS540" t="s">
        <v>1602</v>
      </c>
      <c r="AT540">
        <v>19463710</v>
      </c>
      <c r="AU540" s="7">
        <v>39507</v>
      </c>
      <c r="BB540" t="s">
        <v>912</v>
      </c>
    </row>
    <row r="541" spans="1:58" hidden="1">
      <c r="A541">
        <v>28035564</v>
      </c>
      <c r="B541" s="2" t="str">
        <f>HYPERLINK("http://www.windermere.com/index.cfm?fuseaction=Listing.ListingDetail&amp;ListingID=19463629","Active")</f>
        <v>Active</v>
      </c>
      <c r="D541" t="s">
        <v>42</v>
      </c>
      <c r="E541" t="s">
        <v>1603</v>
      </c>
      <c r="F541" s="10">
        <v>479950</v>
      </c>
      <c r="G541" t="s">
        <v>674</v>
      </c>
      <c r="H541" s="1">
        <v>1900</v>
      </c>
      <c r="I541">
        <v>5000</v>
      </c>
      <c r="J541">
        <v>3</v>
      </c>
      <c r="K541">
        <v>2.75</v>
      </c>
      <c r="M541" s="2" t="str">
        <f>HYPERLINK("http://www.windermere.com/index.cfm?fuseaction=Listing.MapPropertyInteractive&amp;ListingID=19463629&amp;resize=true&amp;windowWidth=800&amp;windowHeight=600","Map")</f>
        <v>Map</v>
      </c>
      <c r="O541" s="2" t="str">
        <f>HYPERLINK("http://www.windermere.com/index.cfm?fuseaction=Listing.MultiImageViewer&amp;ListingID=19463629&amp;ln=28035564&amp;pub_mls=1","More")</f>
        <v>More</v>
      </c>
      <c r="AI541" t="s">
        <v>66</v>
      </c>
      <c r="AJ541">
        <v>98133</v>
      </c>
      <c r="AS541" t="s">
        <v>1604</v>
      </c>
      <c r="AT541">
        <v>19463629</v>
      </c>
      <c r="AU541" s="7">
        <v>39507</v>
      </c>
      <c r="BB541" t="s">
        <v>912</v>
      </c>
    </row>
    <row r="542" spans="1:58" hidden="1">
      <c r="A542">
        <v>28011836</v>
      </c>
      <c r="B542" s="2" t="str">
        <f>HYPERLINK("http://www.windermere.com/index.cfm?fuseaction=Listing.ListingDetail&amp;ListingID=19247744","Active")</f>
        <v>Active</v>
      </c>
      <c r="D542" t="s">
        <v>100</v>
      </c>
      <c r="E542" t="s">
        <v>1605</v>
      </c>
      <c r="F542" s="10">
        <v>479950</v>
      </c>
      <c r="G542" t="s">
        <v>147</v>
      </c>
      <c r="H542" s="1">
        <v>1683</v>
      </c>
      <c r="J542">
        <v>3</v>
      </c>
      <c r="K542">
        <v>2.25</v>
      </c>
      <c r="M542" s="2" t="str">
        <f>HYPERLINK("http://www.windermere.com/index.cfm?fuseaction=Listing.MapPropertyInteractive&amp;ListingID=19247744&amp;resize=true&amp;windowWidth=800&amp;windowHeight=600","Map")</f>
        <v>Map</v>
      </c>
      <c r="O542" s="2" t="str">
        <f>HYPERLINK("http://www.windermere.com/index.cfm?fuseaction=Listing.MultiImageViewer&amp;ListingID=19247744&amp;ln=28011836&amp;pub_mls=1","More")</f>
        <v>More</v>
      </c>
      <c r="P542" t="s">
        <v>44</v>
      </c>
      <c r="AI542" t="s">
        <v>66</v>
      </c>
      <c r="AJ542">
        <v>98103</v>
      </c>
      <c r="AS542" t="s">
        <v>1606</v>
      </c>
      <c r="AT542">
        <v>19247744</v>
      </c>
      <c r="AU542" s="7">
        <v>39507</v>
      </c>
      <c r="BB542" t="s">
        <v>912</v>
      </c>
    </row>
    <row r="543" spans="1:58" hidden="1">
      <c r="A543">
        <v>27172649</v>
      </c>
      <c r="B543" s="2" t="str">
        <f>HYPERLINK("http://www.windermere.com/index.cfm?fuseaction=Listing.ListingDetail&amp;ListingID=18672127","Active")</f>
        <v>Active</v>
      </c>
      <c r="D543" t="s">
        <v>100</v>
      </c>
      <c r="E543" t="s">
        <v>1607</v>
      </c>
      <c r="F543" s="10">
        <v>479950</v>
      </c>
      <c r="G543" t="s">
        <v>147</v>
      </c>
      <c r="H543" s="1">
        <v>1185</v>
      </c>
      <c r="J543">
        <v>2</v>
      </c>
      <c r="K543">
        <v>2.25</v>
      </c>
      <c r="M543" s="2" t="str">
        <f>HYPERLINK("http://www.windermere.com/index.cfm?fuseaction=Listing.MapPropertyInteractive&amp;ListingID=18672127&amp;resize=true&amp;windowWidth=800&amp;windowHeight=600","Map")</f>
        <v>Map</v>
      </c>
      <c r="O543" s="2" t="str">
        <f>HYPERLINK("http://www.windermere.com/index.cfm?fuseaction=Listing.MultiImageViewer&amp;ListingID=18672127&amp;ln=27172649&amp;pub_mls=1","More")</f>
        <v>More</v>
      </c>
      <c r="P543" t="s">
        <v>44</v>
      </c>
      <c r="AI543" t="s">
        <v>66</v>
      </c>
      <c r="AJ543">
        <v>98103</v>
      </c>
      <c r="AS543" t="s">
        <v>1608</v>
      </c>
      <c r="AT543">
        <v>18672127</v>
      </c>
      <c r="AU543" s="7">
        <v>39507</v>
      </c>
      <c r="BB543" t="s">
        <v>912</v>
      </c>
    </row>
    <row r="544" spans="1:58" hidden="1">
      <c r="A544">
        <v>28034685</v>
      </c>
      <c r="B544" s="2" t="str">
        <f>HYPERLINK("http://www.windermere.com/index.cfm?fuseaction=Listing.ListingDetail&amp;ListingID=19459882","Active")</f>
        <v>Active</v>
      </c>
      <c r="D544" t="s">
        <v>63</v>
      </c>
      <c r="E544" t="s">
        <v>1609</v>
      </c>
      <c r="F544" s="10">
        <v>480000</v>
      </c>
      <c r="G544" t="s">
        <v>134</v>
      </c>
      <c r="H544" s="1">
        <v>2600</v>
      </c>
      <c r="I544">
        <v>4850</v>
      </c>
      <c r="J544">
        <v>3</v>
      </c>
      <c r="K544">
        <v>1</v>
      </c>
      <c r="M544" s="2" t="str">
        <f>HYPERLINK("http://www.windermere.com/index.cfm?fuseaction=Listing.MapPropertyInteractive&amp;ListingID=19459882&amp;resize=true&amp;windowWidth=800&amp;windowHeight=600","Map")</f>
        <v>Map</v>
      </c>
      <c r="O544" s="2" t="str">
        <f>HYPERLINK("http://www.windermere.com/index.cfm?fuseaction=Listing.MultiImageViewer&amp;ListingID=19459882&amp;ln=28034685&amp;pub_mls=1","More")</f>
        <v>More</v>
      </c>
      <c r="AI544" t="s">
        <v>66</v>
      </c>
      <c r="AJ544">
        <v>98107</v>
      </c>
      <c r="AS544" t="s">
        <v>1610</v>
      </c>
      <c r="AT544">
        <v>19459882</v>
      </c>
      <c r="AU544" s="7">
        <v>39507</v>
      </c>
      <c r="BB544" t="s">
        <v>912</v>
      </c>
    </row>
    <row r="545" spans="1:54" hidden="1">
      <c r="A545">
        <v>28035604</v>
      </c>
      <c r="B545" s="2" t="str">
        <f>HYPERLINK("http://www.windermere.com/index.cfm?fuseaction=Listing.ListingDetail&amp;ListingID=19460964","Active")</f>
        <v>Active</v>
      </c>
      <c r="D545" t="s">
        <v>60</v>
      </c>
      <c r="E545" t="s">
        <v>1611</v>
      </c>
      <c r="F545" s="10">
        <v>489000</v>
      </c>
      <c r="G545" t="s">
        <v>796</v>
      </c>
      <c r="H545" s="1">
        <v>2310</v>
      </c>
      <c r="I545">
        <v>4959</v>
      </c>
      <c r="J545">
        <v>6</v>
      </c>
      <c r="K545">
        <v>3</v>
      </c>
      <c r="M545" s="2" t="str">
        <f>HYPERLINK("http://www.windermere.com/index.cfm?fuseaction=Listing.MapPropertyInteractive&amp;ListingID=19460964&amp;resize=true&amp;windowWidth=800&amp;windowHeight=600","Map")</f>
        <v>Map</v>
      </c>
      <c r="O545" s="2" t="str">
        <f>HYPERLINK("http://www.windermere.com/index.cfm?fuseaction=Listing.MultiImageViewer&amp;ListingID=19460964&amp;ln=28035604&amp;pub_mls=1","More")</f>
        <v>More</v>
      </c>
      <c r="P545" t="s">
        <v>44</v>
      </c>
      <c r="AI545" t="s">
        <v>66</v>
      </c>
      <c r="AJ545">
        <v>98133</v>
      </c>
      <c r="AS545" t="s">
        <v>1612</v>
      </c>
      <c r="AT545">
        <v>19460964</v>
      </c>
      <c r="AU545" s="7">
        <v>39507</v>
      </c>
      <c r="BB545" t="s">
        <v>912</v>
      </c>
    </row>
    <row r="546" spans="1:54" hidden="1">
      <c r="A546">
        <v>28021572</v>
      </c>
      <c r="B546" s="2" t="str">
        <f>HYPERLINK("http://www.windermere.com/index.cfm?fuseaction=Listing.ListingDetail&amp;ListingID=19332845","Active")</f>
        <v>Active</v>
      </c>
      <c r="D546" t="s">
        <v>60</v>
      </c>
      <c r="E546" t="s">
        <v>1613</v>
      </c>
      <c r="F546" s="10">
        <v>500000</v>
      </c>
      <c r="G546" t="s">
        <v>128</v>
      </c>
      <c r="H546" s="1">
        <v>1520</v>
      </c>
      <c r="J546">
        <v>3</v>
      </c>
      <c r="K546">
        <v>2.5</v>
      </c>
      <c r="M546" s="2" t="str">
        <f>HYPERLINK("http://www.windermere.com/index.cfm?fuseaction=Listing.MapPropertyInteractive&amp;ListingID=19332845&amp;resize=true&amp;windowWidth=800&amp;windowHeight=600","Map")</f>
        <v>Map</v>
      </c>
      <c r="O546" s="2" t="str">
        <f>HYPERLINK("http://www.windermere.com/index.cfm?fuseaction=Listing.MultiImageViewer&amp;ListingID=19332845&amp;ln=28021572&amp;pub_mls=1","More")</f>
        <v>More</v>
      </c>
      <c r="AI546" t="s">
        <v>66</v>
      </c>
      <c r="AJ546">
        <v>98115</v>
      </c>
      <c r="AS546" t="s">
        <v>1614</v>
      </c>
      <c r="AT546">
        <v>19332845</v>
      </c>
      <c r="AU546" s="7">
        <v>39507</v>
      </c>
      <c r="BB546" t="s">
        <v>912</v>
      </c>
    </row>
    <row r="547" spans="1:54" hidden="1">
      <c r="A547">
        <v>28026043</v>
      </c>
      <c r="B547" s="2" t="str">
        <f>HYPERLINK("http://www.windermere.com/index.cfm?fuseaction=Listing.ListingDetail&amp;ListingID=19358432","Active")</f>
        <v>Active</v>
      </c>
      <c r="D547" t="s">
        <v>66</v>
      </c>
      <c r="E547" t="s">
        <v>1613</v>
      </c>
      <c r="F547" s="10">
        <v>500000</v>
      </c>
      <c r="G547" t="s">
        <v>128</v>
      </c>
      <c r="H547" s="1">
        <v>1520</v>
      </c>
      <c r="J547">
        <v>3</v>
      </c>
      <c r="K547">
        <v>2.5</v>
      </c>
      <c r="M547" s="2" t="str">
        <f>HYPERLINK("http://www.windermere.com/index.cfm?fuseaction=Listing.MapPropertyInteractive&amp;ListingID=19358432&amp;resize=true&amp;windowWidth=800&amp;windowHeight=600","Map")</f>
        <v>Map</v>
      </c>
      <c r="O547" s="2" t="str">
        <f>HYPERLINK("http://www.windermere.com/index.cfm?fuseaction=Listing.MultiImageViewer&amp;ListingID=19358432&amp;ln=28026043&amp;pub_mls=1","More")</f>
        <v>More</v>
      </c>
      <c r="AI547" t="s">
        <v>66</v>
      </c>
      <c r="AJ547">
        <v>98115</v>
      </c>
      <c r="AS547" t="s">
        <v>1615</v>
      </c>
      <c r="AT547">
        <v>19358432</v>
      </c>
      <c r="AU547" s="7">
        <v>39507</v>
      </c>
      <c r="BB547" t="s">
        <v>912</v>
      </c>
    </row>
    <row r="548" spans="1:54" hidden="1">
      <c r="A548">
        <v>28035950</v>
      </c>
      <c r="B548" s="2" t="str">
        <f>HYPERLINK("http://www.windermere.com/index.cfm?fuseaction=Listing.ListingDetail&amp;ListingID=19462672","Active")</f>
        <v>Active</v>
      </c>
      <c r="D548" t="s">
        <v>78</v>
      </c>
      <c r="E548" t="s">
        <v>1617</v>
      </c>
      <c r="F548" s="10">
        <v>928500</v>
      </c>
      <c r="G548" t="s">
        <v>247</v>
      </c>
      <c r="H548" s="1">
        <v>3395</v>
      </c>
      <c r="I548">
        <v>4046</v>
      </c>
      <c r="J548">
        <v>4</v>
      </c>
      <c r="K548">
        <v>3.5</v>
      </c>
      <c r="M548" s="2" t="str">
        <f>HYPERLINK("http://www.windermere.com/index.cfm?fuseaction=Listing.MapPropertyInteractive&amp;ListingID=19462672&amp;resize=true&amp;windowWidth=800&amp;windowHeight=600","Map")</f>
        <v>Map</v>
      </c>
      <c r="O548" s="2" t="str">
        <f>HYPERLINK("http://www.windermere.com/index.cfm?fuseaction=Listing.MultiImageViewer&amp;ListingID=19462672&amp;ln=28035950&amp;pub_mls=1","More")</f>
        <v>More</v>
      </c>
      <c r="P548" t="s">
        <v>44</v>
      </c>
      <c r="AI548" t="s">
        <v>66</v>
      </c>
      <c r="AJ548">
        <v>98117</v>
      </c>
      <c r="AS548" t="s">
        <v>1618</v>
      </c>
      <c r="AT548">
        <v>19462672</v>
      </c>
      <c r="AU548" s="7">
        <v>39507</v>
      </c>
      <c r="BB548" t="s">
        <v>912</v>
      </c>
    </row>
  </sheetData>
  <autoFilter ref="A1:BK548">
    <filterColumn colId="55">
      <filters>
        <filter val="Green"/>
        <filter val="Red"/>
        <filter val="Yellow"/>
      </filters>
    </filterColumn>
  </autoFilter>
  <conditionalFormatting sqref="A1:A548">
    <cfRule type="expression" dxfId="0" priority="1">
      <formula>ISBLANK($BD1)</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Tracking</vt:lpstr>
      <vt:lpstr>Configuration</vt:lpstr>
      <vt:lpstr>Anatomy (Windermere)</vt:lpstr>
      <vt:lpstr>Houses</vt:lpstr>
      <vt:lpstr>20080302_070819</vt:lpstr>
      <vt:lpstr>cfgFilePath</vt:lpstr>
      <vt:lpstr>cfgFileSpec</vt:lpstr>
      <vt:lpstr>cfgQueryList</vt:lpstr>
      <vt:lpstr>'20080302_070819'!tmpTrackingResults</vt:lpstr>
      <vt:lpstr>tmpTrackingResults</vt:lpstr>
    </vt:vector>
  </TitlesOfParts>
  <Company>Microsoft Corporation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Smith</dc:creator>
  <cp:lastModifiedBy>Dave Smith</cp:lastModifiedBy>
  <dcterms:created xsi:type="dcterms:W3CDTF">2005-12-05T14:52:26Z</dcterms:created>
  <dcterms:modified xsi:type="dcterms:W3CDTF">2008-03-20T18:43:44Z</dcterms:modified>
</cp:coreProperties>
</file>